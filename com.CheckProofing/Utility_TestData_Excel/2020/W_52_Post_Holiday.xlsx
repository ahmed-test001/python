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ferdous.CORP\PycharmProjects\com.CheckProofing\Utility_TestData_Excel\"/>
    </mc:Choice>
  </mc:AlternateContent>
  <bookViews>
    <workbookView xWindow="0" yWindow="465" windowWidth="33600" windowHeight="18945" tabRatio="762" activeTab="1"/>
  </bookViews>
  <sheets>
    <sheet name="SL_PH" sheetId="2" r:id="rId1"/>
    <sheet name="CC_Versions" sheetId="11" r:id="rId2"/>
    <sheet name="CC Copy" sheetId="12" r:id="rId3"/>
    <sheet name="MiscModules" sheetId="8" r:id="rId4"/>
    <sheet name="Sheet1" sheetId="13" r:id="rId5"/>
    <sheet name="T&amp;Cs" sheetId="9" r:id="rId6"/>
    <sheet name="urlsegment" sheetId="14" r:id="rId7"/>
    <sheet name="EMAILPage" sheetId="15" r:id="rId8"/>
    <sheet name="Post Holiday OFFERS" sheetId="4" r:id="rId9"/>
    <sheet name="PN Copy - For Designers" sheetId="10" r:id="rId10"/>
  </sheets>
  <externalReferences>
    <externalReference r:id="rId11"/>
    <externalReference r:id="rId12"/>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6" i="4" l="1"/>
  <c r="G15" i="4"/>
  <c r="I6" i="10" l="1"/>
  <c r="I5" i="10"/>
  <c r="I4" i="10"/>
  <c r="E6" i="10"/>
  <c r="E5" i="10"/>
  <c r="E4" i="10"/>
  <c r="Q6" i="10" l="1"/>
  <c r="O6" i="10"/>
  <c r="M6" i="10"/>
  <c r="K6" i="10"/>
  <c r="G6" i="10"/>
  <c r="C6" i="10"/>
  <c r="Q5" i="10"/>
  <c r="O5" i="10"/>
  <c r="M5" i="10"/>
  <c r="K5" i="10"/>
  <c r="G5" i="10"/>
  <c r="C5" i="10"/>
  <c r="Q4" i="10"/>
  <c r="O4" i="10"/>
  <c r="M4" i="10"/>
  <c r="K4" i="10"/>
  <c r="G4" i="10"/>
  <c r="C4" i="10"/>
</calcChain>
</file>

<file path=xl/sharedStrings.xml><?xml version="1.0" encoding="utf-8"?>
<sst xmlns="http://schemas.openxmlformats.org/spreadsheetml/2006/main" count="531" uniqueCount="258">
  <si>
    <t>Computing</t>
  </si>
  <si>
    <t>HA</t>
  </si>
  <si>
    <t>Primary Propensity</t>
  </si>
  <si>
    <t>Version</t>
  </si>
  <si>
    <t>EPP/Reservers/Non-Reservers</t>
  </si>
  <si>
    <t>SL</t>
  </si>
  <si>
    <t>PH</t>
  </si>
  <si>
    <t>EPP Banner Headline ( if applicable )</t>
  </si>
  <si>
    <t>EPP Banner Sub Headline ( if applicable )</t>
  </si>
  <si>
    <t>MODULE 1 KV Headline</t>
  </si>
  <si>
    <t>MODULE 1 Subheadline</t>
  </si>
  <si>
    <t>Notes</t>
  </si>
  <si>
    <t>CE</t>
  </si>
  <si>
    <t>#</t>
  </si>
  <si>
    <t>Image</t>
  </si>
  <si>
    <t>URL</t>
  </si>
  <si>
    <t>Deeplink</t>
  </si>
  <si>
    <t>Shop now</t>
  </si>
  <si>
    <t>Start Date</t>
  </si>
  <si>
    <t>End Date</t>
  </si>
  <si>
    <t>Category</t>
  </si>
  <si>
    <t>Sub-category</t>
  </si>
  <si>
    <t>Offer</t>
  </si>
  <si>
    <t>Starting from price</t>
  </si>
  <si>
    <t>Business Priority</t>
  </si>
  <si>
    <t>MSRP</t>
  </si>
  <si>
    <t xml:space="preserve">Trade-in </t>
  </si>
  <si>
    <t>IR</t>
  </si>
  <si>
    <t>BLACK = FROM PREVIOUS TOUCH</t>
  </si>
  <si>
    <t>Headline</t>
  </si>
  <si>
    <t>Subcopy</t>
  </si>
  <si>
    <t>CTA</t>
  </si>
  <si>
    <t>Placement</t>
  </si>
  <si>
    <t>Targeted Audiences</t>
  </si>
  <si>
    <t>Top Banner</t>
  </si>
  <si>
    <t>Bottom Banner</t>
  </si>
  <si>
    <t>Image Located in extra-modules folder</t>
  </si>
  <si>
    <t>Subheadline</t>
  </si>
  <si>
    <t>SubCopy</t>
  </si>
  <si>
    <t>Top Hero</t>
  </si>
  <si>
    <t>EPP Reservers</t>
  </si>
  <si>
    <t>EPP banner</t>
  </si>
  <si>
    <t>N/A</t>
  </si>
  <si>
    <t xml:space="preserve"> </t>
  </si>
  <si>
    <t>Superscript</t>
  </si>
  <si>
    <t>Version(s)</t>
  </si>
  <si>
    <t>T&amp;C Copy</t>
  </si>
  <si>
    <t>Text to be hyperlinked</t>
  </si>
  <si>
    <t>Links</t>
  </si>
  <si>
    <t>Deeplinks</t>
  </si>
  <si>
    <t>ᶿ</t>
  </si>
  <si>
    <r>
      <t xml:space="preserve">ᶿFor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t>
    </r>
    <r>
      <rPr>
        <sz val="11"/>
        <color theme="4"/>
        <rFont val="Calibri"/>
        <family val="2"/>
        <scheme val="minor"/>
      </rPr>
      <t xml:space="preserve">Click here </t>
    </r>
    <r>
      <rPr>
        <sz val="11"/>
        <color theme="1"/>
        <rFont val="Calibri"/>
        <family val="2"/>
        <scheme val="minor"/>
      </rPr>
      <t>to learn more.</t>
    </r>
  </si>
  <si>
    <t>1) Click here</t>
  </si>
  <si>
    <t>1) https://www.samsung.com/us/trade-in/terms-and-conditions/</t>
  </si>
  <si>
    <t>TV &amp; Home Theater</t>
  </si>
  <si>
    <t>Watches/Audio</t>
  </si>
  <si>
    <t>H</t>
  </si>
  <si>
    <t>SH</t>
  </si>
  <si>
    <t>SC</t>
  </si>
  <si>
    <t>Generic - Non Reservers</t>
  </si>
  <si>
    <t>Generic -Reservers</t>
  </si>
  <si>
    <t>Phones - Non Reservers</t>
  </si>
  <si>
    <t>Phones - Reservers</t>
  </si>
  <si>
    <t>https://www.samsung.com/us/shop/all-deals/</t>
  </si>
  <si>
    <t>CC</t>
  </si>
  <si>
    <t>Subhead (below image)</t>
  </si>
  <si>
    <t>X</t>
  </si>
  <si>
    <t>CROSS CATEGORY</t>
  </si>
  <si>
    <t>CTA 1</t>
  </si>
  <si>
    <t>URL 1</t>
  </si>
  <si>
    <t xml:space="preserve"> Deeplink 1</t>
  </si>
  <si>
    <t>Jira Ticket</t>
  </si>
  <si>
    <t>HE</t>
  </si>
  <si>
    <t>?</t>
  </si>
  <si>
    <t>RED = Missing info/needs confirmation</t>
  </si>
  <si>
    <t>n/a</t>
  </si>
  <si>
    <t>BLUE = BAD TIMING/NEEDS DISCUSSION</t>
  </si>
  <si>
    <t>PN Copy - Last Chance T1</t>
  </si>
  <si>
    <t>HHP</t>
  </si>
  <si>
    <t>TABLETS &amp; COMPUTING</t>
  </si>
  <si>
    <t>WATCHES &amp; AUDIO</t>
  </si>
  <si>
    <t>TV &amp; SOUNDBAR</t>
  </si>
  <si>
    <t>HOME APPLIANCE</t>
  </si>
  <si>
    <t>Deeplink 1</t>
  </si>
  <si>
    <t>Buy now</t>
  </si>
  <si>
    <t xml:space="preserve">Get up to 35% off SSD </t>
  </si>
  <si>
    <t xml:space="preserve">Now from only $49.99. </t>
  </si>
  <si>
    <t>Eyebrow</t>
  </si>
  <si>
    <t>MODULE 1 Subcopy</t>
  </si>
  <si>
    <t>MODULE 1 Disclaimer Copy</t>
  </si>
  <si>
    <t>https://www.samsung.com/us/tablets/tab-s7/buy/</t>
  </si>
  <si>
    <t>https://www.samsung.com/us/mobile/phones/galaxy-a/buy/?link=galaxy-a71-5g</t>
  </si>
  <si>
    <t>Save $30 on Galaxy Buds Live</t>
  </si>
  <si>
    <t>Now only $119.99 with eligible trade-in.ᶿ</t>
  </si>
  <si>
    <t>OFFER UPDATES/ADDITIONS</t>
  </si>
  <si>
    <t>ALL</t>
  </si>
  <si>
    <t>All Non EPP</t>
  </si>
  <si>
    <t>EPP</t>
  </si>
  <si>
    <t>4K QLED</t>
  </si>
  <si>
    <t>UHD</t>
  </si>
  <si>
    <r>
      <t xml:space="preserve">QN32Q50RAFXZA 32” Q50 4K QLED TV with price of $499.99. </t>
    </r>
    <r>
      <rPr>
        <sz val="11"/>
        <color rgb="FFFF0000"/>
        <rFont val="Calibri"/>
        <family val="2"/>
        <scheme val="minor"/>
      </rPr>
      <t>NO IR</t>
    </r>
  </si>
  <si>
    <r>
      <t xml:space="preserve">UN55TU8000FXZA 55" TU8000 Crystal UHD TV at $499.99. </t>
    </r>
    <r>
      <rPr>
        <sz val="11"/>
        <color rgb="FFFF0000"/>
        <rFont val="Calibri"/>
        <family val="2"/>
        <scheme val="minor"/>
      </rPr>
      <t>NO IR</t>
    </r>
  </si>
  <si>
    <t>Mid Tier</t>
  </si>
  <si>
    <t>A51 5G: $100 IR</t>
  </si>
  <si>
    <t>CPO: S10e, S10,S10+,N9: $75 IR; CPO: S9, S9+ $50 IR</t>
  </si>
  <si>
    <t>CPO</t>
  </si>
  <si>
    <t>NCME</t>
  </si>
  <si>
    <t>Audio</t>
  </si>
  <si>
    <t>Wear</t>
  </si>
  <si>
    <t>Buds Live ($30 IR)</t>
  </si>
  <si>
    <t>Galaxy Watch 3 $60 IR</t>
  </si>
  <si>
    <t>Tablet</t>
  </si>
  <si>
    <t xml:space="preserve">Tab S7 (Offer TBD) </t>
  </si>
  <si>
    <t>Memory</t>
  </si>
  <si>
    <t>Save up to 35% on SSD, starting from $49.99</t>
  </si>
  <si>
    <t>Jet Sticks</t>
  </si>
  <si>
    <t>Save $50 on Jet Stick Cordless Vacuums.  Plus, save an additional $100 on select Jet Stick accessories (spin sweeper, clean station, and/or battery)</t>
  </si>
  <si>
    <t>https://www.samsung.com/us/home-appliances/vacuums/all-vacuums/?shop=Buy+Online&amp;type=Jet+Stick</t>
  </si>
  <si>
    <t>https://www.samsung.com/us/televisions-home-theater/tvs/qled-4k-tvs/32-class-q50r-qled-smart-4k-uhd-tv-2019-qn32q50rafxza/</t>
  </si>
  <si>
    <t>https://www.samsung.com/us/televisions-home-theater/tvs/crystal-uhd-tvs/55-class-tu8000-crystal-uhd-4k-smart-tv-2020-un55tu8000fxza/</t>
  </si>
  <si>
    <t>variable</t>
  </si>
  <si>
    <t>Banner Style</t>
  </si>
  <si>
    <t>Rectangle</t>
  </si>
  <si>
    <t>Featured</t>
  </si>
  <si>
    <t>https://www.samsung.com/us/mobile/phones/galaxy-a/buy/?modelCode=SM-A716UZKNXAA</t>
  </si>
  <si>
    <r>
      <t xml:space="preserve">A71 </t>
    </r>
    <r>
      <rPr>
        <sz val="11"/>
        <color rgb="FFFF0000"/>
        <rFont val="Calibri"/>
        <family val="2"/>
        <scheme val="minor"/>
      </rPr>
      <t>5G</t>
    </r>
    <r>
      <rPr>
        <sz val="11"/>
        <color theme="1"/>
        <rFont val="Calibri"/>
        <family val="2"/>
        <scheme val="minor"/>
      </rPr>
      <t>: $150 IR</t>
    </r>
  </si>
  <si>
    <t>https://www.samsung.com/us/search/searchMain/?listType=g&amp;searchTerm=cpo&amp;sort=relevance&amp;size=30&amp;item_type=Phones</t>
  </si>
  <si>
    <t>https://www.samsung.com/us/computing/memory-storage/all-memory-storage/?shop=Buy+Online&amp;technology=Solid+State+Drives,Portable+Solid+State+Drives</t>
  </si>
  <si>
    <t>https://www.samsung.com/us/mobile/audio/headphones/galaxy-buds-live-mystic-black-sm-r180nzkaxar/</t>
  </si>
  <si>
    <t>Get $60 off Galaxy Watch3</t>
  </si>
  <si>
    <t xml:space="preserve">Subhead </t>
  </si>
  <si>
    <t>Now from only $139.99 with eligible trade-in.ᶿ</t>
  </si>
  <si>
    <t>https://www.samsung.com/us/watches/galaxy-watch3/buy/</t>
  </si>
  <si>
    <t>Same from Last-minute T2</t>
  </si>
  <si>
    <t>Give yourself an immersive listening experience with the newest shape of true wireless earbuds.</t>
  </si>
  <si>
    <t>NULL</t>
  </si>
  <si>
    <t>Save up to $75 instantly on select Certified Pre-owned devices</t>
  </si>
  <si>
    <t xml:space="preserve">Starting from only $320. </t>
  </si>
  <si>
    <t>A71 5G: $150 IR</t>
  </si>
  <si>
    <t>Now from only $214.99 with eligible trade-in.ᶿ</t>
  </si>
  <si>
    <t>With blazing 5G speed, a long-lasting battery, and
an impressive quad camera, it’s time to see why the A71 5G gives you so much more than you bargained for.</t>
  </si>
  <si>
    <t>Save $150 on Galaxy A71 5G</t>
  </si>
  <si>
    <t>Get $100 off Galaxy A51 5G</t>
  </si>
  <si>
    <t>Now from only $164.99 with eligible trade-in.ᶿ</t>
  </si>
  <si>
    <t>Get the 32" Q50R QLED 4K TV for $499.99</t>
  </si>
  <si>
    <t>Own the TV with 100% color volume in stunningly enhanced detail and real 4K resolution while you search less and enjoy more.</t>
  </si>
  <si>
    <t>Get the 55" TU8000 Crystal UHD TV for $499.99</t>
  </si>
  <si>
    <t>Buy any Jet Stick Cordless Vacuum and get $100 off compatible accessories</t>
  </si>
  <si>
    <r>
      <t xml:space="preserve">Now only $349.99 </t>
    </r>
    <r>
      <rPr>
        <strike/>
        <sz val="11"/>
        <rFont val="Calibri"/>
        <family val="2"/>
        <scheme val="minor"/>
      </rPr>
      <t>$399.99</t>
    </r>
    <r>
      <rPr>
        <sz val="11"/>
        <rFont val="Calibri"/>
        <family val="2"/>
        <scheme val="minor"/>
      </rPr>
      <t xml:space="preserve">. </t>
    </r>
  </si>
  <si>
    <t>Create your perfect clean with a new vacuum and get $100 off a second Jet Stick battery, a Clean Station and/or a spinning sweeper brush when related accessory is added to cart.</t>
  </si>
  <si>
    <t>HE Featured</t>
  </si>
  <si>
    <t>HHP Featured</t>
  </si>
  <si>
    <t>HHP Rectangle A</t>
  </si>
  <si>
    <t>HE Rectangle A</t>
  </si>
  <si>
    <t>ME Featured</t>
  </si>
  <si>
    <t>ME Rectangle A</t>
  </si>
  <si>
    <t>CE Featured</t>
  </si>
  <si>
    <t>CE Rectangle A</t>
  </si>
  <si>
    <t>HA Featured</t>
  </si>
  <si>
    <t>See Tab 1</t>
  </si>
  <si>
    <t xml:space="preserve">Deeplink </t>
  </si>
  <si>
    <t xml:space="preserve">Free shipping. Free returns. No-touch delivery. </t>
  </si>
  <si>
    <t xml:space="preserve">Plus, save even more with your exclusive member discount. </t>
  </si>
  <si>
    <t>GRAY = Dropping due to end date/inventory issues</t>
  </si>
  <si>
    <t xml:space="preserve">Unlocked appears to be currently OOS. No inventory expected until Week 1 2021. </t>
  </si>
  <si>
    <t>Program does not appear to be stackable with TI. Are all the starting from prices provided correct? If so Irs may not be accurate? Reusing copy from Last-Minute T2. - Pricing corrected 12/14</t>
  </si>
  <si>
    <t>Want to see more?</t>
  </si>
  <si>
    <t>Bottom Banner - All Deals</t>
  </si>
  <si>
    <t>Discover more exclusive offers on must-have products from Samsung.</t>
  </si>
  <si>
    <t>Shop offers</t>
  </si>
  <si>
    <t xml:space="preserve">It's time to to give yourself a little wonder. </t>
  </si>
  <si>
    <t xml:space="preserve">Shop great offers on everything left on your wishlist. </t>
  </si>
  <si>
    <t>Give yourself a little wonder</t>
  </si>
  <si>
    <t>It's time to treat yourself. Scratch that special something off your wishlist today.</t>
  </si>
  <si>
    <t>Non_Reservers</t>
  </si>
  <si>
    <t>EPP Non_Reservers</t>
  </si>
  <si>
    <t>Tab S7/S7+ Enhanced Trade-in Up to $500  (11/10 – 12/31) + Free controller</t>
  </si>
  <si>
    <t>Designed for work. Perfect for play. Plus, get 3 free months of Xbox Game Pass Ultimate* when you buy Galaxy Tab S7 or Tab S7+.</t>
  </si>
  <si>
    <r>
      <t xml:space="preserve">Now from $149.99 </t>
    </r>
    <r>
      <rPr>
        <strike/>
        <sz val="11"/>
        <color theme="1"/>
        <rFont val="Calibri"/>
        <family val="2"/>
        <scheme val="minor"/>
      </rPr>
      <t>$649.99</t>
    </r>
    <r>
      <rPr>
        <sz val="11"/>
        <color theme="1"/>
        <rFont val="Calibri"/>
        <family val="2"/>
        <scheme val="minor"/>
      </rPr>
      <t xml:space="preserve"> with eligible trade-in.ᶿ</t>
    </r>
  </si>
  <si>
    <t xml:space="preserve">Get a free MOGA Controller with Galaxy Tab S7 or Tab S7+ </t>
  </si>
  <si>
    <t>Post_Holiday_offers_Email_KV.jpg</t>
  </si>
  <si>
    <t>118_IM_HeadImage_MB_Galaxy-A71-500xV.jpg</t>
  </si>
  <si>
    <t>119_IM_HeadImage_CPO_500xV.jpg</t>
  </si>
  <si>
    <t>124_TV_HeadImage-Q50-4K-TV_500xV.jpg</t>
  </si>
  <si>
    <t>125_TV_HeadImage_TU8000_Crystal_UHD_TV_500xV.jpg</t>
  </si>
  <si>
    <t>122_ME_HeadImage_Buds_Live_500xV.jpg</t>
  </si>
  <si>
    <t>123_ME_HeadImage_GW3_500xV.jpg</t>
  </si>
  <si>
    <t>121_Computing_HeadImage_SSD-500xV.jpg</t>
  </si>
  <si>
    <t>126_HA_HeadImage_Jet-Stick-Cordless-Vacuums-500xV.jpg</t>
  </si>
  <si>
    <t>120_CE_HeadImage_Tab-S7-500xV.jpg</t>
  </si>
  <si>
    <t>lockup-crossCat-500xV.jpg</t>
  </si>
  <si>
    <t xml:space="preserve"> https://shopsamsung.page.link?link=https%3A%2F%2Fwww.samsung.com%2Fus%2Fshop%2Fall-deals%2F%3Futm_source%3Dsamsung%26utm_medium%3Demail%26utm_campaign%3D12182020_post_holiday%26marsLinkCategory%3D__MARSTRACKING__%26MKM_RID%3D__BPNUMBER__%26MKM_MID%3D__DELIVERNAME__%26cid%3D__CID____SEGMENTCODE__%26bpid%3D__BPNUMBER__%26iosparam%3Dsamsungestore%25253A%25252F%25252Fgototab%252523tab%25253D4%252523subtabid%25253DFeatured_Offers%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gototab%23tab%3D4%23subtabid%3DFeatured_Offers%23utm_source%3Dsamsung%23utm_medium%3Demail%23utm_campaign%3D12182020_post_holiday%23marsLinkCategory%3D__MARSTRACKING__%23MKM_RID%3D__BPNUMBER__%23MKM_MID%3D__DELIVERNAME__%23cid%3D__CID____SEGMENTCODE__%23bpid%3D__BPNUMBER__&amp;afl=https%3A%2F%2Fwww.samsung.com%2Fus%2Fshop%2Fall-deals%2F%3F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12182020_post_holiday%26marsLinkCategory%3D__MARSTRACKING__%26MKM_RID%3D__BPNUMBER__%26MKM_MID%3D__DELIVERNAME__%26cid%3D__CID____SEGMENTCODE__%26bpid%3D__BPNUMBER__&amp;efr=1</t>
  </si>
  <si>
    <t>https://shopsamsung.page.link?link=https%3A%2F%2Fwww.samsung.com%2Fus%2Fshop%2Fall-deals%2F%3Futm_source%3Dsamsung%26utm_medium%3Demail%26utm_campaign%3D12182020_post_holiday%26marsLinkCategory%3D__MARSTRACKING__%26MKM_RID%3D__BPNUMBER__%26MKM_MID%3D__DELIVERNAME__%26cid%3D__CID____SEGMENTCODE__%26bpid%3D__BPNUMBER__%26iosparam%3Dsamsungestore%25253A%25252F%25252Fgototab%252523tab%25253D4%252523subtabid%25253DFeatured_Offers%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gototab%23tab%3D4%23subtabid%3DFeatured_Offers%23utm_source%3Dsamsung%23utm_medium%3Demail%23utm_campaign%3D12182020_post_holiday%23marsLinkCategory%3D__MARSTRACKING__%23MKM_RID%3D__BPNUMBER__%23MKM_MID%3D__DELIVERNAME__%23cid%3D__CID____SEGMENTCODE__%23bpid%3D__BPNUMBER__&amp;afl=https%3A%2F%2Fwww.samsung.com%2Fus%2Fshop%2Fall-deals%2F%3F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12182020_post_holiday%26marsLinkCategory%3D__MARSTRACKING__%26MKM_RID%3D__BPNUMBER__%26MKM_MID%3D__DELIVERNAME__%26cid%3D__CID____SEGMENTCODE__%26bpid%3D__BPNUMBER__&amp;efr=1</t>
  </si>
  <si>
    <t>https://shopsamsung.page.link?link=https%3A%2F%2Fwww.samsung.com%2Fus%2Fmobile%2Fphones%2Fgalaxy-a%2Fbuy%2F%3FmodelCode%3DSM-A716UZKNXAA%26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smartphones%2Fgalaxy-a50%2Findex.html%3FskipDevice%3Dgalaxy-a71-5g%23utm_source%3Dsamsung%23utm_medium%3Demail%23utm_campaign%3D12182020_post_holiday%23marsLinkCategory%3D__MARSTRACKING__%23MKM_RID%3D__BPNUMBER__%23MKM_MID%3D__DELIVERNAME__%23cid%3D__CID____SEGMENTCODE__%23bpid%3D__BPNUMBER__&amp;afl=https%3A%2F%2Fwww.samsung.com%2Fus%2Fmobile%2Fphones%2Fgalaxy-a%2Fbuy%2F%3FmodelCode%3DSM-A716UZKNXAA%26utm_source%3Dsamsung%26utm_medium%3Demail%26utm_campaign%3D12182020_post_holiday%26marsLinkCategory%3D__MARSTRACKING__%26MKM_RID%3D__BPNUMBER__%26MKM_MID%3D__DELIVERNAME__%26cid%3D__CID____SEGMENTCODE__%26bpid%3D__BPNUMBER__&amp;efr=1</t>
  </si>
  <si>
    <t>https://shopsamsung.page.link?link=https%3A%2F%2Fwww.samsung.com%2Fus%2Ftelevisions-home-theater%2Ftvs%2Fqled-4k-tvs%2F32-class-q50r-qled-smart-4k-uhd-tv-2019-qn32q50rafxza%2F%3Futm_source%3Dsamsung%26utm_medium%3Demail%26utm_campaign%3D12182020_post_holiday%26marsLinkCategory%3D__MARSTRACKING__%26MKM_RID%3D__BPNUMBER__%26MKM_MID%3D__DELIVERNAME__%26cid%3D__CID____SEGMENTCODE__%26bpid%3D__BPNUMBER__%26iosparam%3Dsamsungestore%25253A%25252F%25252Fopenpdp%252523product%25253DQN32Q50RAFXZA%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pdp%23product%3DQN32Q50RAFXZA%23utm_source%3Dsamsung%23utm_medium%3Demail%23utm_campaign%3D12182020_post_holiday%23marsLinkCategory%3D__MARSTRACKING__%23MKM_RID%3D__BPNUMBER__%23MKM_MID%3D__DELIVERNAME__%23cid%3D__CID____SEGMENTCODE__%23bpid%3D__BPNUMBER__&amp;afl=https%3A%2F%2Fwww.samsung.com%2Fus%2Ftelevisions-home-theater%2Ftvs%2Fqled-4k-tvs%2F32-class-q50r-qled-smart-4k-uhd-tv-2019-qn32q50rafxza%2F%3F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televisions-home-theater%2Ftvs%2Fqled-4k-tvs%2F32-class-q50r-qled-smart-4k-uhd-tv-2019-qn32q50rafxza%2F%3Futm_source%3Dsamsung%26utm_medium%3Demail%26utm_campaign%3D12182020_post_holiday%26marsLinkCategory%3D__MARSTRACKING__%26MKM_RID%3D__BPNUMBER__%26MKM_MID%3D__DELIVERNAME__%26cid%3D__CID____SEGMENTCODE__%26bpid%3D__BPNUMBER__&amp;efr=1</t>
  </si>
  <si>
    <t>https://shopsamsung.page.link?link=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26iosparam%3Dsamsungestore%25253A%25252F%25252Fopenpdp%252523product%25253DSM-R180NZKAXAR%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pdp%23product%3DSM-R180NZKAXAR%23utm_source%3Dsamsung%23utm_medium%3Demail%23utm_campaign%3D12182020_post_holiday%23marsLinkCategory%3D__MARSTRACKING__%23MKM_RID%3D__BPNUMBER__%23MKM_MID%3D__DELIVERNAME__%23cid%3D__CID____SEGMENTCODE__%23bpid%3D__BPNUMBER__&amp;afl=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amp;efr=1</t>
  </si>
  <si>
    <t>https://shopsamsung.page.link?link=https%3A%2F%2Fwww.samsung.com%2Fus%2Ftablets%2Ftab-s7%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tablets%2Ftab-s7%2Findex.html%23utm_source%3Dsamsung%23utm_medium%3Demail%23utm_campaign%3D12182020_post_holiday%23marsLinkCategory%3D__MARSTRACKING__%23MKM_RID%3D__BPNUMBER__%23MKM_MID%3D__DELIVERNAME__%23cid%3D__CID____SEGMENTCODE__%23bpid%3D__BPNUMBER__&amp;afl=https%3A%2F%2Fwww.samsung.com%2Fus%2Ftablets%2Ftab-s7%2Fbuy%2F%3Futm_source%3Dsamsung%26utm_medium%3Demail%26utm_campaign%3D12182020_post_holiday%26marsLinkCategory%3D__MARSTRACKING__%26MKM_RID%3D__BPNUMBER__%26MKM_MID%3D__DELIVERNAME__%26cid%3D__CID____SEGMENTCODE__%26bpid%3D__BPNUMBER__&amp;efr=1</t>
  </si>
  <si>
    <t>https://shopsamsung.page.link?link=https%3A%2F%2Fwww.samsung.com%2Fus%2Fsearch%2FsearchMain%2F%3FlistType%3Dg%26searchTerm%3Dcpo%26sort%3Drelevance%26size%3D30%26item_type%3DPhones%26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plp%23products%3D%5BSM5G973UZKAXAA%2CSM5G975UZKAXAA%2CSM5G970UZKAXAA%2CSM5N960UZKAXAA%2CSM5G960UZKAXAA%2CSM5N970UZKAXAA%2CSM5N975UZKAXAA%2CSM5G965UZKAXAA%5D%23utm_source%3Dsamsung%23utm_medium%3Demail%23utm_campaign%3D12182020_post_holiday%23marsLinkCategory%3D__MARSTRACKING__%23MKM_RID%3D__BPNUMBER__%23MKM_MID%3D__DELIVERNAME__%23cid%3D__CID____SEGMENTCODE__%23bpid%3D__BPNUMBER__&amp;afl=https%3A%2F%2Fwww.samsung.com%2Fus%2Fsearch%2FsearchMain%2F%3FlistType%3Dg%26searchTerm%3Dcpo%26sort%3Drelevance%26size%3D30%26item_type%3DPhones%26utm_source%3Dsamsung%26utm_medium%3Demail%26utm_campaign%3D12182020_post_holiday%26marsLinkCategory%3D__MARSTRACKING__%26MKM_RID%3D__BPNUMBER__%26MKM_MID%3D__DELIVERNAME__%26cid%3D__CID____SEGMENTCODE__%26bpid%3D__BPNUMBER__&amp;efr=1</t>
  </si>
  <si>
    <t>https://shopsamsung.page.link?link=https%3A%2F%2Fwww.samsung.com%2Fus%2Ftelevisions-home-theater%2Ftvs%2Fcrystal-uhd-tvs%2F55-class-tu8000-crystal-uhd-4k-smart-tv-2020-un55tu8000fxza%2F%3Futm_source%3Dsamsung%26utm_medium%3Demail%26utm_campaign%3D12182020_post_holiday%26marsLinkCategory%3D__MARSTRACKING__%26MKM_RID%3D__BPNUMBER__%26MKM_MID%3D__DELIVERNAME__%26cid%3D__CID____SEGMENTCODE__%26bpid%3D__BPNUMBER__%26iosparam%3Dsamsungestore%25253A%25252F%25252Fopenpdp%252523product%25253DUN55TU8000FXZA%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pdp%23product%3DUN55TU8000FXZA%23utm_source%3Dsamsung%23utm_medium%3Demail%23utm_campaign%3D12182020_post_holiday%23marsLinkCategory%3D__MARSTRACKING__%23MKM_RID%3D__BPNUMBER__%23MKM_MID%3D__DELIVERNAME__%23cid%3D__CID____SEGMENTCODE__%23bpid%3D__BPNUMBER__&amp;afl=https%3A%2F%2Fwww.samsung.com%2Fus%2Ftelevisions-home-theater%2Ftvs%2Fcrystal-uhd-tvs%2F55-class-tu8000-crystal-uhd-4k-smart-tv-2020-un55tu8000fxza%2F%3F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televisions-home-theater%2Ftvs%2Fcrystal-uhd-tvs%2F55-class-tu8000-crystal-uhd-4k-smart-tv-2020-un55tu8000fxza%2F%3Futm_source%3Dsamsung%26utm_medium%3Demail%26utm_campaign%3D12182020_post_holiday%26marsLinkCategory%3D__MARSTRACKING__%26MKM_RID%3D__BPNUMBER__%26MKM_MID%3D__DELIVERNAME__%26cid%3D__CID____SEGMENTCODE__%26bpid%3D__BPNUMBER__&amp;efr=1</t>
  </si>
  <si>
    <t>https://shopsamsung.page.link?link=https%3A%2F%2Fwww.samsung.com%2Fus%2Fwatches%2Fgalaxy-watch3%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watches%2Fgalaxy-watch3%2Findex.html%23utm_source%3Dsamsung%23utm_medium%3Demail%23utm_campaign%3D12182020_post_holiday%23marsLinkCategory%3D__MARSTRACKING__%23MKM_RID%3D__BPNUMBER__%23MKM_MID%3D__DELIVERNAME__%23cid%3D__CID____SEGMENTCODE__%23bpid%3D__BPNUMBER__&amp;afl=https%3A%2F%2Fwww.samsung.com%2Fus%2Fwatches%2Fgalaxy-watch3%2Fbuy%2F%3Futm_source%3Dsamsung%26utm_medium%3Demail%26utm_campaign%3D12182020_post_holiday%26marsLinkCategory%3D__MARSTRACKING__%26MKM_RID%3D__BPNUMBER__%26MKM_MID%3D__DELIVERNAME__%26cid%3D__CID____SEGMENTCODE__%26bpid%3D__BPNUMBER__&amp;efr=1</t>
  </si>
  <si>
    <t>https://shopsamsung.page.link?link=https%3A%2F%2Fwww.samsung.com%2Fus%2Fcomputing%2Fmemory-storage%2Fall-memory-storage%2F%3Fshop%3DBuy%2520Online%26technology%3DSolid%2520State%2520Drives%252CPortable%2520Solid%2520State%2520Drives%26utm_source%3Dsamsung%26utm_medium%3Demail%26utm_campaign%3D12182020_post_holiday%26marsLinkCategory%3D__MARSTRACKING__%26MKM_RID%3D__BPNUMBER__%26MKM_MID%3D__DELIVERNAME__%26cid%3D__CID____SEGMENTCODE__%26bpid%3D__BPNUMBER__%26iosparam%3Dsamsungestore%25253A%25252F%25252Fopencategory%252523category%25253DN0002506%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category%23category%3DN0002506%23utm_source%3Dsamsung%23utm_medium%3Demail%23utm_campaign%3D12182020_post_holiday%23marsLinkCategory%3D__MARSTRACKING__%23MKM_RID%3D__BPNUMBER__%23MKM_MID%3D__DELIVERNAME__%23cid%3D__CID____SEGMENTCODE__%23bpid%3D__BPNUMBER__&amp;afl=https%3A%2F%2Fwww.samsung.com%2Fus%2Fcomputing%2Fmemory-storage%2Fall-memory-storage%2F%3Fshop%3DBuy%2520Online%26technology%3DSolid%2520State%2520Drives%252CPortable%2520Solid%2520State%2520Drives%26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computing%2Fmemory-storage%2Fall-memory-storage%2F%3Fshop%3DBuy%2520Online%26technology%3DSolid%2520State%2520Drives%252CPortable%2520Solid%2520State%2520Drives%26utm_source%3Dsamsung%26utm_medium%3Demail%26utm_campaign%3D12182020_post_holiday%26marsLinkCategory%3D__MARSTRACKING__%26MKM_RID%3D__BPNUMBER__%26MKM_MID%3D__DELIVERNAME__%26cid%3D__CID____SEGMENTCODE__%26bpid%3D__BPNUMBER__&amp;efr=1</t>
  </si>
  <si>
    <t>https://shopsamsung.page.link?link=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26iosparam%3Dsamsungestore%25253A%25252F%25252Fopencategory%252523category%25253DN0003053%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category%23category%3DN0003053%23utm_source%3Dsamsung%23utm_medium%3Demail%23utm_campaign%3D12182020_post_holiday%23marsLinkCategory%3D__MARSTRACKING__%23MKM_RID%3D__BPNUMBER__%23MKM_MID%3D__DELIVERNAME__%23cid%3D__CID____SEGMENTCODE__%23bpid%3D__BPNUMBER__&amp;afl=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amp;efr=1</t>
  </si>
  <si>
    <t>Name</t>
  </si>
  <si>
    <t>urlsegment</t>
  </si>
  <si>
    <t>marsLinkCategory_type</t>
  </si>
  <si>
    <t>cid_type</t>
  </si>
  <si>
    <t>offerCID</t>
  </si>
  <si>
    <t>earlyAccess</t>
  </si>
  <si>
    <t>mphone:other</t>
  </si>
  <si>
    <t>utm_source</t>
  </si>
  <si>
    <t>samsung</t>
  </si>
  <si>
    <t>mphone:mphone</t>
  </si>
  <si>
    <t>utm_medium</t>
  </si>
  <si>
    <t>email</t>
  </si>
  <si>
    <t>tv:other</t>
  </si>
  <si>
    <t>utm_campaign</t>
  </si>
  <si>
    <t>home_app:other</t>
  </si>
  <si>
    <t>marsLinkCategory</t>
  </si>
  <si>
    <t>homeapp:other</t>
  </si>
  <si>
    <t>cid</t>
  </si>
  <si>
    <t>cpu:other</t>
  </si>
  <si>
    <t>general:general</t>
  </si>
  <si>
    <t>cw_11242020</t>
  </si>
  <si>
    <t>mphone:tablet</t>
  </si>
  <si>
    <t>holiday_deals_t3_11172020</t>
  </si>
  <si>
    <t>cw_12012020</t>
  </si>
  <si>
    <t>holiday_deals_rev_11182020</t>
  </si>
  <si>
    <t>url</t>
  </si>
  <si>
    <t>pay_later_url</t>
  </si>
  <si>
    <t>https://www.samsung.com/us/financing/</t>
  </si>
  <si>
    <t>free_shipping_url</t>
  </si>
  <si>
    <t>https://www.samsung.com/us/support/order-help/#SHIPPINGANDPAYMENTS</t>
  </si>
  <si>
    <t>google_play_url</t>
  </si>
  <si>
    <t>https://play.google.com/store/apps/details</t>
  </si>
  <si>
    <t>apple_url</t>
  </si>
  <si>
    <t>https://apps.apple.com/app/apple-store/id1274679179</t>
  </si>
  <si>
    <t>mobile_button_url</t>
  </si>
  <si>
    <t>https://www.samsung.com/us/smartphones/</t>
  </si>
  <si>
    <t>tv_audio_button_url</t>
  </si>
  <si>
    <t>https://www.samsung.com/us/tvs/</t>
  </si>
  <si>
    <t>computing_button_url</t>
  </si>
  <si>
    <t>https://www.samsung.com/us/computing/</t>
  </si>
  <si>
    <t>appliances_button_url</t>
  </si>
  <si>
    <t>https://www.samsung.com/us/home-appliances/</t>
  </si>
  <si>
    <t>weekly_offer_button_url</t>
  </si>
  <si>
    <t>facebook_url</t>
  </si>
  <si>
    <t>https://www.facebook.com/SamsungUS</t>
  </si>
  <si>
    <t>instagram_url</t>
  </si>
  <si>
    <t>https://www.instagram.com/samsungus/</t>
  </si>
  <si>
    <t>twitter_url</t>
  </si>
  <si>
    <t>https://twitter.com/samsungus</t>
  </si>
  <si>
    <t>youtube_url</t>
  </si>
  <si>
    <t>https://www.youtube.com/user/samsungmobileusa</t>
  </si>
  <si>
    <t>eml-brd-mul-1220-3125-Reservers</t>
  </si>
  <si>
    <t>eml-brd-mul-1220-3125-Non_Reservers</t>
  </si>
  <si>
    <t>eml-brd-mul-1220-3125EPP</t>
  </si>
  <si>
    <t>eml-brd-mul-1220-3125Generic</t>
  </si>
  <si>
    <t>12182020_post_holiday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</si>
</sst>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quot;#,##0.00_);[Red]\(&quot;$&quot;#,##0.00\)"/>
    <numFmt numFmtId="44" formatCode="_(&quot;$&quot;* #,##0.00_);_(&quot;$&quot;* \(#,##0.00\);_(&quot;$&quot;* &quot;-&quot;??_);_(@_)"/>
    <numFmt numFmtId="164" formatCode="&quot;$&quot;#,##0.00"/>
  </numFmts>
  <fonts count="26" x14ac:knownFonts="1">
    <font>
      <sz val="11"/>
      <color theme="1"/>
      <name val="Calibri"/>
      <family val="2"/>
      <scheme val="minor"/>
    </font>
    <font>
      <sz val="11"/>
      <color rgb="FF9C6500"/>
      <name val="Calibri"/>
      <family val="2"/>
      <scheme val="minor"/>
    </font>
    <font>
      <sz val="11"/>
      <color rgb="FF3F3F76"/>
      <name val="Calibri"/>
      <family val="2"/>
      <scheme val="minor"/>
    </font>
    <font>
      <b/>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color theme="0"/>
      <name val="Calibri"/>
      <family val="2"/>
    </font>
    <font>
      <u/>
      <sz val="11"/>
      <color theme="10"/>
      <name val="Calibri"/>
      <family val="2"/>
      <scheme val="minor"/>
    </font>
    <font>
      <sz val="11"/>
      <color theme="9"/>
      <name val="Calibri"/>
      <family val="2"/>
      <scheme val="minor"/>
    </font>
    <font>
      <sz val="11"/>
      <color theme="0" tint="-0.34998626667073579"/>
      <name val="Calibri"/>
      <family val="2"/>
      <scheme val="minor"/>
    </font>
    <font>
      <sz val="11"/>
      <color theme="6"/>
      <name val="Calibri"/>
      <family val="2"/>
      <scheme val="minor"/>
    </font>
    <font>
      <sz val="11"/>
      <color theme="4"/>
      <name val="Calibri"/>
      <family val="2"/>
      <scheme val="minor"/>
    </font>
    <font>
      <b/>
      <sz val="11"/>
      <name val="Calibri"/>
      <family val="2"/>
      <scheme val="minor"/>
    </font>
    <font>
      <sz val="11"/>
      <name val="Calibri"/>
      <family val="2"/>
    </font>
    <font>
      <b/>
      <sz val="11"/>
      <color rgb="FFFF0000"/>
      <name val="Calibri"/>
      <family val="2"/>
      <scheme val="minor"/>
    </font>
    <font>
      <sz val="11"/>
      <color theme="1"/>
      <name val="Calibri"/>
      <family val="2"/>
      <scheme val="minor"/>
    </font>
    <font>
      <strike/>
      <sz val="11"/>
      <name val="Calibri"/>
      <family val="2"/>
      <scheme val="minor"/>
    </font>
    <font>
      <strike/>
      <sz val="11"/>
      <color theme="0" tint="-0.34998626667073579"/>
      <name val="Calibri"/>
      <family val="2"/>
      <scheme val="minor"/>
    </font>
    <font>
      <u/>
      <sz val="11"/>
      <color theme="1"/>
      <name val="Calibri"/>
      <family val="2"/>
      <scheme val="minor"/>
    </font>
    <font>
      <strike/>
      <sz val="11"/>
      <color theme="1"/>
      <name val="Calibri"/>
      <family val="2"/>
      <scheme val="minor"/>
    </font>
    <font>
      <b/>
      <u/>
      <sz val="11"/>
      <color theme="10"/>
      <name val="Calibri"/>
      <family val="2"/>
      <scheme val="minor"/>
    </font>
    <font>
      <u/>
      <sz val="11"/>
      <color theme="11"/>
      <name val="Calibri"/>
      <family val="2"/>
      <scheme val="minor"/>
    </font>
    <font>
      <sz val="11"/>
      <color rgb="FF172B4D"/>
      <name val="Segoe UI"/>
      <family val="2"/>
    </font>
  </fonts>
  <fills count="15">
    <fill>
      <patternFill patternType="none"/>
    </fill>
    <fill>
      <patternFill patternType="gray125"/>
    </fill>
    <fill>
      <patternFill patternType="solid">
        <fgColor rgb="FFFFEB9C"/>
      </patternFill>
    </fill>
    <fill>
      <patternFill patternType="solid">
        <fgColor rgb="FFFFCC99"/>
      </patternFill>
    </fill>
    <fill>
      <patternFill patternType="solid">
        <fgColor rgb="FFF2F2F2"/>
      </patternFill>
    </fill>
    <fill>
      <patternFill patternType="solid">
        <fgColor theme="1"/>
        <bgColor indexed="64"/>
      </patternFill>
    </fill>
    <fill>
      <patternFill patternType="solid">
        <fgColor theme="0" tint="-4.9989318521683403E-2"/>
        <bgColor indexed="64"/>
      </patternFill>
    </fill>
    <fill>
      <patternFill patternType="solid">
        <fgColor indexed="8"/>
        <bgColor auto="1"/>
      </patternFill>
    </fill>
    <fill>
      <patternFill patternType="solid">
        <fgColor theme="4" tint="0.59999389629810485"/>
        <bgColor indexed="64"/>
      </patternFill>
    </fill>
    <fill>
      <patternFill patternType="solid">
        <fgColor theme="0"/>
        <bgColor indexed="64"/>
      </patternFill>
    </fill>
    <fill>
      <patternFill patternType="solid">
        <fgColor rgb="FFFFC000"/>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bgColor indexed="64"/>
      </patternFill>
    </fill>
    <fill>
      <patternFill patternType="solid">
        <fgColor theme="4" tint="-0.249977111117893"/>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8">
    <xf numFmtId="0" fontId="0" fillId="0" borderId="0"/>
    <xf numFmtId="0" fontId="1" fillId="2" borderId="0" applyNumberFormat="0" applyBorder="0" applyAlignment="0" applyProtection="0"/>
    <xf numFmtId="0" fontId="2" fillId="3" borderId="1" applyNumberFormat="0" applyAlignment="0" applyProtection="0"/>
    <xf numFmtId="0" fontId="3" fillId="4" borderId="1" applyNumberFormat="0" applyAlignment="0" applyProtection="0"/>
    <xf numFmtId="0" fontId="10" fillId="0" borderId="0" applyNumberFormat="0" applyFill="0" applyBorder="0" applyAlignment="0" applyProtection="0"/>
    <xf numFmtId="44" fontId="18" fillId="0" borderId="0" applyFont="0" applyFill="0" applyBorder="0" applyAlignment="0" applyProtection="0"/>
    <xf numFmtId="0" fontId="24" fillId="0" borderId="0" applyNumberFormat="0" applyFill="0" applyBorder="0" applyAlignment="0" applyProtection="0"/>
    <xf numFmtId="0" fontId="10" fillId="0" borderId="0"/>
  </cellStyleXfs>
  <cellXfs count="142">
    <xf numFmtId="0" fontId="0" fillId="0" borderId="0" xfId="0"/>
    <xf numFmtId="0" fontId="6" fillId="0" borderId="0" xfId="0" applyFont="1"/>
    <xf numFmtId="0" fontId="7" fillId="5" borderId="1" xfId="2" applyFont="1" applyFill="1" applyAlignment="1">
      <alignment wrapText="1"/>
    </xf>
    <xf numFmtId="0" fontId="0" fillId="0" borderId="0" xfId="0" applyAlignment="1">
      <alignment wrapText="1"/>
    </xf>
    <xf numFmtId="0" fontId="0" fillId="6" borderId="0" xfId="0" applyFill="1" applyAlignment="1">
      <alignment wrapText="1"/>
    </xf>
    <xf numFmtId="0" fontId="8" fillId="0" borderId="0" xfId="0" applyFont="1" applyAlignment="1">
      <alignment wrapText="1"/>
    </xf>
    <xf numFmtId="0" fontId="0" fillId="0" borderId="0" xfId="0" applyBorder="1"/>
    <xf numFmtId="0" fontId="0" fillId="0" borderId="0" xfId="0" applyFill="1" applyBorder="1"/>
    <xf numFmtId="0" fontId="0" fillId="10" borderId="0" xfId="0" applyFill="1" applyAlignment="1">
      <alignment wrapText="1"/>
    </xf>
    <xf numFmtId="0" fontId="0" fillId="0" borderId="0" xfId="0" applyAlignment="1">
      <alignment horizontal="center" vertical="center"/>
    </xf>
    <xf numFmtId="0" fontId="0" fillId="0" borderId="3" xfId="0" applyBorder="1"/>
    <xf numFmtId="0" fontId="8" fillId="0" borderId="3" xfId="0" applyFont="1" applyFill="1" applyBorder="1"/>
    <xf numFmtId="0" fontId="8" fillId="0" borderId="3" xfId="0" applyFont="1" applyFill="1" applyBorder="1" applyAlignment="1">
      <alignment horizontal="left" vertical="center" wrapText="1"/>
    </xf>
    <xf numFmtId="0" fontId="7" fillId="0" borderId="0" xfId="0" applyFont="1"/>
    <xf numFmtId="0" fontId="0" fillId="0" borderId="0" xfId="0" applyNumberFormat="1" applyFont="1" applyAlignment="1"/>
    <xf numFmtId="0" fontId="7" fillId="5" borderId="0" xfId="0" applyFont="1" applyFill="1"/>
    <xf numFmtId="0" fontId="7" fillId="5" borderId="0" xfId="1" applyFont="1" applyFill="1"/>
    <xf numFmtId="0" fontId="7" fillId="5" borderId="3" xfId="1" applyFont="1" applyFill="1" applyBorder="1"/>
    <xf numFmtId="0" fontId="7" fillId="5" borderId="4" xfId="1" applyFont="1" applyFill="1" applyBorder="1"/>
    <xf numFmtId="0" fontId="0" fillId="0" borderId="5" xfId="0" applyBorder="1" applyAlignment="1">
      <alignment wrapText="1"/>
    </xf>
    <xf numFmtId="0" fontId="0" fillId="0" borderId="6" xfId="0" applyBorder="1" applyAlignment="1">
      <alignment wrapText="1"/>
    </xf>
    <xf numFmtId="0" fontId="7" fillId="5" borderId="0" xfId="0" applyFont="1" applyFill="1" applyAlignment="1">
      <alignment wrapText="1"/>
    </xf>
    <xf numFmtId="0" fontId="0" fillId="0" borderId="0" xfId="0" applyFont="1" applyAlignment="1">
      <alignment wrapText="1"/>
    </xf>
    <xf numFmtId="0" fontId="11" fillId="0" borderId="0" xfId="0" applyFont="1" applyAlignment="1">
      <alignment horizontal="left" vertical="center"/>
    </xf>
    <xf numFmtId="0" fontId="0" fillId="0" borderId="0" xfId="0" applyAlignment="1">
      <alignment horizontal="left" vertical="center"/>
    </xf>
    <xf numFmtId="0" fontId="12" fillId="0" borderId="0" xfId="0" applyFont="1" applyAlignment="1">
      <alignment horizontal="left" vertical="center"/>
    </xf>
    <xf numFmtId="0" fontId="5" fillId="0" borderId="0" xfId="0" applyFont="1" applyAlignment="1">
      <alignment horizontal="left" vertical="center"/>
    </xf>
    <xf numFmtId="0" fontId="8" fillId="0" borderId="0" xfId="0" applyFont="1" applyFill="1" applyBorder="1"/>
    <xf numFmtId="0" fontId="4" fillId="5" borderId="3" xfId="0" applyFont="1" applyFill="1" applyBorder="1"/>
    <xf numFmtId="49" fontId="9" fillId="7" borderId="3" xfId="0" applyNumberFormat="1" applyFont="1" applyFill="1" applyBorder="1" applyAlignment="1">
      <alignment wrapText="1"/>
    </xf>
    <xf numFmtId="0" fontId="0" fillId="8" borderId="3" xfId="0" applyFill="1" applyBorder="1"/>
    <xf numFmtId="0" fontId="0" fillId="0" borderId="3" xfId="0" applyFill="1" applyBorder="1"/>
    <xf numFmtId="0" fontId="0" fillId="8" borderId="3" xfId="0" applyFont="1" applyFill="1" applyBorder="1" applyAlignment="1"/>
    <xf numFmtId="0" fontId="0" fillId="0" borderId="3" xfId="0" applyFont="1" applyBorder="1" applyAlignment="1"/>
    <xf numFmtId="0" fontId="10" fillId="0" borderId="0" xfId="4" applyFill="1" applyAlignment="1">
      <alignment wrapText="1"/>
    </xf>
    <xf numFmtId="0" fontId="2" fillId="9" borderId="1" xfId="2" applyFill="1" applyAlignment="1">
      <alignment wrapText="1"/>
    </xf>
    <xf numFmtId="0" fontId="0" fillId="9" borderId="0" xfId="0" applyFill="1"/>
    <xf numFmtId="0" fontId="8" fillId="0" borderId="0" xfId="0" applyFont="1"/>
    <xf numFmtId="0" fontId="8" fillId="0" borderId="0" xfId="0" applyFont="1" applyAlignment="1">
      <alignment horizontal="center" vertical="center"/>
    </xf>
    <xf numFmtId="14" fontId="8" fillId="0" borderId="0" xfId="0" applyNumberFormat="1" applyFont="1" applyFill="1" applyBorder="1" applyAlignment="1">
      <alignment horizontal="left" vertical="top" wrapText="1"/>
    </xf>
    <xf numFmtId="0" fontId="8" fillId="0" borderId="0" xfId="0" applyFont="1" applyFill="1" applyBorder="1" applyAlignment="1">
      <alignment horizontal="center" vertical="center"/>
    </xf>
    <xf numFmtId="0" fontId="8" fillId="0" borderId="0" xfId="0" applyFont="1" applyFill="1" applyBorder="1" applyAlignment="1">
      <alignment horizontal="left" vertical="top" wrapText="1"/>
    </xf>
    <xf numFmtId="8" fontId="8" fillId="0" borderId="0" xfId="0" applyNumberFormat="1" applyFont="1" applyFill="1" applyBorder="1" applyAlignment="1">
      <alignment horizontal="left" vertical="top" wrapText="1"/>
    </xf>
    <xf numFmtId="14" fontId="8" fillId="0" borderId="0" xfId="0" applyNumberFormat="1" applyFont="1" applyFill="1" applyBorder="1" applyAlignment="1">
      <alignment wrapText="1"/>
    </xf>
    <xf numFmtId="16" fontId="8" fillId="0" borderId="0" xfId="0" applyNumberFormat="1" applyFont="1" applyFill="1" applyBorder="1" applyAlignment="1">
      <alignment horizontal="center" vertical="center"/>
    </xf>
    <xf numFmtId="0" fontId="8" fillId="0" borderId="0" xfId="0" applyFont="1" applyFill="1" applyBorder="1" applyAlignment="1">
      <alignment horizontal="left" vertical="center" wrapText="1"/>
    </xf>
    <xf numFmtId="0" fontId="8" fillId="0" borderId="0" xfId="0" applyFont="1" applyFill="1" applyBorder="1" applyAlignment="1">
      <alignment horizontal="center" vertical="center" wrapText="1"/>
    </xf>
    <xf numFmtId="0" fontId="0" fillId="0" borderId="0" xfId="0" applyFill="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center" vertical="center" wrapText="1"/>
    </xf>
    <xf numFmtId="0" fontId="6" fillId="0" borderId="0" xfId="0" applyFont="1" applyAlignment="1">
      <alignment horizontal="center" vertical="center" wrapText="1"/>
    </xf>
    <xf numFmtId="0" fontId="13" fillId="0" borderId="0" xfId="0" applyFont="1" applyAlignment="1">
      <alignment horizontal="center" vertical="center" wrapText="1"/>
    </xf>
    <xf numFmtId="0" fontId="8" fillId="0" borderId="0" xfId="0" applyFont="1" applyAlignment="1">
      <alignment horizontal="center" vertical="center" wrapText="1"/>
    </xf>
    <xf numFmtId="0" fontId="4" fillId="5" borderId="3" xfId="0" applyFont="1" applyFill="1" applyBorder="1" applyAlignment="1">
      <alignment wrapText="1"/>
    </xf>
    <xf numFmtId="0" fontId="8" fillId="0" borderId="3" xfId="0" applyFont="1" applyFill="1"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horizontal="center" vertical="center"/>
    </xf>
    <xf numFmtId="0" fontId="8" fillId="0" borderId="3" xfId="0" applyFont="1" applyBorder="1" applyAlignment="1">
      <alignment horizontal="center" vertical="center" wrapText="1"/>
    </xf>
    <xf numFmtId="0" fontId="0" fillId="0" borderId="2" xfId="0" applyFill="1" applyBorder="1" applyAlignment="1"/>
    <xf numFmtId="0" fontId="8" fillId="0" borderId="2" xfId="0" applyFont="1" applyFill="1" applyBorder="1" applyAlignment="1">
      <alignment horizontal="center" vertical="center"/>
    </xf>
    <xf numFmtId="0" fontId="0" fillId="11" borderId="0" xfId="0" applyFill="1" applyAlignment="1">
      <alignment wrapText="1"/>
    </xf>
    <xf numFmtId="0" fontId="7" fillId="13" borderId="1" xfId="2" applyFont="1" applyFill="1" applyAlignment="1">
      <alignment wrapText="1"/>
    </xf>
    <xf numFmtId="0" fontId="4" fillId="13" borderId="1" xfId="2" applyFont="1" applyFill="1" applyAlignment="1"/>
    <xf numFmtId="0" fontId="8" fillId="0" borderId="0" xfId="0" applyFont="1" applyFill="1" applyBorder="1" applyAlignment="1">
      <alignment wrapText="1"/>
    </xf>
    <xf numFmtId="14" fontId="16" fillId="0" borderId="0" xfId="0" applyNumberFormat="1" applyFont="1" applyFill="1" applyBorder="1" applyAlignment="1">
      <alignment horizontal="right" vertical="center"/>
    </xf>
    <xf numFmtId="14" fontId="8" fillId="0" borderId="0" xfId="0" applyNumberFormat="1" applyFont="1" applyFill="1" applyBorder="1" applyAlignment="1">
      <alignment horizontal="right" vertical="top" wrapText="1"/>
    </xf>
    <xf numFmtId="0" fontId="8" fillId="0" borderId="0" xfId="0" applyFont="1" applyFill="1" applyBorder="1" applyAlignment="1">
      <alignment horizontal="center" vertical="top"/>
    </xf>
    <xf numFmtId="0" fontId="0" fillId="12" borderId="0" xfId="0" applyFill="1" applyAlignment="1">
      <alignment horizontal="left" vertical="center" wrapText="1"/>
    </xf>
    <xf numFmtId="0" fontId="0" fillId="0" borderId="0" xfId="0" applyFill="1" applyAlignment="1">
      <alignment horizontal="left" vertical="center" wrapText="1"/>
    </xf>
    <xf numFmtId="16" fontId="8" fillId="0" borderId="3" xfId="0" applyNumberFormat="1" applyFont="1" applyFill="1" applyBorder="1" applyAlignment="1">
      <alignment horizontal="center" vertical="center"/>
    </xf>
    <xf numFmtId="0" fontId="8" fillId="0" borderId="3" xfId="0" applyFont="1" applyFill="1" applyBorder="1" applyAlignment="1">
      <alignment horizontal="center" vertical="center"/>
    </xf>
    <xf numFmtId="0" fontId="8" fillId="0" borderId="3" xfId="0" applyFont="1" applyFill="1" applyBorder="1" applyAlignment="1">
      <alignment wrapText="1"/>
    </xf>
    <xf numFmtId="14" fontId="8" fillId="0" borderId="3" xfId="0" applyNumberFormat="1" applyFont="1" applyFill="1" applyBorder="1" applyAlignment="1">
      <alignment horizontal="center" vertical="center"/>
    </xf>
    <xf numFmtId="0" fontId="0" fillId="0" borderId="0" xfId="0" applyFill="1" applyAlignment="1">
      <alignment horizontal="center" vertical="center"/>
    </xf>
    <xf numFmtId="0" fontId="5" fillId="0" borderId="0" xfId="0" applyFont="1" applyAlignment="1">
      <alignment horizontal="center" vertical="center"/>
    </xf>
    <xf numFmtId="8" fontId="15" fillId="0" borderId="0" xfId="3" applyNumberFormat="1" applyFont="1" applyFill="1" applyBorder="1" applyAlignment="1">
      <alignment horizontal="center" vertical="center" wrapText="1"/>
    </xf>
    <xf numFmtId="164" fontId="15" fillId="0" borderId="0" xfId="3" applyNumberFormat="1" applyFont="1" applyFill="1" applyBorder="1" applyAlignment="1">
      <alignment horizontal="center" vertical="center"/>
    </xf>
    <xf numFmtId="164" fontId="8" fillId="0" borderId="0" xfId="2" applyNumberFormat="1" applyFont="1" applyFill="1" applyBorder="1" applyAlignment="1">
      <alignment horizontal="center" vertical="center"/>
    </xf>
    <xf numFmtId="0" fontId="8" fillId="0" borderId="0" xfId="2" applyFont="1" applyFill="1" applyBorder="1" applyAlignment="1">
      <alignment horizontal="center" vertical="center"/>
    </xf>
    <xf numFmtId="0" fontId="14" fillId="0" borderId="0" xfId="0" applyFont="1" applyAlignment="1">
      <alignment horizontal="left" vertical="center"/>
    </xf>
    <xf numFmtId="4" fontId="0" fillId="0" borderId="0" xfId="0" applyNumberFormat="1" applyAlignment="1">
      <alignment horizontal="center" vertical="center"/>
    </xf>
    <xf numFmtId="4" fontId="8" fillId="0" borderId="3" xfId="0" applyNumberFormat="1" applyFont="1" applyFill="1" applyBorder="1" applyAlignment="1">
      <alignment horizontal="center" vertical="center" wrapText="1"/>
    </xf>
    <xf numFmtId="4" fontId="8" fillId="0" borderId="0" xfId="0" applyNumberFormat="1" applyFont="1" applyFill="1" applyBorder="1" applyAlignment="1">
      <alignment horizontal="center" vertical="center" wrapText="1"/>
    </xf>
    <xf numFmtId="4" fontId="8" fillId="0" borderId="0" xfId="0" applyNumberFormat="1" applyFont="1" applyFill="1" applyBorder="1" applyAlignment="1">
      <alignment horizontal="center" vertical="center"/>
    </xf>
    <xf numFmtId="4" fontId="15" fillId="0" borderId="0" xfId="3" applyNumberFormat="1" applyFont="1" applyFill="1" applyBorder="1" applyAlignment="1">
      <alignment horizontal="center" vertical="center" wrapText="1"/>
    </xf>
    <xf numFmtId="4" fontId="8" fillId="0" borderId="0" xfId="0" applyNumberFormat="1" applyFont="1" applyAlignment="1">
      <alignment horizontal="center" vertical="center"/>
    </xf>
    <xf numFmtId="0" fontId="5" fillId="0" borderId="3" xfId="0" applyFont="1" applyFill="1" applyBorder="1" applyAlignment="1">
      <alignment wrapText="1"/>
    </xf>
    <xf numFmtId="0" fontId="4" fillId="5" borderId="3" xfId="0" applyFont="1" applyFill="1" applyBorder="1" applyAlignment="1">
      <alignment horizontal="center" vertical="center"/>
    </xf>
    <xf numFmtId="0" fontId="4" fillId="5" borderId="3" xfId="0" applyFont="1" applyFill="1" applyBorder="1" applyAlignment="1">
      <alignment horizontal="center" vertical="center" wrapText="1"/>
    </xf>
    <xf numFmtId="4" fontId="4" fillId="5" borderId="3" xfId="0" applyNumberFormat="1" applyFont="1" applyFill="1" applyBorder="1" applyAlignment="1">
      <alignment horizontal="center" vertical="center"/>
    </xf>
    <xf numFmtId="0" fontId="0" fillId="0" borderId="3" xfId="0" applyFill="1" applyBorder="1" applyAlignment="1">
      <alignment horizontal="center" vertical="center"/>
    </xf>
    <xf numFmtId="0" fontId="17" fillId="5" borderId="1" xfId="2" applyFont="1" applyFill="1" applyAlignment="1">
      <alignment wrapText="1"/>
    </xf>
    <xf numFmtId="0" fontId="0" fillId="0" borderId="3" xfId="0" applyFont="1" applyFill="1" applyBorder="1" applyAlignment="1">
      <alignment horizontal="center" vertical="center" wrapText="1"/>
    </xf>
    <xf numFmtId="0" fontId="0" fillId="0" borderId="3" xfId="0" applyBorder="1" applyAlignment="1">
      <alignment wrapText="1"/>
    </xf>
    <xf numFmtId="0" fontId="0" fillId="0" borderId="3" xfId="0" applyFill="1" applyBorder="1" applyAlignment="1">
      <alignment horizontal="center" vertical="center" wrapText="1"/>
    </xf>
    <xf numFmtId="0" fontId="8" fillId="0" borderId="3" xfId="0" applyFont="1" applyFill="1" applyBorder="1" applyAlignment="1"/>
    <xf numFmtId="16" fontId="0" fillId="0" borderId="3" xfId="0" applyNumberFormat="1" applyFill="1" applyBorder="1" applyAlignment="1">
      <alignment horizontal="center" vertical="center"/>
    </xf>
    <xf numFmtId="44" fontId="0" fillId="0" borderId="3" xfId="5" applyFont="1" applyFill="1" applyBorder="1" applyAlignment="1">
      <alignment vertical="center"/>
    </xf>
    <xf numFmtId="8" fontId="8" fillId="0" borderId="3" xfId="0" applyNumberFormat="1" applyFont="1" applyFill="1" applyBorder="1" applyAlignment="1">
      <alignment vertical="center"/>
    </xf>
    <xf numFmtId="0" fontId="0" fillId="0" borderId="3" xfId="0" applyFill="1" applyBorder="1" applyAlignment="1">
      <alignment vertical="center"/>
    </xf>
    <xf numFmtId="8" fontId="0" fillId="0" borderId="3" xfId="0" applyNumberFormat="1" applyBorder="1" applyAlignment="1">
      <alignment vertical="center"/>
    </xf>
    <xf numFmtId="16" fontId="0" fillId="0" borderId="3" xfId="0" applyNumberFormat="1" applyBorder="1" applyAlignment="1">
      <alignment horizontal="center" vertical="center"/>
    </xf>
    <xf numFmtId="0" fontId="0" fillId="0" borderId="3" xfId="0" applyBorder="1" applyAlignment="1">
      <alignment vertical="center"/>
    </xf>
    <xf numFmtId="0" fontId="10" fillId="0" borderId="3" xfId="4" applyBorder="1" applyAlignment="1"/>
    <xf numFmtId="0" fontId="10" fillId="0" borderId="3" xfId="4" applyBorder="1" applyAlignment="1">
      <alignment wrapText="1"/>
    </xf>
    <xf numFmtId="0" fontId="8" fillId="0" borderId="3" xfId="4" applyFont="1" applyFill="1" applyBorder="1" applyAlignment="1">
      <alignment horizontal="center" vertical="center"/>
    </xf>
    <xf numFmtId="0" fontId="13" fillId="0" borderId="3" xfId="0" applyFont="1" applyFill="1" applyBorder="1" applyAlignment="1">
      <alignment horizontal="center" vertical="center" wrapText="1"/>
    </xf>
    <xf numFmtId="0" fontId="13" fillId="0" borderId="3" xfId="0" applyFont="1" applyBorder="1" applyAlignment="1">
      <alignment horizontal="center" vertical="center" wrapText="1"/>
    </xf>
    <xf numFmtId="0" fontId="8" fillId="0" borderId="2" xfId="0" applyFont="1" applyFill="1" applyBorder="1" applyAlignment="1"/>
    <xf numFmtId="16" fontId="12" fillId="0" borderId="3" xfId="0" applyNumberFormat="1" applyFont="1" applyFill="1" applyBorder="1" applyAlignment="1">
      <alignment horizontal="center" vertical="center"/>
    </xf>
    <xf numFmtId="0" fontId="12" fillId="0" borderId="3" xfId="0" applyFont="1" applyFill="1" applyBorder="1" applyAlignment="1">
      <alignment horizontal="center" vertical="center"/>
    </xf>
    <xf numFmtId="44" fontId="12" fillId="0" borderId="3" xfId="5" applyFont="1" applyFill="1" applyBorder="1" applyAlignment="1">
      <alignment vertical="center"/>
    </xf>
    <xf numFmtId="0" fontId="12" fillId="0" borderId="3" xfId="0" applyFont="1" applyFill="1" applyBorder="1" applyAlignment="1"/>
    <xf numFmtId="0" fontId="12" fillId="0" borderId="3" xfId="0" applyFont="1" applyFill="1" applyBorder="1" applyAlignment="1">
      <alignment wrapText="1"/>
    </xf>
    <xf numFmtId="0" fontId="12" fillId="0" borderId="0" xfId="0" applyFont="1" applyFill="1" applyBorder="1"/>
    <xf numFmtId="16" fontId="0" fillId="0" borderId="3" xfId="0" applyNumberFormat="1" applyFont="1" applyFill="1" applyBorder="1" applyAlignment="1">
      <alignment horizontal="center" vertical="center"/>
    </xf>
    <xf numFmtId="0" fontId="0" fillId="0" borderId="3" xfId="0" applyFont="1" applyFill="1" applyBorder="1" applyAlignment="1">
      <alignment horizontal="center" vertical="center"/>
    </xf>
    <xf numFmtId="0" fontId="0" fillId="0" borderId="3" xfId="0" applyFont="1" applyFill="1" applyBorder="1" applyAlignment="1">
      <alignment horizontal="left" vertical="center" wrapText="1"/>
    </xf>
    <xf numFmtId="44" fontId="0" fillId="0" borderId="3" xfId="5" applyFont="1" applyBorder="1" applyAlignment="1">
      <alignment vertical="center"/>
    </xf>
    <xf numFmtId="0" fontId="0" fillId="0" borderId="3" xfId="0" applyFont="1" applyFill="1" applyBorder="1" applyAlignment="1">
      <alignment wrapText="1"/>
    </xf>
    <xf numFmtId="0" fontId="0" fillId="0" borderId="0" xfId="0" applyFont="1" applyFill="1" applyBorder="1"/>
    <xf numFmtId="0" fontId="20" fillId="0" borderId="3" xfId="0" applyFont="1" applyFill="1" applyBorder="1" applyAlignment="1">
      <alignment horizontal="center" vertical="center"/>
    </xf>
    <xf numFmtId="0" fontId="20" fillId="0" borderId="3" xfId="0" applyFont="1" applyFill="1" applyBorder="1" applyAlignment="1">
      <alignment horizontal="center" vertical="center" wrapText="1"/>
    </xf>
    <xf numFmtId="0" fontId="20" fillId="0" borderId="3" xfId="0" applyFont="1" applyBorder="1" applyAlignment="1">
      <alignment horizontal="center" vertical="center" wrapText="1"/>
    </xf>
    <xf numFmtId="0" fontId="20" fillId="0" borderId="3" xfId="0" applyFont="1" applyFill="1" applyBorder="1" applyAlignment="1"/>
    <xf numFmtId="0" fontId="20" fillId="0" borderId="0" xfId="0" applyFont="1" applyFill="1" applyAlignment="1">
      <alignment horizontal="center" vertical="center" wrapText="1"/>
    </xf>
    <xf numFmtId="4" fontId="0" fillId="0" borderId="3" xfId="0" applyNumberFormat="1" applyFont="1" applyFill="1" applyBorder="1" applyAlignment="1">
      <alignment horizontal="center" vertical="center" wrapText="1"/>
    </xf>
    <xf numFmtId="0" fontId="21" fillId="0" borderId="3" xfId="4" applyFont="1" applyFill="1" applyBorder="1" applyAlignment="1">
      <alignment horizontal="center" vertical="center"/>
    </xf>
    <xf numFmtId="0" fontId="0" fillId="0" borderId="3" xfId="4" applyFont="1" applyFill="1" applyBorder="1" applyAlignment="1">
      <alignment horizontal="center" vertical="center"/>
    </xf>
    <xf numFmtId="0" fontId="0" fillId="0" borderId="0" xfId="0" applyFont="1" applyFill="1" applyAlignment="1">
      <alignment horizontal="center" vertical="center" wrapText="1"/>
    </xf>
    <xf numFmtId="0" fontId="23" fillId="0" borderId="0" xfId="4" applyFont="1"/>
    <xf numFmtId="0" fontId="7" fillId="5" borderId="3" xfId="0" applyFont="1" applyFill="1" applyBorder="1"/>
    <xf numFmtId="0" fontId="7" fillId="5" borderId="3" xfId="0" applyFont="1" applyFill="1" applyBorder="1" applyAlignment="1">
      <alignment horizontal="left"/>
    </xf>
    <xf numFmtId="0" fontId="0" fillId="0" borderId="3" xfId="0" applyBorder="1" applyAlignment="1">
      <alignment horizontal="left"/>
    </xf>
    <xf numFmtId="0" fontId="10" fillId="0" borderId="3" xfId="7" applyBorder="1"/>
    <xf numFmtId="0" fontId="25" fillId="0" borderId="0" xfId="0" applyFont="1"/>
    <xf numFmtId="0" fontId="10" fillId="0" borderId="0" xfId="7"/>
    <xf numFmtId="0" fontId="0" fillId="0" borderId="0" xfId="0" applyAlignment="1">
      <alignment horizontal="left"/>
    </xf>
    <xf numFmtId="0" fontId="0" fillId="0" borderId="0" xfId="0" applyAlignment="1"/>
    <xf numFmtId="0" fontId="24" fillId="0" borderId="3" xfId="6" applyBorder="1"/>
    <xf numFmtId="0" fontId="4" fillId="14" borderId="3" xfId="0" applyFont="1" applyFill="1" applyBorder="1" applyAlignment="1">
      <alignment horizontal="center" vertical="center" wrapText="1"/>
    </xf>
    <xf numFmtId="0" fontId="7" fillId="14" borderId="3" xfId="0" applyFont="1" applyFill="1" applyBorder="1" applyAlignment="1">
      <alignment wrapText="1"/>
    </xf>
  </cellXfs>
  <cellStyles count="8">
    <cellStyle name="Calculation" xfId="3" builtinId="22"/>
    <cellStyle name="Currency" xfId="5" builtinId="4"/>
    <cellStyle name="Followed Hyperlink" xfId="6" builtinId="9"/>
    <cellStyle name="Hyperlink" xfId="4" builtinId="8"/>
    <cellStyle name="Hyperlink 2" xfId="7"/>
    <cellStyle name="Input" xfId="2" builtinId="20"/>
    <cellStyle name="Neutral" xfId="1" builtinId="28"/>
    <cellStyle name="Normal" xfId="0" builtinId="0"/>
  </cellStyles>
  <dxfs count="0"/>
  <tableStyles count="0" defaultTableStyle="TableStyleMedium2" defaultPivotStyle="PivotStyleLight16"/>
  <colors>
    <mruColors>
      <color rgb="FFBA97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yingcong.fu/Desktop/C:/Users/SDSA/Downloads/ME%20Holiday%20Deals_FINAL%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ingcong.fu/Desktop/C:/Users/a.couvaras.CORP/AppData/Local/Microsoft/Windows/INetCache/Content.Outlook/MPWBH1I6/ME%20Holiday%20Deals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s Pricing"/>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s Pricing"/>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shopsamsung.page.link/?link=https%3A%2F%2Fwww.samsung.com%2Fus%2Fwatches%2Fgalaxy-watch3%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watches%2Fgalaxy-watch3%2Findex.html%23utm_source%3Dsamsung%23utm_medium%3Demail%23utm_campaign%3D12182020_post_holiday%23marsLinkCategory%3D__MARSTRACKING__%23MKM_RID%3D__BPNUMBER__%23MKM_MID%3D__DELIVERNAME__%23cid%3D__CID____SEGMENTCODE__%23bpid%3D__BPNUMBER__&amp;afl=https%3A%2F%2Fwww.samsung.com%2Fus%2Fwatches%2Fgalaxy-watch3%2Fbuy%2F%3Futm_source%3Dsamsung%26utm_medium%3Demail%26utm_campaign%3D12182020_post_holiday%26marsLinkCategory%3D__MARSTRACKING__%26MKM_RID%3D__BPNUMBER__%26MKM_MID%3D__DELIVERNAME__%26cid%3D__CID____SEGMENTCODE__%26bpid%3D__BPNUMBER__&amp;efr=1" TargetMode="External"/><Relationship Id="rId13" Type="http://schemas.openxmlformats.org/officeDocument/2006/relationships/hyperlink" Target="https://shopsamsung.page.link/?link=https%3A%2F%2Fwww.samsung.com%2Fus%2Ftablets%2Ftab-s7%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tablets%2Ftab-s7%2Findex.html%23utm_source%3Dsamsung%23utm_medium%3Demail%23utm_campaign%3D12182020_post_holiday%23marsLinkCategory%3D__MARSTRACKING__%23MKM_RID%3D__BPNUMBER__%23MKM_MID%3D__DELIVERNAME__%23cid%3D__CID____SEGMENTCODE__%23bpid%3D__BPNUMBER__&amp;afl=https%3A%2F%2Fwww.samsung.com%2Fus%2Ftablets%2Ftab-s7%2Fbuy%2F%3Futm_source%3Dsamsung%26utm_medium%3Demail%26utm_campaign%3D12182020_post_holiday%26marsLinkCategory%3D__MARSTRACKING__%26MKM_RID%3D__BPNUMBER__%26MKM_MID%3D__DELIVERNAME__%26cid%3D__CID____SEGMENTCODE__%26bpid%3D__BPNUMBER__&amp;efr=1" TargetMode="External"/><Relationship Id="rId18" Type="http://schemas.openxmlformats.org/officeDocument/2006/relationships/printerSettings" Target="../printerSettings/printerSettings2.bin"/><Relationship Id="rId3" Type="http://schemas.openxmlformats.org/officeDocument/2006/relationships/hyperlink" Target="https://www.samsung.com/us/tablets/tab-s7/buy/" TargetMode="External"/><Relationship Id="rId7" Type="http://schemas.openxmlformats.org/officeDocument/2006/relationships/hyperlink" Target="https://shopsamsung.page.link/?link=https%3A%2F%2Fwww.samsung.com%2Fus%2Ftablets%2Ftab-s7%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tablets%2Ftab-s7%2Findex.html%23utm_source%3Dsamsung%23utm_medium%3Demail%23utm_campaign%3D12182020_post_holiday%23marsLinkCategory%3D__MARSTRACKING__%23MKM_RID%3D__BPNUMBER__%23MKM_MID%3D__DELIVERNAME__%23cid%3D__CID____SEGMENTCODE__%23bpid%3D__BPNUMBER__&amp;afl=https%3A%2F%2Fwww.samsung.com%2Fus%2Ftablets%2Ftab-s7%2Fbuy%2F%3Futm_source%3Dsamsung%26utm_medium%3Demail%26utm_campaign%3D12182020_post_holiday%26marsLinkCategory%3D__MARSTRACKING__%26MKM_RID%3D__BPNUMBER__%26MKM_MID%3D__DELIVERNAME__%26cid%3D__CID____SEGMENTCODE__%26bpid%3D__BPNUMBER__&amp;efr=1" TargetMode="External"/><Relationship Id="rId12" Type="http://schemas.openxmlformats.org/officeDocument/2006/relationships/hyperlink" Target="https://shopsamsung.page.link/?link=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26iosparam%3Dsamsungestore%25253A%25252F%25252Fopencategory%252523category%25253DN0003053%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category%23category%3DN0003053%23utm_source%3Dsamsung%23utm_medium%3Demail%23utm_campaign%3D12182020_post_holiday%23marsLinkCategory%3D__MARSTRACKING__%23MKM_RID%3D__BPNUMBER__%23MKM_MID%3D__DELIVERNAME__%23cid%3D__CID____SEGMENTCODE__%23bpid%3D__BPNUMBER__&amp;afl=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amp;efr=1" TargetMode="External"/><Relationship Id="rId17" Type="http://schemas.openxmlformats.org/officeDocument/2006/relationships/hyperlink" Target="https://shopsamsung.page.link/?link=https%3A%2F%2Fwww.samsung.com%2Fus%2Fmobile%2Fphones%2Fgalaxy-a%2Fbuy%2F%3FmodelCode%3DSM-A716UZKNXAA%26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smartphones%2Fgalaxy-a50%2Findex.html%3FskipDevice%3Dgalaxy-a71-5g%23utm_source%3Dsamsung%23utm_medium%3Demail%23utm_campaign%3D12182020_post_holiday%23marsLinkCategory%3D__MARSTRACKING__%23MKM_RID%3D__BPNUMBER__%23MKM_MID%3D__DELIVERNAME__%23cid%3D__CID____SEGMENTCODE__%23bpid%3D__BPNUMBER__&amp;afl=https%3A%2F%2Fwww.samsung.com%2Fus%2Fmobile%2Fphones%2Fgalaxy-a%2Fbuy%2F%3FmodelCode%3DSM-A716UZKNXAA%26utm_source%3Dsamsung%26utm_medium%3Demail%26utm_campaign%3D12182020_post_holiday%26marsLinkCategory%3D__MARSTRACKING__%26MKM_RID%3D__BPNUMBER__%26MKM_MID%3D__DELIVERNAME__%26cid%3D__CID____SEGMENTCODE__%26bpid%3D__BPNUMBER__&amp;efr=1" TargetMode="External"/><Relationship Id="rId2" Type="http://schemas.openxmlformats.org/officeDocument/2006/relationships/hyperlink" Target="https://www.samsung.com/us/home-appliances/vacuums/all-vacuums/?shop=Buy+Online&amp;type=Jet+Stick" TargetMode="External"/><Relationship Id="rId16" Type="http://schemas.openxmlformats.org/officeDocument/2006/relationships/hyperlink" Target="https://shopsamsung.page.link/?link=https%3A%2F%2Fwww.samsung.com%2Fus%2Fsearch%2FsearchMain%2F%3FlistType%3Dg%26searchTerm%3Dcpo%26sort%3Drelevance%26size%3D30%26item_type%3DPhones%26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plp%23products%3D%5BSM5G973UZKAXAA%2CSM5G975UZKAXAA%2CSM5G970UZKAXAA%2CSM5N960UZKAXAA%2CSM5G960UZKAXAA%2CSM5N970UZKAXAA%2CSM5N975UZKAXAA%2CSM5G965UZKAXAA%5D%23utm_source%3Dsamsung%23utm_medium%3Demail%23utm_campaign%3D12182020_post_holiday%23marsLinkCategory%3D__MARSTRACKING__%23MKM_RID%3D__BPNUMBER__%23MKM_MID%3D__DELIVERNAME__%23cid%3D__CID____SEGMENTCODE__%23bpid%3D__BPNUMBER__&amp;afl=https%3A%2F%2Fwww.samsung.com%2Fus%2Fsearch%2FsearchMain%2F%3FlistType%3Dg%26searchTerm%3Dcpo%26sort%3Drelevance%26size%3D30%26item_type%3DPhones%26utm_source%3Dsamsung%26utm_medium%3Demail%26utm_campaign%3D12182020_post_holiday%26marsLinkCategory%3D__MARSTRACKING__%26MKM_RID%3D__BPNUMBER__%26MKM_MID%3D__DELIVERNAME__%26cid%3D__CID____SEGMENTCODE__%26bpid%3D__BPNUMBER__&amp;efr=1" TargetMode="External"/><Relationship Id="rId1" Type="http://schemas.openxmlformats.org/officeDocument/2006/relationships/hyperlink" Target="https://www.samsung.com/us/home-appliances/vacuums/all-vacuums/?shop=Buy+Online&amp;type=Jet+Stick" TargetMode="External"/><Relationship Id="rId6" Type="http://schemas.openxmlformats.org/officeDocument/2006/relationships/hyperlink" Target="https://shopsamsung.page.link/?link=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26iosparam%3Dsamsungestore%25253A%25252F%25252Fopencategory%252523category%25253DN0003053%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category%23category%3DN0003053%23utm_source%3Dsamsung%23utm_medium%3Demail%23utm_campaign%3D12182020_post_holiday%23marsLinkCategory%3D__MARSTRACKING__%23MKM_RID%3D__BPNUMBER__%23MKM_MID%3D__DELIVERNAME__%23cid%3D__CID____SEGMENTCODE__%23bpid%3D__BPNUMBER__&amp;afl=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amp;efr=1" TargetMode="External"/><Relationship Id="rId11" Type="http://schemas.openxmlformats.org/officeDocument/2006/relationships/hyperlink" Target="https://shopsamsung.page.link/?link=https%3A%2F%2Fwww.samsung.com%2Fus%2Fmobile%2Fphones%2Fgalaxy-a%2Fbuy%2F%3FmodelCode%3DSM-A716UZKNXAA%26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smartphones%2Fgalaxy-a50%2Findex.html%3FskipDevice%3Dgalaxy-a71-5g%23utm_source%3Dsamsung%23utm_medium%3Demail%23utm_campaign%3D12182020_post_holiday%23marsLinkCategory%3D__MARSTRACKING__%23MKM_RID%3D__BPNUMBER__%23MKM_MID%3D__DELIVERNAME__%23cid%3D__CID____SEGMENTCODE__%23bpid%3D__BPNUMBER__&amp;afl=https%3A%2F%2Fwww.samsung.com%2Fus%2Fmobile%2Fphones%2Fgalaxy-a%2Fbuy%2F%3FmodelCode%3DSM-A716UZKNXAA%26utm_source%3Dsamsung%26utm_medium%3Demail%26utm_campaign%3D12182020_post_holiday%26marsLinkCategory%3D__MARSTRACKING__%26MKM_RID%3D__BPNUMBER__%26MKM_MID%3D__DELIVERNAME__%26cid%3D__CID____SEGMENTCODE__%26bpid%3D__BPNUMBER__&amp;efr=1" TargetMode="External"/><Relationship Id="rId5" Type="http://schemas.openxmlformats.org/officeDocument/2006/relationships/hyperlink" Target="https://shopsamsung.page.link/?link=https%3A%2F%2Fwww.samsung.com%2Fus%2Ftablets%2Ftab-s7%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tablets%2Ftab-s7%2Findex.html%23utm_source%3Dsamsung%23utm_medium%3Demail%23utm_campaign%3D12182020_post_holiday%23marsLinkCategory%3D__MARSTRACKING__%23MKM_RID%3D__BPNUMBER__%23MKM_MID%3D__DELIVERNAME__%23cid%3D__CID____SEGMENTCODE__%23bpid%3D__BPNUMBER__&amp;afl=https%3A%2F%2Fwww.samsung.com%2Fus%2Ftablets%2Ftab-s7%2Fbuy%2F%3Futm_source%3Dsamsung%26utm_medium%3Demail%26utm_campaign%3D12182020_post_holiday%26marsLinkCategory%3D__MARSTRACKING__%26MKM_RID%3D__BPNUMBER__%26MKM_MID%3D__DELIVERNAME__%26cid%3D__CID____SEGMENTCODE__%26bpid%3D__BPNUMBER__&amp;efr=1" TargetMode="External"/><Relationship Id="rId15" Type="http://schemas.openxmlformats.org/officeDocument/2006/relationships/hyperlink" Target="https://shopsamsung.page.link/?link=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26iosparam%3Dsamsungestore%25253A%25252F%25252Fopenpdp%252523product%25253DSM-R180NZKAXAR%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pdp%23product%3DSM-R180NZKAXAR%23utm_source%3Dsamsung%23utm_medium%3Demail%23utm_campaign%3D12182020_post_holiday%23marsLinkCategory%3D__MARSTRACKING__%23MKM_RID%3D__BPNUMBER__%23MKM_MID%3D__DELIVERNAME__%23cid%3D__CID____SEGMENTCODE__%23bpid%3D__BPNUMBER__&amp;afl=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amp;efr=1" TargetMode="External"/><Relationship Id="rId10" Type="http://schemas.openxmlformats.org/officeDocument/2006/relationships/hyperlink" Target="https://shopsamsung.page.link/?link=https%3A%2F%2Fwww.samsung.com%2Fus%2Fsearch%2FsearchMain%2F%3FlistType%3Dg%26searchTerm%3Dcpo%26sort%3Drelevance%26size%3D30%26item_type%3DPhones%26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plp%23products%3D%5BSM5G973UZKAXAA%2CSM5G975UZKAXAA%2CSM5G970UZKAXAA%2CSM5N960UZKAXAA%2CSM5G960UZKAXAA%2CSM5N970UZKAXAA%2CSM5N975UZKAXAA%2CSM5G965UZKAXAA%5D%23utm_source%3Dsamsung%23utm_medium%3Demail%23utm_campaign%3D12182020_post_holiday%23marsLinkCategory%3D__MARSTRACKING__%23MKM_RID%3D__BPNUMBER__%23MKM_MID%3D__DELIVERNAME__%23cid%3D__CID____SEGMENTCODE__%23bpid%3D__BPNUMBER__&amp;afl=https%3A%2F%2Fwww.samsung.com%2Fus%2Fsearch%2FsearchMain%2F%3FlistType%3Dg%26searchTerm%3Dcpo%26sort%3Drelevance%26size%3D30%26item_type%3DPhones%26utm_source%3Dsamsung%26utm_medium%3Demail%26utm_campaign%3D12182020_post_holiday%26marsLinkCategory%3D__MARSTRACKING__%26MKM_RID%3D__BPNUMBER__%26MKM_MID%3D__DELIVERNAME__%26cid%3D__CID____SEGMENTCODE__%26bpid%3D__BPNUMBER__&amp;efr=1" TargetMode="External"/><Relationship Id="rId4" Type="http://schemas.openxmlformats.org/officeDocument/2006/relationships/hyperlink" Target="https://www.samsung.com/us/tablets/tab-s7/buy/" TargetMode="External"/><Relationship Id="rId9" Type="http://schemas.openxmlformats.org/officeDocument/2006/relationships/hyperlink" Target="https://shopsamsung.page.link/?link=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26iosparam%3Dsamsungestore%25253A%25252F%25252Fopenpdp%252523product%25253DSM-R180NZKAXAR%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pdp%23product%3DSM-R180NZKAXAR%23utm_source%3Dsamsung%23utm_medium%3Demail%23utm_campaign%3D12182020_post_holiday%23marsLinkCategory%3D__MARSTRACKING__%23MKM_RID%3D__BPNUMBER__%23MKM_MID%3D__DELIVERNAME__%23cid%3D__CID____SEGMENTCODE__%23bpid%3D__BPNUMBER__&amp;afl=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amp;efr=1" TargetMode="External"/><Relationship Id="rId14" Type="http://schemas.openxmlformats.org/officeDocument/2006/relationships/hyperlink" Target="https://shopsamsung.page.link/?link=https%3A%2F%2Fwww.samsung.com%2Fus%2Fwatches%2Fgalaxy-watch3%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watches%2Fgalaxy-watch3%2Findex.html%23utm_source%3Dsamsung%23utm_medium%3Demail%23utm_campaign%3D12182020_post_holiday%23marsLinkCategory%3D__MARSTRACKING__%23MKM_RID%3D__BPNUMBER__%23MKM_MID%3D__DELIVERNAME__%23cid%3D__CID____SEGMENTCODE__%23bpid%3D__BPNUMBER__&amp;afl=https%3A%2F%2Fwww.samsung.com%2Fus%2Fwatches%2Fgalaxy-watch3%2Fbuy%2F%3Futm_source%3Dsamsung%26utm_medium%3Demail%26utm_campaign%3D12182020_post_holiday%26marsLinkCategory%3D__MARSTRACKING__%26MKM_RID%3D__BPNUMBER__%26MKM_MID%3D__DELIVERNAME__%26cid%3D__CID____SEGMENTCODE__%26bpid%3D__BPNUMBER__&amp;efr=1"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samsung.com/us/home-appliances/vacuums/all-vacuums/?shop=Buy+Online&amp;type=Jet+Stick" TargetMode="External"/><Relationship Id="rId1" Type="http://schemas.openxmlformats.org/officeDocument/2006/relationships/hyperlink" Target="https://www.samsung.com/us/tablets/tab-s7/buy/"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amsung.com/us/shop/all-deals/" TargetMode="External"/><Relationship Id="rId1" Type="http://schemas.openxmlformats.org/officeDocument/2006/relationships/hyperlink" Target="https://www.samsung.com/us/shop/all-deal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shopsamsung.page.link/?link=https%3A%2F%2Fwww.samsung.com%2Fus%2Fwatches%2Fgalaxy-watch3%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watches%2Fgalaxy-watch3%2Findex.html%23utm_source%3Dsamsung%23utm_medium%3Demail%23utm_campaign%3D12182020_post_holiday%23marsLinkCategory%3D__MARSTRACKING__%23MKM_RID%3D__BPNUMBER__%23MKM_MID%3D__DELIVERNAME__%23cid%3D__CID____SEGMENTCODE__%23bpid%3D__BPNUMBER__&amp;afl=https%3A%2F%2Fwww.samsung.com%2Fus%2Fwatches%2Fgalaxy-watch3%2Fbuy%2F%3Futm_source%3Dsamsung%26utm_medium%3Demail%26utm_campaign%3D12182020_post_holiday%26marsLinkCategory%3D__MARSTRACKING__%26MKM_RID%3D__BPNUMBER__%26MKM_MID%3D__DELIVERNAME__%26cid%3D__CID____SEGMENTCODE__%26bpid%3D__BPNUMBER__&amp;efr=1" TargetMode="External"/><Relationship Id="rId2" Type="http://schemas.openxmlformats.org/officeDocument/2006/relationships/hyperlink" Target="https://shopsamsung.page.link/?link=https%3A%2F%2Fwww.samsung.com%2Fus%2Ftablets%2Ftab-s7%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tablets%2Ftab-s7%2Findex.html%23utm_source%3Dsamsung%23utm_medium%3Demail%23utm_campaign%3D12182020_post_holiday%23marsLinkCategory%3D__MARSTRACKING__%23MKM_RID%3D__BPNUMBER__%23MKM_MID%3D__DELIVERNAME__%23cid%3D__CID____SEGMENTCODE__%23bpid%3D__BPNUMBER__&amp;afl=https%3A%2F%2Fwww.samsung.com%2Fus%2Ftablets%2Ftab-s7%2Fbuy%2F%3Futm_source%3Dsamsung%26utm_medium%3Demail%26utm_campaign%3D12182020_post_holiday%26marsLinkCategory%3D__MARSTRACKING__%26MKM_RID%3D__BPNUMBER__%26MKM_MID%3D__DELIVERNAME__%26cid%3D__CID____SEGMENTCODE__%26bpid%3D__BPNUMBER__&amp;efr=1" TargetMode="External"/><Relationship Id="rId1" Type="http://schemas.openxmlformats.org/officeDocument/2006/relationships/hyperlink" Target="https://shopsamsung.page.link/?link=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26iosparam%3Dsamsungestore%25253A%25252F%25252Fopencategory%252523category%25253DN0003053%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category%23category%3DN0003053%23utm_source%3Dsamsung%23utm_medium%3Demail%23utm_campaign%3D12182020_post_holiday%23marsLinkCategory%3D__MARSTRACKING__%23MKM_RID%3D__BPNUMBER__%23MKM_MID%3D__DELIVERNAME__%23cid%3D__CID____SEGMENTCODE__%23bpid%3D__BPNUMBER__&amp;afl=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amp;efr=1" TargetMode="External"/><Relationship Id="rId6" Type="http://schemas.openxmlformats.org/officeDocument/2006/relationships/hyperlink" Target="https://shopsamsung.page.link/?link=https%3A%2F%2Fwww.samsung.com%2Fus%2Fmobile%2Fphones%2Fgalaxy-a%2Fbuy%2F%3FmodelCode%3DSM-A716UZKNXAA%26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smartphones%2Fgalaxy-a50%2Findex.html%3FskipDevice%3Dgalaxy-a71-5g%23utm_source%3Dsamsung%23utm_medium%3Demail%23utm_campaign%3D12182020_post_holiday%23marsLinkCategory%3D__MARSTRACKING__%23MKM_RID%3D__BPNUMBER__%23MKM_MID%3D__DELIVERNAME__%23cid%3D__CID____SEGMENTCODE__%23bpid%3D__BPNUMBER__&amp;afl=https%3A%2F%2Fwww.samsung.com%2Fus%2Fmobile%2Fphones%2Fgalaxy-a%2Fbuy%2F%3FmodelCode%3DSM-A716UZKNXAA%26utm_source%3Dsamsung%26utm_medium%3Demail%26utm_campaign%3D12182020_post_holiday%26marsLinkCategory%3D__MARSTRACKING__%26MKM_RID%3D__BPNUMBER__%26MKM_MID%3D__DELIVERNAME__%26cid%3D__CID____SEGMENTCODE__%26bpid%3D__BPNUMBER__&amp;efr=1" TargetMode="External"/><Relationship Id="rId5" Type="http://schemas.openxmlformats.org/officeDocument/2006/relationships/hyperlink" Target="https://shopsamsung.page.link/?link=https%3A%2F%2Fwww.samsung.com%2Fus%2Fsearch%2FsearchMain%2F%3FlistType%3Dg%26searchTerm%3Dcpo%26sort%3Drelevance%26size%3D30%26item_type%3DPhones%26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plp%23products%3D%5BSM5G973UZKAXAA%2CSM5G975UZKAXAA%2CSM5G970UZKAXAA%2CSM5N960UZKAXAA%2CSM5G960UZKAXAA%2CSM5N970UZKAXAA%2CSM5N975UZKAXAA%2CSM5G965UZKAXAA%5D%23utm_source%3Dsamsung%23utm_medium%3Demail%23utm_campaign%3D12182020_post_holiday%23marsLinkCategory%3D__MARSTRACKING__%23MKM_RID%3D__BPNUMBER__%23MKM_MID%3D__DELIVERNAME__%23cid%3D__CID____SEGMENTCODE__%23bpid%3D__BPNUMBER__&amp;afl=https%3A%2F%2Fwww.samsung.com%2Fus%2Fsearch%2FsearchMain%2F%3FlistType%3Dg%26searchTerm%3Dcpo%26sort%3Drelevance%26size%3D30%26item_type%3DPhones%26utm_source%3Dsamsung%26utm_medium%3Demail%26utm_campaign%3D12182020_post_holiday%26marsLinkCategory%3D__MARSTRACKING__%26MKM_RID%3D__BPNUMBER__%26MKM_MID%3D__DELIVERNAME__%26cid%3D__CID____SEGMENTCODE__%26bpid%3D__BPNUMBER__&amp;efr=1" TargetMode="External"/><Relationship Id="rId4" Type="http://schemas.openxmlformats.org/officeDocument/2006/relationships/hyperlink" Target="https://shopsamsung.page.link/?link=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26iosparam%3Dsamsungestore%25253A%25252F%25252Fopenpdp%252523product%25253DSM-R180NZKAXAR%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pdp%23product%3DSM-R180NZKAXAR%23utm_source%3Dsamsung%23utm_medium%3Demail%23utm_campaign%3D12182020_post_holiday%23marsLinkCategory%3D__MARSTRACKING__%23MKM_RID%3D__BPNUMBER__%23MKM_MID%3D__DELIVERNAME__%23cid%3D__CID____SEGMENTCODE__%23bpid%3D__BPNUMBER__&amp;afl=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amp;efr=1"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hyperlink" Target="https://www.samsung.com/us/tablets/tab-s7/buy/" TargetMode="External"/><Relationship Id="rId2" Type="http://schemas.openxmlformats.org/officeDocument/2006/relationships/hyperlink" Target="https://www.samsung.com/us/home-appliances/vacuums/all-vacuums/?shop=Buy+Online&amp;type=Jet+Stick" TargetMode="External"/><Relationship Id="rId1" Type="http://schemas.openxmlformats.org/officeDocument/2006/relationships/hyperlink" Target="https://www.samsung.com/us/home-appliances/vacuums/all-vacuums/?shop=Buy+Online&amp;type=Jet+Stick" TargetMode="External"/><Relationship Id="rId4"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R4"/>
  <sheetViews>
    <sheetView workbookViewId="0">
      <pane ySplit="1" topLeftCell="A2" activePane="bottomLeft" state="frozen"/>
      <selection pane="bottomLeft" activeCell="J4" sqref="J4"/>
    </sheetView>
  </sheetViews>
  <sheetFormatPr defaultColWidth="9" defaultRowHeight="15" x14ac:dyDescent="0.25"/>
  <cols>
    <col min="1" max="1" width="3.28515625" style="3" customWidth="1"/>
    <col min="2" max="2" width="15.85546875" style="3" bestFit="1" customWidth="1"/>
    <col min="3" max="3" width="6.7109375" style="3" bestFit="1" customWidth="1"/>
    <col min="4" max="4" width="15" style="3" customWidth="1"/>
    <col min="5" max="8" width="0" style="3" hidden="1" customWidth="1"/>
    <col min="9" max="9" width="33" style="3" customWidth="1"/>
    <col min="10" max="10" width="31.28515625" style="3" bestFit="1" customWidth="1"/>
    <col min="11" max="11" width="26.42578125" style="3" hidden="1" customWidth="1"/>
    <col min="12" max="12" width="25.42578125" style="3" hidden="1" customWidth="1"/>
    <col min="13" max="13" width="30" style="3" customWidth="1"/>
    <col min="14" max="14" width="27" style="3" customWidth="1"/>
    <col min="15" max="17" width="29.28515625" style="3" customWidth="1"/>
    <col min="18" max="18" width="27" style="3" customWidth="1"/>
    <col min="19" max="16384" width="9" style="3"/>
  </cols>
  <sheetData>
    <row r="1" spans="1:18" ht="30" x14ac:dyDescent="0.25">
      <c r="A1" s="2" t="s">
        <v>13</v>
      </c>
      <c r="B1" s="2" t="s">
        <v>2</v>
      </c>
      <c r="C1" s="2" t="s">
        <v>3</v>
      </c>
      <c r="D1" s="2" t="s">
        <v>4</v>
      </c>
      <c r="E1" s="2" t="s">
        <v>5</v>
      </c>
      <c r="F1" s="2"/>
      <c r="G1" s="2" t="s">
        <v>6</v>
      </c>
      <c r="H1" s="2"/>
      <c r="I1" s="2" t="s">
        <v>5</v>
      </c>
      <c r="J1" s="2" t="s">
        <v>6</v>
      </c>
      <c r="K1" s="2" t="s">
        <v>7</v>
      </c>
      <c r="L1" s="2" t="s">
        <v>8</v>
      </c>
      <c r="M1" s="91" t="s">
        <v>87</v>
      </c>
      <c r="N1" s="2" t="s">
        <v>9</v>
      </c>
      <c r="O1" s="2" t="s">
        <v>10</v>
      </c>
      <c r="P1" s="2" t="s">
        <v>88</v>
      </c>
      <c r="Q1" s="2" t="s">
        <v>89</v>
      </c>
      <c r="R1" s="2" t="s">
        <v>11</v>
      </c>
    </row>
    <row r="2" spans="1:18" x14ac:dyDescent="0.25">
      <c r="A2" s="62" t="s">
        <v>67</v>
      </c>
      <c r="B2" s="61"/>
      <c r="C2" s="61"/>
      <c r="D2" s="61"/>
      <c r="E2" s="61"/>
      <c r="F2" s="61"/>
      <c r="G2" s="61"/>
      <c r="H2" s="61"/>
      <c r="I2" s="61"/>
      <c r="J2" s="61"/>
      <c r="K2" s="61"/>
      <c r="L2" s="61"/>
      <c r="M2" s="61"/>
      <c r="N2" s="61"/>
      <c r="O2" s="61"/>
      <c r="P2" s="61"/>
      <c r="Q2" s="61"/>
      <c r="R2" s="61"/>
    </row>
    <row r="3" spans="1:18" ht="45" x14ac:dyDescent="0.25">
      <c r="A3" s="3">
        <v>1</v>
      </c>
      <c r="B3" s="3" t="s">
        <v>95</v>
      </c>
      <c r="C3" s="3" t="s">
        <v>64</v>
      </c>
      <c r="D3" s="3" t="s">
        <v>174</v>
      </c>
      <c r="I3" s="22" t="s">
        <v>170</v>
      </c>
      <c r="J3" s="3" t="s">
        <v>171</v>
      </c>
      <c r="K3" s="4"/>
      <c r="L3" s="4"/>
      <c r="M3" s="3" t="s">
        <v>161</v>
      </c>
      <c r="N3" s="3" t="s">
        <v>172</v>
      </c>
      <c r="O3" s="3" t="s">
        <v>135</v>
      </c>
      <c r="P3" s="3" t="s">
        <v>173</v>
      </c>
      <c r="Q3" s="3" t="s">
        <v>135</v>
      </c>
      <c r="R3" s="3" t="s">
        <v>43</v>
      </c>
    </row>
    <row r="4" spans="1:18" ht="45" x14ac:dyDescent="0.25">
      <c r="A4" s="3">
        <v>2</v>
      </c>
      <c r="B4" s="3" t="s">
        <v>95</v>
      </c>
      <c r="C4" s="3" t="s">
        <v>64</v>
      </c>
      <c r="D4" s="3" t="s">
        <v>175</v>
      </c>
      <c r="I4" s="22" t="s">
        <v>170</v>
      </c>
      <c r="J4" s="3" t="s">
        <v>162</v>
      </c>
      <c r="K4" s="4"/>
      <c r="L4" s="4"/>
      <c r="M4" s="3" t="s">
        <v>161</v>
      </c>
      <c r="N4" s="3" t="s">
        <v>172</v>
      </c>
      <c r="O4" s="3" t="s">
        <v>135</v>
      </c>
      <c r="P4" s="3" t="s">
        <v>173</v>
      </c>
      <c r="Q4" s="3" t="s">
        <v>135</v>
      </c>
      <c r="R4" s="3" t="s">
        <v>43</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22"/>
  <sheetViews>
    <sheetView tabSelected="1" workbookViewId="0">
      <pane ySplit="1" topLeftCell="A2" activePane="bottomLeft" state="frozen"/>
      <selection pane="bottomLeft" activeCell="J11" sqref="J11"/>
    </sheetView>
  </sheetViews>
  <sheetFormatPr defaultColWidth="8.85546875" defaultRowHeight="15" x14ac:dyDescent="0.25"/>
  <cols>
    <col min="1" max="1" width="2.7109375" bestFit="1" customWidth="1"/>
    <col min="2" max="2" width="18.85546875" bestFit="1" customWidth="1"/>
    <col min="3" max="3" width="19.85546875" style="14" customWidth="1"/>
    <col min="4" max="5" width="28.7109375" customWidth="1"/>
    <col min="6" max="6" width="37.140625" customWidth="1"/>
    <col min="7" max="7" width="13" customWidth="1"/>
    <col min="8" max="8" width="12.42578125" customWidth="1"/>
    <col min="9" max="9" width="13.28515625" customWidth="1"/>
  </cols>
  <sheetData>
    <row r="1" spans="1:10" x14ac:dyDescent="0.25">
      <c r="A1" s="28" t="s">
        <v>13</v>
      </c>
      <c r="B1" s="28" t="s">
        <v>3</v>
      </c>
      <c r="C1" s="29" t="s">
        <v>14</v>
      </c>
      <c r="D1" s="53" t="s">
        <v>29</v>
      </c>
      <c r="E1" s="53" t="s">
        <v>65</v>
      </c>
      <c r="F1" s="53" t="s">
        <v>30</v>
      </c>
      <c r="G1" s="53" t="s">
        <v>68</v>
      </c>
      <c r="H1" s="53" t="s">
        <v>69</v>
      </c>
      <c r="I1" s="53" t="s">
        <v>70</v>
      </c>
    </row>
    <row r="2" spans="1:10" s="6" customFormat="1" x14ac:dyDescent="0.25">
      <c r="A2" s="10">
        <v>1</v>
      </c>
      <c r="B2" s="30" t="s">
        <v>96</v>
      </c>
      <c r="C2" s="32"/>
      <c r="D2" s="30"/>
      <c r="E2" s="30"/>
      <c r="F2" s="30"/>
      <c r="G2" s="30"/>
      <c r="H2" s="30"/>
      <c r="I2" s="30"/>
    </row>
    <row r="3" spans="1:10" s="7" customFormat="1" ht="75" x14ac:dyDescent="0.25">
      <c r="A3" s="31"/>
      <c r="B3" s="54" t="s">
        <v>151</v>
      </c>
      <c r="C3" s="54" t="s">
        <v>181</v>
      </c>
      <c r="D3" s="54" t="s">
        <v>141</v>
      </c>
      <c r="E3" s="57" t="s">
        <v>139</v>
      </c>
      <c r="F3" s="54" t="s">
        <v>140</v>
      </c>
      <c r="G3" s="94" t="s">
        <v>84</v>
      </c>
      <c r="H3" s="95" t="s">
        <v>124</v>
      </c>
      <c r="I3" s="130" t="s">
        <v>193</v>
      </c>
      <c r="J3" s="58" t="s">
        <v>43</v>
      </c>
    </row>
    <row r="4" spans="1:10" s="7" customFormat="1" ht="45" x14ac:dyDescent="0.25">
      <c r="A4" s="31"/>
      <c r="B4" s="92" t="s">
        <v>152</v>
      </c>
      <c r="C4" s="54" t="s">
        <v>182</v>
      </c>
      <c r="D4" s="93" t="s">
        <v>136</v>
      </c>
      <c r="E4" s="93" t="s">
        <v>137</v>
      </c>
      <c r="F4" s="54" t="s">
        <v>135</v>
      </c>
      <c r="G4" s="94" t="s">
        <v>17</v>
      </c>
      <c r="H4" s="70" t="s">
        <v>126</v>
      </c>
      <c r="I4" s="130" t="s">
        <v>197</v>
      </c>
      <c r="J4" s="58"/>
    </row>
    <row r="5" spans="1:10" s="27" customFormat="1" ht="60" x14ac:dyDescent="0.25">
      <c r="A5" s="11"/>
      <c r="B5" s="54" t="s">
        <v>150</v>
      </c>
      <c r="C5" s="57" t="s">
        <v>183</v>
      </c>
      <c r="D5" s="55" t="s">
        <v>144</v>
      </c>
      <c r="E5" s="55" t="s">
        <v>135</v>
      </c>
      <c r="F5" s="55" t="s">
        <v>145</v>
      </c>
      <c r="G5" s="94" t="s">
        <v>84</v>
      </c>
      <c r="H5" s="56" t="s">
        <v>118</v>
      </c>
      <c r="I5" s="1" t="s">
        <v>194</v>
      </c>
      <c r="J5" s="108"/>
    </row>
    <row r="6" spans="1:10" s="27" customFormat="1" ht="45" x14ac:dyDescent="0.25">
      <c r="A6" s="11"/>
      <c r="B6" s="92" t="s">
        <v>153</v>
      </c>
      <c r="C6" s="57" t="s">
        <v>184</v>
      </c>
      <c r="D6" s="55" t="s">
        <v>146</v>
      </c>
      <c r="E6" s="55" t="s">
        <v>135</v>
      </c>
      <c r="F6" s="55" t="s">
        <v>135</v>
      </c>
      <c r="G6" s="94" t="s">
        <v>84</v>
      </c>
      <c r="H6" s="56" t="s">
        <v>119</v>
      </c>
      <c r="I6" s="1" t="s">
        <v>198</v>
      </c>
      <c r="J6" s="108"/>
    </row>
    <row r="7" spans="1:10" s="27" customFormat="1" ht="45" x14ac:dyDescent="0.25">
      <c r="A7" s="11"/>
      <c r="B7" s="54" t="s">
        <v>154</v>
      </c>
      <c r="C7" s="54" t="s">
        <v>185</v>
      </c>
      <c r="D7" s="55" t="s">
        <v>92</v>
      </c>
      <c r="E7" s="57" t="s">
        <v>93</v>
      </c>
      <c r="F7" s="55" t="s">
        <v>134</v>
      </c>
      <c r="G7" s="94" t="s">
        <v>84</v>
      </c>
      <c r="H7" s="70" t="s">
        <v>128</v>
      </c>
      <c r="I7" s="130" t="s">
        <v>195</v>
      </c>
      <c r="J7" s="108"/>
    </row>
    <row r="8" spans="1:10" s="7" customFormat="1" ht="30" x14ac:dyDescent="0.25">
      <c r="A8" s="31"/>
      <c r="B8" s="92" t="s">
        <v>155</v>
      </c>
      <c r="C8" s="54" t="s">
        <v>186</v>
      </c>
      <c r="D8" s="94" t="s">
        <v>129</v>
      </c>
      <c r="E8" s="94" t="s">
        <v>131</v>
      </c>
      <c r="F8" s="94" t="s">
        <v>135</v>
      </c>
      <c r="G8" s="94" t="s">
        <v>84</v>
      </c>
      <c r="H8" s="70" t="s">
        <v>132</v>
      </c>
      <c r="I8" s="130" t="s">
        <v>199</v>
      </c>
      <c r="J8" s="108" t="s">
        <v>196</v>
      </c>
    </row>
    <row r="9" spans="1:10" s="7" customFormat="1" ht="60" x14ac:dyDescent="0.25">
      <c r="A9" s="31"/>
      <c r="B9" s="92" t="s">
        <v>156</v>
      </c>
      <c r="C9" s="54" t="s">
        <v>189</v>
      </c>
      <c r="D9" s="92" t="s">
        <v>179</v>
      </c>
      <c r="E9" s="92" t="s">
        <v>178</v>
      </c>
      <c r="F9" s="92" t="s">
        <v>177</v>
      </c>
      <c r="G9" s="92" t="s">
        <v>84</v>
      </c>
      <c r="H9" s="127" t="s">
        <v>90</v>
      </c>
      <c r="I9" s="130" t="s">
        <v>196</v>
      </c>
      <c r="J9" s="7" t="s">
        <v>43</v>
      </c>
    </row>
    <row r="10" spans="1:10" s="7" customFormat="1" ht="45" x14ac:dyDescent="0.25">
      <c r="A10" s="31"/>
      <c r="B10" s="92" t="s">
        <v>157</v>
      </c>
      <c r="C10" s="54" t="s">
        <v>187</v>
      </c>
      <c r="D10" s="57" t="s">
        <v>85</v>
      </c>
      <c r="E10" s="57" t="s">
        <v>86</v>
      </c>
      <c r="F10" s="54" t="s">
        <v>135</v>
      </c>
      <c r="G10" s="54" t="s">
        <v>17</v>
      </c>
      <c r="H10" s="70" t="s">
        <v>127</v>
      </c>
      <c r="I10" s="1" t="s">
        <v>200</v>
      </c>
      <c r="J10" s="7" t="s">
        <v>127</v>
      </c>
    </row>
    <row r="11" spans="1:10" s="6" customFormat="1" ht="75" x14ac:dyDescent="0.25">
      <c r="A11" s="10"/>
      <c r="B11" s="54" t="s">
        <v>158</v>
      </c>
      <c r="C11" s="57" t="s">
        <v>188</v>
      </c>
      <c r="D11" s="55" t="s">
        <v>147</v>
      </c>
      <c r="E11" s="57" t="s">
        <v>148</v>
      </c>
      <c r="F11" s="55" t="s">
        <v>149</v>
      </c>
      <c r="G11" s="55" t="s">
        <v>17</v>
      </c>
      <c r="H11" s="103" t="s">
        <v>117</v>
      </c>
      <c r="I11" s="130" t="s">
        <v>201</v>
      </c>
      <c r="J11" s="7" t="s">
        <v>43</v>
      </c>
    </row>
    <row r="12" spans="1:10" s="6" customFormat="1" x14ac:dyDescent="0.25">
      <c r="A12" s="10"/>
      <c r="B12" s="10"/>
      <c r="C12" s="33"/>
      <c r="D12" s="10"/>
      <c r="E12" s="10"/>
      <c r="F12" s="10"/>
      <c r="G12" s="10"/>
      <c r="H12" s="10"/>
      <c r="I12" s="10"/>
    </row>
    <row r="13" spans="1:10" s="6" customFormat="1" x14ac:dyDescent="0.25">
      <c r="A13" s="10">
        <v>2</v>
      </c>
      <c r="B13" s="30" t="s">
        <v>97</v>
      </c>
      <c r="C13" s="32"/>
      <c r="D13" s="30"/>
      <c r="E13" s="30"/>
      <c r="F13" s="30"/>
      <c r="G13" s="30"/>
      <c r="H13" s="30"/>
      <c r="I13" s="30"/>
    </row>
    <row r="14" spans="1:10" s="7" customFormat="1" ht="75" x14ac:dyDescent="0.25">
      <c r="A14" s="31"/>
      <c r="B14" s="54" t="s">
        <v>151</v>
      </c>
      <c r="C14" s="54" t="s">
        <v>181</v>
      </c>
      <c r="D14" s="54" t="s">
        <v>141</v>
      </c>
      <c r="E14" s="57" t="s">
        <v>139</v>
      </c>
      <c r="F14" s="54" t="s">
        <v>140</v>
      </c>
      <c r="G14" s="94" t="s">
        <v>84</v>
      </c>
      <c r="H14" s="95" t="s">
        <v>124</v>
      </c>
      <c r="I14" s="130" t="s">
        <v>193</v>
      </c>
      <c r="J14" s="59" t="s">
        <v>43</v>
      </c>
    </row>
    <row r="15" spans="1:10" s="7" customFormat="1" ht="45" x14ac:dyDescent="0.25">
      <c r="A15" s="31"/>
      <c r="B15" s="92" t="s">
        <v>152</v>
      </c>
      <c r="C15" s="54" t="s">
        <v>182</v>
      </c>
      <c r="D15" s="93" t="s">
        <v>136</v>
      </c>
      <c r="E15" s="93" t="s">
        <v>137</v>
      </c>
      <c r="F15" s="54" t="s">
        <v>135</v>
      </c>
      <c r="G15" s="94" t="s">
        <v>17</v>
      </c>
      <c r="H15" s="70" t="s">
        <v>126</v>
      </c>
      <c r="I15" s="130" t="s">
        <v>197</v>
      </c>
      <c r="J15" s="7" t="s">
        <v>43</v>
      </c>
    </row>
    <row r="16" spans="1:10" s="7" customFormat="1" ht="60" x14ac:dyDescent="0.25">
      <c r="A16" s="31"/>
      <c r="B16" s="54" t="s">
        <v>150</v>
      </c>
      <c r="C16" s="57" t="s">
        <v>183</v>
      </c>
      <c r="D16" s="55" t="s">
        <v>144</v>
      </c>
      <c r="E16" s="55" t="s">
        <v>135</v>
      </c>
      <c r="F16" s="55" t="s">
        <v>145</v>
      </c>
      <c r="G16" s="94" t="s">
        <v>84</v>
      </c>
      <c r="H16" s="56" t="s">
        <v>118</v>
      </c>
      <c r="I16" s="1" t="s">
        <v>194</v>
      </c>
      <c r="J16" s="7" t="s">
        <v>43</v>
      </c>
    </row>
    <row r="17" spans="1:10" s="6" customFormat="1" ht="45" x14ac:dyDescent="0.25">
      <c r="A17" s="10"/>
      <c r="B17" s="92" t="s">
        <v>153</v>
      </c>
      <c r="C17" s="57" t="s">
        <v>184</v>
      </c>
      <c r="D17" s="55" t="s">
        <v>146</v>
      </c>
      <c r="E17" s="55" t="s">
        <v>135</v>
      </c>
      <c r="F17" s="55" t="s">
        <v>135</v>
      </c>
      <c r="G17" s="94" t="s">
        <v>84</v>
      </c>
      <c r="H17" s="56" t="s">
        <v>119</v>
      </c>
      <c r="I17" s="1" t="s">
        <v>198</v>
      </c>
      <c r="J17" s="7" t="s">
        <v>43</v>
      </c>
    </row>
    <row r="18" spans="1:10" s="6" customFormat="1" ht="45" x14ac:dyDescent="0.25">
      <c r="A18" s="10"/>
      <c r="B18" s="54" t="s">
        <v>154</v>
      </c>
      <c r="C18" s="54" t="s">
        <v>185</v>
      </c>
      <c r="D18" s="55" t="s">
        <v>92</v>
      </c>
      <c r="E18" s="57" t="s">
        <v>93</v>
      </c>
      <c r="F18" s="55" t="s">
        <v>134</v>
      </c>
      <c r="G18" s="94" t="s">
        <v>84</v>
      </c>
      <c r="H18" s="70" t="s">
        <v>128</v>
      </c>
      <c r="I18" s="130" t="s">
        <v>195</v>
      </c>
      <c r="J18" s="7" t="s">
        <v>43</v>
      </c>
    </row>
    <row r="19" spans="1:10" s="6" customFormat="1" ht="30" x14ac:dyDescent="0.25">
      <c r="A19" s="10"/>
      <c r="B19" s="92" t="s">
        <v>155</v>
      </c>
      <c r="C19" s="54" t="s">
        <v>186</v>
      </c>
      <c r="D19" s="94" t="s">
        <v>129</v>
      </c>
      <c r="E19" s="94" t="s">
        <v>131</v>
      </c>
      <c r="F19" s="94" t="s">
        <v>135</v>
      </c>
      <c r="G19" s="94" t="s">
        <v>84</v>
      </c>
      <c r="H19" s="70" t="s">
        <v>132</v>
      </c>
      <c r="I19" s="130" t="s">
        <v>199</v>
      </c>
    </row>
    <row r="20" spans="1:10" s="7" customFormat="1" ht="60" x14ac:dyDescent="0.25">
      <c r="A20" s="31"/>
      <c r="B20" s="92" t="s">
        <v>156</v>
      </c>
      <c r="C20" s="54" t="s">
        <v>189</v>
      </c>
      <c r="D20" s="92" t="s">
        <v>179</v>
      </c>
      <c r="E20" s="92" t="s">
        <v>178</v>
      </c>
      <c r="F20" s="92" t="s">
        <v>177</v>
      </c>
      <c r="G20" s="92" t="s">
        <v>84</v>
      </c>
      <c r="H20" s="127" t="s">
        <v>90</v>
      </c>
      <c r="I20" s="130" t="s">
        <v>196</v>
      </c>
      <c r="J20" s="7" t="s">
        <v>43</v>
      </c>
    </row>
    <row r="21" spans="1:10" ht="45" x14ac:dyDescent="0.25">
      <c r="B21" s="92" t="s">
        <v>157</v>
      </c>
      <c r="C21" s="54" t="s">
        <v>187</v>
      </c>
      <c r="D21" s="57" t="s">
        <v>85</v>
      </c>
      <c r="E21" s="57" t="s">
        <v>86</v>
      </c>
      <c r="F21" s="54" t="s">
        <v>135</v>
      </c>
      <c r="G21" s="54" t="s">
        <v>17</v>
      </c>
      <c r="H21" s="70" t="s">
        <v>127</v>
      </c>
      <c r="I21" s="1" t="s">
        <v>200</v>
      </c>
    </row>
    <row r="22" spans="1:10" ht="75" x14ac:dyDescent="0.25">
      <c r="B22" s="54" t="s">
        <v>158</v>
      </c>
      <c r="C22" s="57" t="s">
        <v>188</v>
      </c>
      <c r="D22" s="55" t="s">
        <v>147</v>
      </c>
      <c r="E22" s="57" t="s">
        <v>148</v>
      </c>
      <c r="F22" s="55" t="s">
        <v>149</v>
      </c>
      <c r="G22" s="55" t="s">
        <v>17</v>
      </c>
      <c r="H22" s="103" t="s">
        <v>117</v>
      </c>
      <c r="I22" s="130" t="s">
        <v>201</v>
      </c>
    </row>
  </sheetData>
  <hyperlinks>
    <hyperlink ref="H11" r:id="rId1"/>
    <hyperlink ref="H22" r:id="rId2"/>
    <hyperlink ref="H9" r:id="rId3"/>
    <hyperlink ref="H20" r:id="rId4"/>
    <hyperlink ref="J8" r:id="rId5" display="https://shopsamsung.page.link/?link=https%3A%2F%2Fwww.samsung.com%2Fus%2Ftablets%2Ftab-s7%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tablets%2Ftab-s7%2Findex.html%23utm_source%3Dsamsung%23utm_medium%3Demail%23utm_campaign%3D12182020_post_holiday%23marsLinkCategory%3D__MARSTRACKING__%23MKM_RID%3D__BPNUMBER__%23MKM_MID%3D__DELIVERNAME__%23cid%3D__CID____SEGMENTCODE__%23bpid%3D__BPNUMBER__&amp;afl=https%3A%2F%2Fwww.samsung.com%2Fus%2Ftablets%2Ftab-s7%2Fbuy%2F%3Futm_source%3Dsamsung%26utm_medium%3Demail%26utm_campaign%3D12182020_post_holiday%26marsLinkCategory%3D__MARSTRACKING__%26MKM_RID%3D__BPNUMBER__%26MKM_MID%3D__DELIVERNAME__%26cid%3D__CID____SEGMENTCODE__%26bpid%3D__BPNUMBER__&amp;efr=1"/>
    <hyperlink ref="I11" r:id="rId6" display="https://shopsamsung.page.link/?link=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26iosparam%3Dsamsungestore%25253A%25252F%25252Fopencategory%252523category%25253DN0003053%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category%23category%3DN0003053%23utm_source%3Dsamsung%23utm_medium%3Demail%23utm_campaign%3D12182020_post_holiday%23marsLinkCategory%3D__MARSTRACKING__%23MKM_RID%3D__BPNUMBER__%23MKM_MID%3D__DELIVERNAME__%23cid%3D__CID____SEGMENTCODE__%23bpid%3D__BPNUMBER__&amp;afl=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amp;efr=1"/>
    <hyperlink ref="I9" r:id="rId7" display="https://shopsamsung.page.link/?link=https%3A%2F%2Fwww.samsung.com%2Fus%2Ftablets%2Ftab-s7%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tablets%2Ftab-s7%2Findex.html%23utm_source%3Dsamsung%23utm_medium%3Demail%23utm_campaign%3D12182020_post_holiday%23marsLinkCategory%3D__MARSTRACKING__%23MKM_RID%3D__BPNUMBER__%23MKM_MID%3D__DELIVERNAME__%23cid%3D__CID____SEGMENTCODE__%23bpid%3D__BPNUMBER__&amp;afl=https%3A%2F%2Fwww.samsung.com%2Fus%2Ftablets%2Ftab-s7%2Fbuy%2F%3Futm_source%3Dsamsung%26utm_medium%3Demail%26utm_campaign%3D12182020_post_holiday%26marsLinkCategory%3D__MARSTRACKING__%26MKM_RID%3D__BPNUMBER__%26MKM_MID%3D__DELIVERNAME__%26cid%3D__CID____SEGMENTCODE__%26bpid%3D__BPNUMBER__&amp;efr=1"/>
    <hyperlink ref="I8" r:id="rId8" display="https://shopsamsung.page.link/?link=https%3A%2F%2Fwww.samsung.com%2Fus%2Fwatches%2Fgalaxy-watch3%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watches%2Fgalaxy-watch3%2Findex.html%23utm_source%3Dsamsung%23utm_medium%3Demail%23utm_campaign%3D12182020_post_holiday%23marsLinkCategory%3D__MARSTRACKING__%23MKM_RID%3D__BPNUMBER__%23MKM_MID%3D__DELIVERNAME__%23cid%3D__CID____SEGMENTCODE__%23bpid%3D__BPNUMBER__&amp;afl=https%3A%2F%2Fwww.samsung.com%2Fus%2Fwatches%2Fgalaxy-watch3%2Fbuy%2F%3Futm_source%3Dsamsung%26utm_medium%3Demail%26utm_campaign%3D12182020_post_holiday%26marsLinkCategory%3D__MARSTRACKING__%26MKM_RID%3D__BPNUMBER__%26MKM_MID%3D__DELIVERNAME__%26cid%3D__CID____SEGMENTCODE__%26bpid%3D__BPNUMBER__&amp;efr=1"/>
    <hyperlink ref="I7" r:id="rId9" display="https://shopsamsung.page.link/?link=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26iosparam%3Dsamsungestore%25253A%25252F%25252Fopenpdp%252523product%25253DSM-R180NZKAXAR%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pdp%23product%3DSM-R180NZKAXAR%23utm_source%3Dsamsung%23utm_medium%3Demail%23utm_campaign%3D12182020_post_holiday%23marsLinkCategory%3D__MARSTRACKING__%23MKM_RID%3D__BPNUMBER__%23MKM_MID%3D__DELIVERNAME__%23cid%3D__CID____SEGMENTCODE__%23bpid%3D__BPNUMBER__&amp;afl=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amp;efr=1"/>
    <hyperlink ref="I4" r:id="rId10" display="https://shopsamsung.page.link/?link=https%3A%2F%2Fwww.samsung.com%2Fus%2Fsearch%2FsearchMain%2F%3FlistType%3Dg%26searchTerm%3Dcpo%26sort%3Drelevance%26size%3D30%26item_type%3DPhones%26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plp%23products%3D%5BSM5G973UZKAXAA%2CSM5G975UZKAXAA%2CSM5G970UZKAXAA%2CSM5N960UZKAXAA%2CSM5G960UZKAXAA%2CSM5N970UZKAXAA%2CSM5N975UZKAXAA%2CSM5G965UZKAXAA%5D%23utm_source%3Dsamsung%23utm_medium%3Demail%23utm_campaign%3D12182020_post_holiday%23marsLinkCategory%3D__MARSTRACKING__%23MKM_RID%3D__BPNUMBER__%23MKM_MID%3D__DELIVERNAME__%23cid%3D__CID____SEGMENTCODE__%23bpid%3D__BPNUMBER__&amp;afl=https%3A%2F%2Fwww.samsung.com%2Fus%2Fsearch%2FsearchMain%2F%3FlistType%3Dg%26searchTerm%3Dcpo%26sort%3Drelevance%26size%3D30%26item_type%3DPhones%26utm_source%3Dsamsung%26utm_medium%3Demail%26utm_campaign%3D12182020_post_holiday%26marsLinkCategory%3D__MARSTRACKING__%26MKM_RID%3D__BPNUMBER__%26MKM_MID%3D__DELIVERNAME__%26cid%3D__CID____SEGMENTCODE__%26bpid%3D__BPNUMBER__&amp;efr=1"/>
    <hyperlink ref="I3" r:id="rId11" display="https://shopsamsung.page.link/?link=https%3A%2F%2Fwww.samsung.com%2Fus%2Fmobile%2Fphones%2Fgalaxy-a%2Fbuy%2F%3FmodelCode%3DSM-A716UZKNXAA%26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smartphones%2Fgalaxy-a50%2Findex.html%3FskipDevice%3Dgalaxy-a71-5g%23utm_source%3Dsamsung%23utm_medium%3Demail%23utm_campaign%3D12182020_post_holiday%23marsLinkCategory%3D__MARSTRACKING__%23MKM_RID%3D__BPNUMBER__%23MKM_MID%3D__DELIVERNAME__%23cid%3D__CID____SEGMENTCODE__%23bpid%3D__BPNUMBER__&amp;afl=https%3A%2F%2Fwww.samsung.com%2Fus%2Fmobile%2Fphones%2Fgalaxy-a%2Fbuy%2F%3FmodelCode%3DSM-A716UZKNXAA%26utm_source%3Dsamsung%26utm_medium%3Demail%26utm_campaign%3D12182020_post_holiday%26marsLinkCategory%3D__MARSTRACKING__%26MKM_RID%3D__BPNUMBER__%26MKM_MID%3D__DELIVERNAME__%26cid%3D__CID____SEGMENTCODE__%26bpid%3D__BPNUMBER__&amp;efr=1"/>
    <hyperlink ref="I22" r:id="rId12" display="https://shopsamsung.page.link/?link=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26iosparam%3Dsamsungestore%25253A%25252F%25252Fopencategory%252523category%25253DN0003053%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category%23category%3DN0003053%23utm_source%3Dsamsung%23utm_medium%3Demail%23utm_campaign%3D12182020_post_holiday%23marsLinkCategory%3D__MARSTRACKING__%23MKM_RID%3D__BPNUMBER__%23MKM_MID%3D__DELIVERNAME__%23cid%3D__CID____SEGMENTCODE__%23bpid%3D__BPNUMBER__&amp;afl=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amp;efr=1"/>
    <hyperlink ref="I20" r:id="rId13" display="https://shopsamsung.page.link/?link=https%3A%2F%2Fwww.samsung.com%2Fus%2Ftablets%2Ftab-s7%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tablets%2Ftab-s7%2Findex.html%23utm_source%3Dsamsung%23utm_medium%3Demail%23utm_campaign%3D12182020_post_holiday%23marsLinkCategory%3D__MARSTRACKING__%23MKM_RID%3D__BPNUMBER__%23MKM_MID%3D__DELIVERNAME__%23cid%3D__CID____SEGMENTCODE__%23bpid%3D__BPNUMBER__&amp;afl=https%3A%2F%2Fwww.samsung.com%2Fus%2Ftablets%2Ftab-s7%2Fbuy%2F%3Futm_source%3Dsamsung%26utm_medium%3Demail%26utm_campaign%3D12182020_post_holiday%26marsLinkCategory%3D__MARSTRACKING__%26MKM_RID%3D__BPNUMBER__%26MKM_MID%3D__DELIVERNAME__%26cid%3D__CID____SEGMENTCODE__%26bpid%3D__BPNUMBER__&amp;efr=1"/>
    <hyperlink ref="I19" r:id="rId14" display="https://shopsamsung.page.link/?link=https%3A%2F%2Fwww.samsung.com%2Fus%2Fwatches%2Fgalaxy-watch3%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watches%2Fgalaxy-watch3%2Findex.html%23utm_source%3Dsamsung%23utm_medium%3Demail%23utm_campaign%3D12182020_post_holiday%23marsLinkCategory%3D__MARSTRACKING__%23MKM_RID%3D__BPNUMBER__%23MKM_MID%3D__DELIVERNAME__%23cid%3D__CID____SEGMENTCODE__%23bpid%3D__BPNUMBER__&amp;afl=https%3A%2F%2Fwww.samsung.com%2Fus%2Fwatches%2Fgalaxy-watch3%2Fbuy%2F%3Futm_source%3Dsamsung%26utm_medium%3Demail%26utm_campaign%3D12182020_post_holiday%26marsLinkCategory%3D__MARSTRACKING__%26MKM_RID%3D__BPNUMBER__%26MKM_MID%3D__DELIVERNAME__%26cid%3D__CID____SEGMENTCODE__%26bpid%3D__BPNUMBER__&amp;efr=1"/>
    <hyperlink ref="I18" r:id="rId15" display="https://shopsamsung.page.link/?link=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26iosparam%3Dsamsungestore%25253A%25252F%25252Fopenpdp%252523product%25253DSM-R180NZKAXAR%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pdp%23product%3DSM-R180NZKAXAR%23utm_source%3Dsamsung%23utm_medium%3Demail%23utm_campaign%3D12182020_post_holiday%23marsLinkCategory%3D__MARSTRACKING__%23MKM_RID%3D__BPNUMBER__%23MKM_MID%3D__DELIVERNAME__%23cid%3D__CID____SEGMENTCODE__%23bpid%3D__BPNUMBER__&amp;afl=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amp;efr=1"/>
    <hyperlink ref="I15" r:id="rId16" display="https://shopsamsung.page.link/?link=https%3A%2F%2Fwww.samsung.com%2Fus%2Fsearch%2FsearchMain%2F%3FlistType%3Dg%26searchTerm%3Dcpo%26sort%3Drelevance%26size%3D30%26item_type%3DPhones%26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plp%23products%3D%5BSM5G973UZKAXAA%2CSM5G975UZKAXAA%2CSM5G970UZKAXAA%2CSM5N960UZKAXAA%2CSM5G960UZKAXAA%2CSM5N970UZKAXAA%2CSM5N975UZKAXAA%2CSM5G965UZKAXAA%5D%23utm_source%3Dsamsung%23utm_medium%3Demail%23utm_campaign%3D12182020_post_holiday%23marsLinkCategory%3D__MARSTRACKING__%23MKM_RID%3D__BPNUMBER__%23MKM_MID%3D__DELIVERNAME__%23cid%3D__CID____SEGMENTCODE__%23bpid%3D__BPNUMBER__&amp;afl=https%3A%2F%2Fwww.samsung.com%2Fus%2Fsearch%2FsearchMain%2F%3FlistType%3Dg%26searchTerm%3Dcpo%26sort%3Drelevance%26size%3D30%26item_type%3DPhones%26utm_source%3Dsamsung%26utm_medium%3Demail%26utm_campaign%3D12182020_post_holiday%26marsLinkCategory%3D__MARSTRACKING__%26MKM_RID%3D__BPNUMBER__%26MKM_MID%3D__DELIVERNAME__%26cid%3D__CID____SEGMENTCODE__%26bpid%3D__BPNUMBER__&amp;efr=1"/>
    <hyperlink ref="I14" r:id="rId17" display="https://shopsamsung.page.link/?link=https%3A%2F%2Fwww.samsung.com%2Fus%2Fmobile%2Fphones%2Fgalaxy-a%2Fbuy%2F%3FmodelCode%3DSM-A716UZKNXAA%26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smartphones%2Fgalaxy-a50%2Findex.html%3FskipDevice%3Dgalaxy-a71-5g%23utm_source%3Dsamsung%23utm_medium%3Demail%23utm_campaign%3D12182020_post_holiday%23marsLinkCategory%3D__MARSTRACKING__%23MKM_RID%3D__BPNUMBER__%23MKM_MID%3D__DELIVERNAME__%23cid%3D__CID____SEGMENTCODE__%23bpid%3D__BPNUMBER__&amp;afl=https%3A%2F%2Fwww.samsung.com%2Fus%2Fmobile%2Fphones%2Fgalaxy-a%2Fbuy%2F%3FmodelCode%3DSM-A716UZKNXAA%26utm_source%3Dsamsung%26utm_medium%3Demail%26utm_campaign%3D12182020_post_holiday%26marsLinkCategory%3D__MARSTRACKING__%26MKM_RID%3D__BPNUMBER__%26MKM_MID%3D__DELIVERNAME__%26cid%3D__CID____SEGMENTCODE__%26bpid%3D__BPNUMBER__&amp;efr=1"/>
  </hyperlinks>
  <pageMargins left="0.7" right="0.7" top="0.75" bottom="0.75" header="0.3" footer="0.3"/>
  <pageSetup orientation="portrait" horizontalDpi="1200" verticalDpi="1200" r:id="rId18"/>
  <extLst>
    <ext xmlns:x14="http://schemas.microsoft.com/office/spreadsheetml/2009/9/main" uri="{CCE6A557-97BC-4b89-ADB6-D9C93CAAB3DF}">
      <x14:dataValidations xmlns:xm="http://schemas.microsoft.com/office/excel/2006/main" count="1">
        <x14:dataValidation type="list" allowBlank="1" showInputMessage="1" showErrorMessage="1">
          <x14:formula1>
            <xm:f>'/Users/yingcong.fu/Desktop/C:\Users\SDSA\Downloads\[ME Holiday Deals_FINAL (1).xlsx]Sources Pricing'!#REF!</xm:f>
          </x14:formula1>
          <xm:sqref>H2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pane ySplit="1" topLeftCell="A2" activePane="bottomLeft" state="frozen"/>
      <selection pane="bottomLeft" activeCell="H5" sqref="H5"/>
    </sheetView>
  </sheetViews>
  <sheetFormatPr defaultColWidth="9" defaultRowHeight="15" x14ac:dyDescent="0.25"/>
  <cols>
    <col min="1" max="1" width="19.42578125" style="49" bestFit="1" customWidth="1"/>
    <col min="2" max="2" width="19.42578125" style="49" customWidth="1"/>
    <col min="3" max="3" width="17" style="51" customWidth="1"/>
    <col min="4" max="4" width="28.7109375" style="49" customWidth="1"/>
    <col min="5" max="5" width="20" style="49" bestFit="1" customWidth="1"/>
    <col min="6" max="6" width="44.85546875" style="49" customWidth="1"/>
    <col min="7" max="7" width="9" style="49"/>
    <col min="8" max="8" width="51.140625" style="9" customWidth="1"/>
    <col min="9" max="9" width="9" style="9"/>
    <col min="10" max="16384" width="9" style="49"/>
  </cols>
  <sheetData>
    <row r="1" spans="1:9" s="50" customFormat="1" x14ac:dyDescent="0.25">
      <c r="A1" s="88" t="s">
        <v>22</v>
      </c>
      <c r="B1" s="88" t="s">
        <v>121</v>
      </c>
      <c r="C1" s="88" t="s">
        <v>14</v>
      </c>
      <c r="D1" s="88" t="s">
        <v>29</v>
      </c>
      <c r="E1" s="88" t="s">
        <v>130</v>
      </c>
      <c r="F1" s="88" t="s">
        <v>30</v>
      </c>
      <c r="G1" s="88" t="s">
        <v>68</v>
      </c>
      <c r="H1" s="87" t="s">
        <v>69</v>
      </c>
      <c r="I1" s="87" t="s">
        <v>83</v>
      </c>
    </row>
    <row r="2" spans="1:9" s="48" customFormat="1" x14ac:dyDescent="0.25">
      <c r="A2" s="140" t="s">
        <v>78</v>
      </c>
      <c r="B2" s="140"/>
      <c r="C2" s="141"/>
      <c r="D2" s="141"/>
      <c r="E2" s="141"/>
      <c r="F2" s="141"/>
      <c r="G2" s="141"/>
      <c r="H2" s="141"/>
      <c r="I2" s="141"/>
    </row>
    <row r="3" spans="1:9" s="48" customFormat="1" ht="75" x14ac:dyDescent="0.25">
      <c r="A3" s="90" t="s">
        <v>138</v>
      </c>
      <c r="B3" s="54" t="s">
        <v>123</v>
      </c>
      <c r="C3" s="54" t="s">
        <v>181</v>
      </c>
      <c r="D3" s="54" t="s">
        <v>141</v>
      </c>
      <c r="E3" s="57" t="s">
        <v>139</v>
      </c>
      <c r="F3" s="54" t="s">
        <v>140</v>
      </c>
      <c r="G3" s="94" t="s">
        <v>84</v>
      </c>
      <c r="H3" s="95" t="s">
        <v>124</v>
      </c>
      <c r="I3" s="70" t="s">
        <v>43</v>
      </c>
    </row>
    <row r="4" spans="1:9" s="125" customFormat="1" ht="45" x14ac:dyDescent="0.25">
      <c r="A4" s="121" t="s">
        <v>103</v>
      </c>
      <c r="B4" s="122" t="s">
        <v>122</v>
      </c>
      <c r="C4" s="122"/>
      <c r="D4" s="122" t="s">
        <v>142</v>
      </c>
      <c r="E4" s="123" t="s">
        <v>143</v>
      </c>
      <c r="F4" s="122" t="s">
        <v>135</v>
      </c>
      <c r="G4" s="122" t="s">
        <v>84</v>
      </c>
      <c r="H4" s="124" t="s">
        <v>91</v>
      </c>
      <c r="I4" s="121" t="s">
        <v>43</v>
      </c>
    </row>
    <row r="5" spans="1:9" s="47" customFormat="1" ht="45" x14ac:dyDescent="0.25">
      <c r="A5" s="12" t="s">
        <v>104</v>
      </c>
      <c r="B5" s="92" t="s">
        <v>122</v>
      </c>
      <c r="C5" s="106" t="s">
        <v>182</v>
      </c>
      <c r="D5" s="93" t="s">
        <v>136</v>
      </c>
      <c r="E5" s="93" t="s">
        <v>137</v>
      </c>
      <c r="F5" s="54" t="s">
        <v>135</v>
      </c>
      <c r="G5" s="94" t="s">
        <v>17</v>
      </c>
      <c r="H5" s="70" t="s">
        <v>126</v>
      </c>
      <c r="I5" s="90" t="s">
        <v>43</v>
      </c>
    </row>
    <row r="6" spans="1:9" s="47" customFormat="1" x14ac:dyDescent="0.25">
      <c r="A6" s="140" t="s">
        <v>79</v>
      </c>
      <c r="B6" s="141"/>
      <c r="C6" s="141"/>
      <c r="D6" s="141"/>
      <c r="E6" s="141"/>
      <c r="F6" s="141"/>
      <c r="G6" s="141"/>
      <c r="H6" s="141"/>
      <c r="I6" s="141"/>
    </row>
    <row r="7" spans="1:9" s="129" customFormat="1" ht="45" x14ac:dyDescent="0.25">
      <c r="A7" s="116" t="s">
        <v>112</v>
      </c>
      <c r="B7" s="92" t="s">
        <v>123</v>
      </c>
      <c r="C7" s="92" t="s">
        <v>189</v>
      </c>
      <c r="D7" s="92" t="s">
        <v>179</v>
      </c>
      <c r="E7" s="92" t="s">
        <v>178</v>
      </c>
      <c r="F7" s="92" t="s">
        <v>177</v>
      </c>
      <c r="G7" s="92" t="s">
        <v>84</v>
      </c>
      <c r="H7" s="127" t="s">
        <v>90</v>
      </c>
      <c r="I7" s="116" t="s">
        <v>43</v>
      </c>
    </row>
    <row r="8" spans="1:9" s="48" customFormat="1" ht="45" x14ac:dyDescent="0.25">
      <c r="A8" s="54" t="s">
        <v>114</v>
      </c>
      <c r="B8" s="92" t="s">
        <v>122</v>
      </c>
      <c r="C8" s="54" t="s">
        <v>187</v>
      </c>
      <c r="D8" s="57" t="s">
        <v>85</v>
      </c>
      <c r="E8" s="57" t="s">
        <v>86</v>
      </c>
      <c r="F8" s="54" t="s">
        <v>135</v>
      </c>
      <c r="G8" s="54" t="s">
        <v>17</v>
      </c>
      <c r="H8" s="70" t="s">
        <v>127</v>
      </c>
      <c r="I8" s="70" t="s">
        <v>43</v>
      </c>
    </row>
    <row r="9" spans="1:9" s="48" customFormat="1" x14ac:dyDescent="0.25">
      <c r="A9" s="140" t="s">
        <v>80</v>
      </c>
      <c r="B9" s="141"/>
      <c r="C9" s="141"/>
      <c r="D9" s="141"/>
      <c r="E9" s="141"/>
      <c r="F9" s="141"/>
      <c r="G9" s="141"/>
      <c r="H9" s="141"/>
      <c r="I9" s="141"/>
    </row>
    <row r="10" spans="1:9" s="47" customFormat="1" ht="45" x14ac:dyDescent="0.25">
      <c r="A10" s="90" t="s">
        <v>109</v>
      </c>
      <c r="B10" s="54" t="s">
        <v>123</v>
      </c>
      <c r="C10" s="106" t="s">
        <v>185</v>
      </c>
      <c r="D10" s="55" t="s">
        <v>92</v>
      </c>
      <c r="E10" s="57" t="s">
        <v>93</v>
      </c>
      <c r="F10" s="55" t="s">
        <v>134</v>
      </c>
      <c r="G10" s="94" t="s">
        <v>84</v>
      </c>
      <c r="H10" s="70" t="s">
        <v>128</v>
      </c>
      <c r="I10" s="90" t="s">
        <v>43</v>
      </c>
    </row>
    <row r="11" spans="1:9" s="47" customFormat="1" ht="45" x14ac:dyDescent="0.25">
      <c r="A11" s="90" t="s">
        <v>110</v>
      </c>
      <c r="B11" s="92" t="s">
        <v>122</v>
      </c>
      <c r="C11" s="106" t="s">
        <v>186</v>
      </c>
      <c r="D11" s="94" t="s">
        <v>129</v>
      </c>
      <c r="E11" s="94" t="s">
        <v>131</v>
      </c>
      <c r="F11" s="94" t="s">
        <v>135</v>
      </c>
      <c r="G11" s="94" t="s">
        <v>84</v>
      </c>
      <c r="H11" s="70" t="s">
        <v>132</v>
      </c>
      <c r="I11" s="90" t="s">
        <v>43</v>
      </c>
    </row>
    <row r="12" spans="1:9" x14ac:dyDescent="0.25">
      <c r="A12" s="140" t="s">
        <v>81</v>
      </c>
      <c r="B12" s="141"/>
      <c r="C12" s="141"/>
      <c r="D12" s="141"/>
      <c r="E12" s="141"/>
      <c r="F12" s="141"/>
      <c r="G12" s="141"/>
      <c r="H12" s="141"/>
      <c r="I12" s="141"/>
    </row>
    <row r="13" spans="1:9" ht="60" x14ac:dyDescent="0.25">
      <c r="A13" s="55" t="s">
        <v>100</v>
      </c>
      <c r="B13" s="54" t="s">
        <v>123</v>
      </c>
      <c r="C13" s="107" t="s">
        <v>183</v>
      </c>
      <c r="D13" s="55" t="s">
        <v>144</v>
      </c>
      <c r="E13" s="55" t="s">
        <v>135</v>
      </c>
      <c r="F13" s="55" t="s">
        <v>145</v>
      </c>
      <c r="G13" s="94" t="s">
        <v>84</v>
      </c>
      <c r="H13" s="56" t="s">
        <v>118</v>
      </c>
      <c r="I13" s="56" t="s">
        <v>43</v>
      </c>
    </row>
    <row r="14" spans="1:9" ht="60" x14ac:dyDescent="0.25">
      <c r="A14" s="57" t="s">
        <v>101</v>
      </c>
      <c r="B14" s="92" t="s">
        <v>122</v>
      </c>
      <c r="C14" s="107" t="s">
        <v>184</v>
      </c>
      <c r="D14" s="55" t="s">
        <v>146</v>
      </c>
      <c r="E14" s="55" t="s">
        <v>135</v>
      </c>
      <c r="F14" s="55" t="s">
        <v>135</v>
      </c>
      <c r="G14" s="94" t="s">
        <v>84</v>
      </c>
      <c r="H14" s="56" t="s">
        <v>119</v>
      </c>
      <c r="I14" s="56" t="s">
        <v>43</v>
      </c>
    </row>
    <row r="15" spans="1:9" x14ac:dyDescent="0.25">
      <c r="A15" s="140" t="s">
        <v>82</v>
      </c>
      <c r="B15" s="141"/>
      <c r="C15" s="141"/>
      <c r="D15" s="141"/>
      <c r="E15" s="141"/>
      <c r="F15" s="141"/>
      <c r="G15" s="141"/>
      <c r="H15" s="141"/>
      <c r="I15" s="141"/>
    </row>
    <row r="16" spans="1:9" ht="135" x14ac:dyDescent="0.25">
      <c r="A16" s="93" t="s">
        <v>116</v>
      </c>
      <c r="B16" s="54" t="s">
        <v>123</v>
      </c>
      <c r="C16" s="107" t="s">
        <v>188</v>
      </c>
      <c r="D16" s="55" t="s">
        <v>147</v>
      </c>
      <c r="E16" s="57" t="s">
        <v>148</v>
      </c>
      <c r="F16" s="55" t="s">
        <v>149</v>
      </c>
      <c r="G16" s="55" t="s">
        <v>17</v>
      </c>
      <c r="H16" s="103" t="s">
        <v>117</v>
      </c>
      <c r="I16" s="56" t="s">
        <v>43</v>
      </c>
    </row>
  </sheetData>
  <mergeCells count="5">
    <mergeCell ref="A2:I2"/>
    <mergeCell ref="A6:I6"/>
    <mergeCell ref="A9:I9"/>
    <mergeCell ref="A12:I12"/>
    <mergeCell ref="A15:I15"/>
  </mergeCells>
  <hyperlinks>
    <hyperlink ref="H7" r:id="rId1"/>
    <hyperlink ref="H16" r:id="rId2"/>
  </hyperlinks>
  <pageMargins left="0.7" right="0.7" top="0.75" bottom="0.75" header="0.3" footer="0.3"/>
  <pageSetup orientation="portrait" horizontalDpi="300" verticalDpi="300"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P3"/>
  <sheetViews>
    <sheetView workbookViewId="0">
      <selection activeCell="L8" sqref="L8"/>
    </sheetView>
  </sheetViews>
  <sheetFormatPr defaultColWidth="8.85546875" defaultRowHeight="42.6" customHeight="1" x14ac:dyDescent="0.25"/>
  <cols>
    <col min="1" max="1" width="24.42578125" customWidth="1"/>
    <col min="2" max="2" width="34.140625" customWidth="1"/>
    <col min="3" max="3" width="25.7109375" hidden="1" customWidth="1"/>
    <col min="4" max="5" width="0" hidden="1" customWidth="1"/>
    <col min="6" max="6" width="5" hidden="1" customWidth="1"/>
    <col min="7" max="7" width="43.7109375" hidden="1" customWidth="1"/>
    <col min="8" max="8" width="14.85546875" hidden="1" customWidth="1"/>
    <col min="9" max="9" width="0.42578125" customWidth="1"/>
    <col min="10" max="10" width="32.42578125" customWidth="1"/>
    <col min="11" max="11" width="32" customWidth="1"/>
    <col min="12" max="12" width="37.140625" customWidth="1"/>
    <col min="13" max="13" width="8.42578125" bestFit="1" customWidth="1"/>
    <col min="14" max="15" width="38.42578125" customWidth="1"/>
    <col min="16" max="16" width="64.140625" customWidth="1"/>
    <col min="17" max="17" width="56.7109375" customWidth="1"/>
    <col min="18" max="18" width="46.140625" customWidth="1"/>
  </cols>
  <sheetData>
    <row r="1" spans="1:16" s="13" customFormat="1" ht="42.6" customHeight="1" x14ac:dyDescent="0.25">
      <c r="A1" s="15" t="s">
        <v>32</v>
      </c>
      <c r="B1" s="16" t="s">
        <v>14</v>
      </c>
      <c r="C1" s="16" t="s">
        <v>15</v>
      </c>
      <c r="D1" s="16" t="s">
        <v>16</v>
      </c>
      <c r="E1" s="17" t="s">
        <v>33</v>
      </c>
      <c r="F1" s="17" t="s">
        <v>34</v>
      </c>
      <c r="G1" s="17" t="s">
        <v>16</v>
      </c>
      <c r="H1" s="17" t="s">
        <v>35</v>
      </c>
      <c r="I1" s="18" t="s">
        <v>36</v>
      </c>
      <c r="J1" s="16" t="s">
        <v>29</v>
      </c>
      <c r="K1" s="16" t="s">
        <v>37</v>
      </c>
      <c r="L1" s="16" t="s">
        <v>38</v>
      </c>
      <c r="M1" s="18" t="s">
        <v>31</v>
      </c>
      <c r="N1" s="18" t="s">
        <v>15</v>
      </c>
      <c r="O1" s="16" t="s">
        <v>160</v>
      </c>
    </row>
    <row r="2" spans="1:16" ht="42.6" customHeight="1" x14ac:dyDescent="0.25">
      <c r="A2" t="s">
        <v>39</v>
      </c>
      <c r="B2" s="60" t="s">
        <v>180</v>
      </c>
      <c r="D2" s="3"/>
      <c r="E2" s="19" t="s">
        <v>40</v>
      </c>
      <c r="F2" s="20" t="s">
        <v>41</v>
      </c>
      <c r="G2" s="20"/>
      <c r="J2" t="s">
        <v>159</v>
      </c>
      <c r="K2" t="s">
        <v>159</v>
      </c>
      <c r="M2" t="s">
        <v>42</v>
      </c>
      <c r="N2" s="34" t="s">
        <v>63</v>
      </c>
      <c r="O2" s="35" t="s">
        <v>191</v>
      </c>
      <c r="P2" s="36"/>
    </row>
    <row r="3" spans="1:16" ht="42.6" customHeight="1" x14ac:dyDescent="0.25">
      <c r="A3" t="s">
        <v>167</v>
      </c>
      <c r="B3" t="s">
        <v>190</v>
      </c>
      <c r="J3" t="s">
        <v>166</v>
      </c>
      <c r="K3" t="s">
        <v>135</v>
      </c>
      <c r="L3" t="s">
        <v>168</v>
      </c>
      <c r="M3" t="s">
        <v>169</v>
      </c>
      <c r="N3" s="34" t="s">
        <v>63</v>
      </c>
      <c r="O3" t="s">
        <v>192</v>
      </c>
    </row>
  </sheetData>
  <hyperlinks>
    <hyperlink ref="N2" r:id="rId1"/>
    <hyperlink ref="N3" r:id="rId2"/>
  </hyperlinks>
  <pageMargins left="0.7" right="0.7" top="0.75" bottom="0.75" header="0.3" footer="0.3"/>
  <pageSetup orientation="portrait" horizontalDpi="1200" verticalDpi="1200"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A9"/>
  <sheetViews>
    <sheetView workbookViewId="0">
      <selection sqref="A1:A9"/>
    </sheetView>
  </sheetViews>
  <sheetFormatPr defaultColWidth="11.42578125" defaultRowHeight="15" x14ac:dyDescent="0.25"/>
  <sheetData>
    <row r="1" spans="1:1" x14ac:dyDescent="0.25">
      <c r="A1" s="130" t="s">
        <v>193</v>
      </c>
    </row>
    <row r="2" spans="1:1" x14ac:dyDescent="0.25">
      <c r="A2" s="130" t="s">
        <v>197</v>
      </c>
    </row>
    <row r="3" spans="1:1" x14ac:dyDescent="0.25">
      <c r="A3" s="1" t="s">
        <v>194</v>
      </c>
    </row>
    <row r="4" spans="1:1" x14ac:dyDescent="0.25">
      <c r="A4" s="1" t="s">
        <v>198</v>
      </c>
    </row>
    <row r="5" spans="1:1" x14ac:dyDescent="0.25">
      <c r="A5" s="130" t="s">
        <v>195</v>
      </c>
    </row>
    <row r="6" spans="1:1" x14ac:dyDescent="0.25">
      <c r="A6" s="130" t="s">
        <v>199</v>
      </c>
    </row>
    <row r="7" spans="1:1" x14ac:dyDescent="0.25">
      <c r="A7" s="130" t="s">
        <v>196</v>
      </c>
    </row>
    <row r="8" spans="1:1" x14ac:dyDescent="0.25">
      <c r="A8" s="1" t="s">
        <v>200</v>
      </c>
    </row>
    <row r="9" spans="1:1" x14ac:dyDescent="0.25">
      <c r="A9" s="130" t="s">
        <v>201</v>
      </c>
    </row>
  </sheetData>
  <hyperlinks>
    <hyperlink ref="A9" r:id="rId1" display="https://shopsamsung.page.link/?link=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26iosparam%3Dsamsungestore%25253A%25252F%25252Fopencategory%252523category%25253DN0003053%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category%23category%3DN0003053%23utm_source%3Dsamsung%23utm_medium%3Demail%23utm_campaign%3D12182020_post_holiday%23marsLinkCategory%3D__MARSTRACKING__%23MKM_RID%3D__BPNUMBER__%23MKM_MID%3D__DELIVERNAME__%23cid%3D__CID____SEGMENTCODE__%23bpid%3D__BPNUMBER__&amp;afl=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amp;efr=1"/>
    <hyperlink ref="A7" r:id="rId2" display="https://shopsamsung.page.link/?link=https%3A%2F%2Fwww.samsung.com%2Fus%2Ftablets%2Ftab-s7%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tablets%2Ftab-s7%2Findex.html%23utm_source%3Dsamsung%23utm_medium%3Demail%23utm_campaign%3D12182020_post_holiday%23marsLinkCategory%3D__MARSTRACKING__%23MKM_RID%3D__BPNUMBER__%23MKM_MID%3D__DELIVERNAME__%23cid%3D__CID____SEGMENTCODE__%23bpid%3D__BPNUMBER__&amp;afl=https%3A%2F%2Fwww.samsung.com%2Fus%2Ftablets%2Ftab-s7%2Fbuy%2F%3Futm_source%3Dsamsung%26utm_medium%3Demail%26utm_campaign%3D12182020_post_holiday%26marsLinkCategory%3D__MARSTRACKING__%26MKM_RID%3D__BPNUMBER__%26MKM_MID%3D__DELIVERNAME__%26cid%3D__CID____SEGMENTCODE__%26bpid%3D__BPNUMBER__&amp;efr=1"/>
    <hyperlink ref="A6" r:id="rId3" display="https://shopsamsung.page.link/?link=https%3A%2F%2Fwww.samsung.com%2Fus%2Fwatches%2Fgalaxy-watch3%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watches%2Fgalaxy-watch3%2Findex.html%23utm_source%3Dsamsung%23utm_medium%3Demail%23utm_campaign%3D12182020_post_holiday%23marsLinkCategory%3D__MARSTRACKING__%23MKM_RID%3D__BPNUMBER__%23MKM_MID%3D__DELIVERNAME__%23cid%3D__CID____SEGMENTCODE__%23bpid%3D__BPNUMBER__&amp;afl=https%3A%2F%2Fwww.samsung.com%2Fus%2Fwatches%2Fgalaxy-watch3%2Fbuy%2F%3Futm_source%3Dsamsung%26utm_medium%3Demail%26utm_campaign%3D12182020_post_holiday%26marsLinkCategory%3D__MARSTRACKING__%26MKM_RID%3D__BPNUMBER__%26MKM_MID%3D__DELIVERNAME__%26cid%3D__CID____SEGMENTCODE__%26bpid%3D__BPNUMBER__&amp;efr=1"/>
    <hyperlink ref="A5" r:id="rId4" display="https://shopsamsung.page.link/?link=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26iosparam%3Dsamsungestore%25253A%25252F%25252Fopenpdp%252523product%25253DSM-R180NZKAXAR%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pdp%23product%3DSM-R180NZKAXAR%23utm_source%3Dsamsung%23utm_medium%3Demail%23utm_campaign%3D12182020_post_holiday%23marsLinkCategory%3D__MARSTRACKING__%23MKM_RID%3D__BPNUMBER__%23MKM_MID%3D__DELIVERNAME__%23cid%3D__CID____SEGMENTCODE__%23bpid%3D__BPNUMBER__&amp;afl=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amp;efr=1"/>
    <hyperlink ref="A2" r:id="rId5" display="https://shopsamsung.page.link/?link=https%3A%2F%2Fwww.samsung.com%2Fus%2Fsearch%2FsearchMain%2F%3FlistType%3Dg%26searchTerm%3Dcpo%26sort%3Drelevance%26size%3D30%26item_type%3DPhones%26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plp%23products%3D%5BSM5G973UZKAXAA%2CSM5G975UZKAXAA%2CSM5G970UZKAXAA%2CSM5N960UZKAXAA%2CSM5G960UZKAXAA%2CSM5N970UZKAXAA%2CSM5N975UZKAXAA%2CSM5G965UZKAXAA%5D%23utm_source%3Dsamsung%23utm_medium%3Demail%23utm_campaign%3D12182020_post_holiday%23marsLinkCategory%3D__MARSTRACKING__%23MKM_RID%3D__BPNUMBER__%23MKM_MID%3D__DELIVERNAME__%23cid%3D__CID____SEGMENTCODE__%23bpid%3D__BPNUMBER__&amp;afl=https%3A%2F%2Fwww.samsung.com%2Fus%2Fsearch%2FsearchMain%2F%3FlistType%3Dg%26searchTerm%3Dcpo%26sort%3Drelevance%26size%3D30%26item_type%3DPhones%26utm_source%3Dsamsung%26utm_medium%3Demail%26utm_campaign%3D12182020_post_holiday%26marsLinkCategory%3D__MARSTRACKING__%26MKM_RID%3D__BPNUMBER__%26MKM_MID%3D__DELIVERNAME__%26cid%3D__CID____SEGMENTCODE__%26bpid%3D__BPNUMBER__&amp;efr=1"/>
    <hyperlink ref="A1" r:id="rId6" display="https://shopsamsung.page.link/?link=https%3A%2F%2Fwww.samsung.com%2Fus%2Fmobile%2Fphones%2Fgalaxy-a%2Fbuy%2F%3FmodelCode%3DSM-A716UZKNXAA%26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smartphones%2Fgalaxy-a50%2Findex.html%3FskipDevice%3Dgalaxy-a71-5g%23utm_source%3Dsamsung%23utm_medium%3Demail%23utm_campaign%3D12182020_post_holiday%23marsLinkCategory%3D__MARSTRACKING__%23MKM_RID%3D__BPNUMBER__%23MKM_MID%3D__DELIVERNAME__%23cid%3D__CID____SEGMENTCODE__%23bpid%3D__BPNUMBER__&amp;afl=https%3A%2F%2Fwww.samsung.com%2Fus%2Fmobile%2Fphones%2Fgalaxy-a%2Fbuy%2F%3FmodelCode%3DSM-A716UZKNXAA%26utm_source%3Dsamsung%26utm_medium%3Demail%26utm_campaign%3D12182020_post_holiday%26marsLinkCategory%3D__MARSTRACKING__%26MKM_RID%3D__BPNUMBER__%26MKM_MID%3D__DELIVERNAME__%26cid%3D__CID____SEGMENTCODE__%26bpid%3D__BPNUMBER__&amp;efr=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F2"/>
  <sheetViews>
    <sheetView workbookViewId="0">
      <selection activeCell="C8" sqref="C8"/>
    </sheetView>
  </sheetViews>
  <sheetFormatPr defaultColWidth="9" defaultRowHeight="15" x14ac:dyDescent="0.25"/>
  <cols>
    <col min="1" max="1" width="9.7109375" style="3" bestFit="1" customWidth="1"/>
    <col min="2" max="2" width="31" style="3" customWidth="1"/>
    <col min="3" max="3" width="125.42578125" style="3" customWidth="1"/>
    <col min="4" max="4" width="18.140625" style="3" customWidth="1"/>
    <col min="5" max="5" width="31" style="3" customWidth="1"/>
    <col min="6" max="6" width="44.140625" style="3" hidden="1" customWidth="1"/>
    <col min="7" max="16384" width="9" style="3"/>
  </cols>
  <sheetData>
    <row r="1" spans="1:6" ht="30" x14ac:dyDescent="0.25">
      <c r="A1" s="21" t="s">
        <v>44</v>
      </c>
      <c r="B1" s="21" t="s">
        <v>45</v>
      </c>
      <c r="C1" s="21" t="s">
        <v>46</v>
      </c>
      <c r="D1" s="21" t="s">
        <v>47</v>
      </c>
      <c r="E1" s="21" t="s">
        <v>48</v>
      </c>
      <c r="F1" s="21" t="s">
        <v>49</v>
      </c>
    </row>
    <row r="2" spans="1:6" ht="285" x14ac:dyDescent="0.25">
      <c r="A2" s="3" t="s">
        <v>50</v>
      </c>
      <c r="B2" s="3" t="s">
        <v>95</v>
      </c>
      <c r="C2" s="3" t="s">
        <v>51</v>
      </c>
      <c r="D2" s="3" t="s">
        <v>52</v>
      </c>
      <c r="E2" s="3" t="s">
        <v>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B5" sqref="B5"/>
    </sheetView>
  </sheetViews>
  <sheetFormatPr defaultRowHeight="15" x14ac:dyDescent="0.25"/>
  <cols>
    <col min="1" max="1" width="54.140625" customWidth="1"/>
    <col min="2" max="2" width="85.7109375" customWidth="1"/>
    <col min="3" max="4" width="71.28515625" customWidth="1"/>
  </cols>
  <sheetData>
    <row r="1" spans="1:13" x14ac:dyDescent="0.25">
      <c r="A1" s="131" t="s">
        <v>202</v>
      </c>
      <c r="B1" s="132" t="s">
        <v>203</v>
      </c>
      <c r="C1" s="132" t="s">
        <v>204</v>
      </c>
      <c r="D1" s="132" t="s">
        <v>205</v>
      </c>
      <c r="E1" s="10"/>
      <c r="F1" s="10"/>
      <c r="G1" s="10"/>
      <c r="H1" s="10"/>
      <c r="I1" s="10"/>
      <c r="J1" s="10"/>
      <c r="K1" s="10"/>
      <c r="L1" s="10"/>
      <c r="M1" s="10"/>
    </row>
    <row r="2" spans="1:13" x14ac:dyDescent="0.25">
      <c r="A2" s="133" t="s">
        <v>206</v>
      </c>
      <c r="B2" s="134" t="s">
        <v>207</v>
      </c>
      <c r="C2" s="134" t="s">
        <v>208</v>
      </c>
      <c r="D2" s="134" t="s">
        <v>255</v>
      </c>
      <c r="E2" s="10"/>
      <c r="F2" s="10"/>
      <c r="G2" s="10"/>
      <c r="H2" s="10"/>
      <c r="I2" s="10"/>
      <c r="J2" s="10"/>
      <c r="K2" s="10"/>
      <c r="L2" s="10"/>
      <c r="M2" s="10"/>
    </row>
    <row r="3" spans="1:13" x14ac:dyDescent="0.25">
      <c r="A3" s="133" t="s">
        <v>209</v>
      </c>
      <c r="B3" s="134" t="s">
        <v>210</v>
      </c>
      <c r="C3" s="134" t="s">
        <v>211</v>
      </c>
      <c r="D3" s="134" t="s">
        <v>256</v>
      </c>
      <c r="E3" s="10"/>
      <c r="F3" s="10"/>
      <c r="G3" s="10"/>
      <c r="H3" s="10"/>
      <c r="I3" s="10"/>
      <c r="J3" s="10"/>
      <c r="K3" s="10"/>
      <c r="L3" s="10"/>
      <c r="M3" s="10"/>
    </row>
    <row r="4" spans="1:13" x14ac:dyDescent="0.25">
      <c r="A4" s="133" t="s">
        <v>212</v>
      </c>
      <c r="B4" s="134" t="s">
        <v>213</v>
      </c>
      <c r="C4" s="134" t="s">
        <v>214</v>
      </c>
      <c r="D4" s="134" t="s">
        <v>253</v>
      </c>
      <c r="E4" s="10"/>
      <c r="F4" s="10"/>
      <c r="G4" s="10"/>
      <c r="H4" s="10"/>
      <c r="I4" s="10"/>
      <c r="J4" s="10"/>
      <c r="K4" s="10"/>
      <c r="L4" s="10"/>
      <c r="M4" s="10"/>
    </row>
    <row r="5" spans="1:13" x14ac:dyDescent="0.25">
      <c r="A5" s="133" t="s">
        <v>215</v>
      </c>
      <c r="B5" s="134" t="s">
        <v>257</v>
      </c>
      <c r="C5" s="134" t="s">
        <v>216</v>
      </c>
      <c r="D5" s="134" t="s">
        <v>254</v>
      </c>
      <c r="E5" s="10"/>
      <c r="F5" s="10"/>
      <c r="G5" s="10"/>
      <c r="H5" s="10"/>
      <c r="I5" s="10"/>
      <c r="J5" s="10"/>
      <c r="K5" s="10"/>
      <c r="L5" s="10"/>
      <c r="M5" s="10"/>
    </row>
    <row r="6" spans="1:13" x14ac:dyDescent="0.25">
      <c r="A6" s="133" t="s">
        <v>217</v>
      </c>
      <c r="B6" s="134"/>
      <c r="C6" s="134" t="s">
        <v>218</v>
      </c>
      <c r="D6" s="134"/>
      <c r="E6" s="10"/>
      <c r="F6" s="10"/>
      <c r="G6" s="10"/>
      <c r="H6" s="10"/>
      <c r="I6" s="10"/>
      <c r="J6" s="10"/>
      <c r="K6" s="10"/>
      <c r="L6" s="10"/>
      <c r="M6" s="10"/>
    </row>
    <row r="7" spans="1:13" ht="16.5" x14ac:dyDescent="0.3">
      <c r="A7" s="133" t="s">
        <v>219</v>
      </c>
      <c r="B7" s="134"/>
      <c r="C7" s="134" t="s">
        <v>220</v>
      </c>
      <c r="D7" s="135"/>
      <c r="E7" s="10"/>
      <c r="F7" s="10"/>
      <c r="G7" s="10"/>
      <c r="H7" s="10"/>
      <c r="I7" s="10"/>
      <c r="J7" s="10"/>
      <c r="K7" s="10"/>
      <c r="L7" s="10"/>
      <c r="M7" s="10"/>
    </row>
    <row r="8" spans="1:13" x14ac:dyDescent="0.25">
      <c r="A8" s="133"/>
      <c r="B8" s="134"/>
      <c r="C8" s="136" t="s">
        <v>221</v>
      </c>
      <c r="D8" s="10"/>
      <c r="E8" s="10"/>
      <c r="F8" s="10"/>
      <c r="G8" s="10"/>
      <c r="H8" s="10"/>
      <c r="I8" s="10"/>
      <c r="J8" s="10"/>
      <c r="K8" s="10"/>
      <c r="L8" s="10"/>
      <c r="M8" s="10"/>
    </row>
    <row r="9" spans="1:13" x14ac:dyDescent="0.25">
      <c r="A9" s="133"/>
      <c r="B9" s="134" t="s">
        <v>222</v>
      </c>
      <c r="C9" s="136" t="s">
        <v>223</v>
      </c>
      <c r="D9" s="10"/>
      <c r="E9" s="10"/>
      <c r="F9" s="10"/>
      <c r="G9" s="10"/>
      <c r="H9" s="10"/>
      <c r="I9" s="10"/>
      <c r="J9" s="10"/>
      <c r="K9" s="10"/>
      <c r="L9" s="10"/>
      <c r="M9" s="10"/>
    </row>
    <row r="10" spans="1:13" x14ac:dyDescent="0.25">
      <c r="A10" s="133"/>
      <c r="B10" s="134" t="s">
        <v>224</v>
      </c>
      <c r="C10" s="10"/>
      <c r="D10" s="10"/>
      <c r="E10" s="10"/>
      <c r="F10" s="10"/>
      <c r="G10" s="10"/>
      <c r="H10" s="10"/>
      <c r="I10" s="10"/>
      <c r="J10" s="10"/>
      <c r="K10" s="10"/>
      <c r="L10" s="10"/>
      <c r="M10" s="10"/>
    </row>
    <row r="11" spans="1:13" x14ac:dyDescent="0.25">
      <c r="A11" s="133"/>
      <c r="B11" s="134" t="s">
        <v>225</v>
      </c>
      <c r="C11" s="10"/>
      <c r="D11" s="10"/>
      <c r="E11" s="10"/>
      <c r="F11" s="10"/>
      <c r="G11" s="10"/>
      <c r="H11" s="10"/>
      <c r="I11" s="10"/>
      <c r="J11" s="10"/>
      <c r="K11" s="10"/>
      <c r="L11" s="10"/>
      <c r="M11" s="10"/>
    </row>
    <row r="12" spans="1:13" x14ac:dyDescent="0.25">
      <c r="A12" s="133"/>
      <c r="B12" s="134" t="s">
        <v>226</v>
      </c>
      <c r="C12" s="10"/>
      <c r="D12" s="10"/>
      <c r="E12" s="10"/>
      <c r="F12" s="10"/>
      <c r="G12" s="10"/>
      <c r="H12" s="10"/>
      <c r="I12" s="10"/>
      <c r="J12" s="10"/>
      <c r="K12" s="10"/>
      <c r="L12" s="10"/>
      <c r="M12" s="10"/>
    </row>
    <row r="13" spans="1:13" x14ac:dyDescent="0.25">
      <c r="A13" s="133"/>
      <c r="B13" s="134"/>
      <c r="C13" s="10"/>
      <c r="D13" s="10"/>
      <c r="E13" s="10"/>
      <c r="F13" s="10"/>
      <c r="G13" s="10"/>
      <c r="H13" s="10"/>
      <c r="I13" s="10"/>
      <c r="J13" s="10"/>
      <c r="K13" s="10"/>
      <c r="L13" s="10"/>
      <c r="M13" s="10"/>
    </row>
    <row r="14" spans="1:13" x14ac:dyDescent="0.25">
      <c r="A14" s="133"/>
      <c r="B14" s="134"/>
      <c r="C14" s="10"/>
      <c r="D14" s="10"/>
      <c r="E14" s="10"/>
      <c r="F14" s="10"/>
      <c r="G14" s="10"/>
      <c r="H14" s="10"/>
      <c r="I14" s="10"/>
      <c r="J14" s="10"/>
      <c r="K14" s="10"/>
      <c r="L14" s="10"/>
      <c r="M14" s="10"/>
    </row>
    <row r="15" spans="1:13" x14ac:dyDescent="0.25">
      <c r="A15" s="10"/>
      <c r="B15" s="133"/>
      <c r="C15" s="10"/>
      <c r="D15" s="10"/>
      <c r="E15" s="10"/>
      <c r="F15" s="10"/>
      <c r="G15" s="10"/>
      <c r="H15" s="10"/>
      <c r="I15" s="10"/>
      <c r="J15" s="10"/>
      <c r="K15" s="10"/>
      <c r="L15" s="10"/>
      <c r="M15" s="10"/>
    </row>
    <row r="16" spans="1:13" x14ac:dyDescent="0.25">
      <c r="A16" s="10"/>
      <c r="B16" s="133"/>
      <c r="C16" s="10"/>
      <c r="D16" s="10"/>
      <c r="E16" s="10"/>
      <c r="F16" s="10"/>
      <c r="G16" s="10"/>
      <c r="H16" s="10"/>
      <c r="I16" s="10"/>
      <c r="J16" s="10"/>
      <c r="K16" s="10"/>
      <c r="L16" s="10"/>
      <c r="M16" s="10"/>
    </row>
    <row r="17" spans="1:13" x14ac:dyDescent="0.25">
      <c r="A17" s="10"/>
      <c r="B17" s="133"/>
      <c r="C17" s="10"/>
      <c r="D17" s="10"/>
      <c r="E17" s="10"/>
      <c r="F17" s="10"/>
      <c r="G17" s="10"/>
      <c r="H17" s="10"/>
      <c r="I17" s="10"/>
      <c r="J17" s="10"/>
      <c r="K17" s="10"/>
      <c r="L17" s="10"/>
      <c r="M17" s="10"/>
    </row>
    <row r="18" spans="1:13" x14ac:dyDescent="0.25">
      <c r="B18" s="137"/>
    </row>
    <row r="19" spans="1:13" x14ac:dyDescent="0.25">
      <c r="B19" s="137"/>
    </row>
    <row r="21" spans="1:13" x14ac:dyDescent="0.25">
      <c r="A21" s="138"/>
    </row>
  </sheetData>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B27" sqref="B27"/>
    </sheetView>
  </sheetViews>
  <sheetFormatPr defaultRowHeight="15" x14ac:dyDescent="0.25"/>
  <cols>
    <col min="1" max="1" width="54.140625" customWidth="1"/>
    <col min="2" max="2" width="85.7109375" customWidth="1"/>
    <col min="3" max="3" width="71.28515625" customWidth="1"/>
  </cols>
  <sheetData>
    <row r="1" spans="1:13" x14ac:dyDescent="0.25">
      <c r="A1" s="131" t="s">
        <v>202</v>
      </c>
      <c r="B1" s="132" t="s">
        <v>227</v>
      </c>
      <c r="C1" s="10"/>
      <c r="D1" s="10"/>
      <c r="E1" s="10"/>
      <c r="F1" s="10"/>
      <c r="G1" s="10"/>
      <c r="H1" s="10"/>
      <c r="I1" s="10"/>
      <c r="J1" s="10"/>
      <c r="K1" s="10"/>
      <c r="L1" s="10"/>
      <c r="M1" s="10"/>
    </row>
    <row r="2" spans="1:13" x14ac:dyDescent="0.25">
      <c r="A2" s="133" t="s">
        <v>228</v>
      </c>
      <c r="B2" s="134" t="s">
        <v>229</v>
      </c>
      <c r="C2" s="134"/>
      <c r="D2" s="10"/>
      <c r="E2" s="10"/>
      <c r="F2" s="10"/>
      <c r="G2" s="10"/>
      <c r="H2" s="10"/>
      <c r="I2" s="10"/>
      <c r="J2" s="10"/>
      <c r="K2" s="10"/>
      <c r="L2" s="10"/>
      <c r="M2" s="10"/>
    </row>
    <row r="3" spans="1:13" x14ac:dyDescent="0.25">
      <c r="A3" s="133" t="s">
        <v>230</v>
      </c>
      <c r="B3" s="134" t="s">
        <v>231</v>
      </c>
      <c r="C3" s="10"/>
      <c r="D3" s="10"/>
      <c r="E3" s="10"/>
      <c r="F3" s="10"/>
      <c r="G3" s="10"/>
      <c r="H3" s="10"/>
      <c r="I3" s="10"/>
      <c r="J3" s="10"/>
      <c r="K3" s="10"/>
      <c r="L3" s="10"/>
      <c r="M3" s="10"/>
    </row>
    <row r="4" spans="1:13" x14ac:dyDescent="0.25">
      <c r="A4" s="133" t="s">
        <v>232</v>
      </c>
      <c r="B4" s="134" t="s">
        <v>233</v>
      </c>
      <c r="C4" s="10"/>
      <c r="D4" s="10"/>
      <c r="E4" s="10"/>
      <c r="F4" s="10"/>
      <c r="G4" s="10"/>
      <c r="H4" s="10"/>
      <c r="I4" s="10"/>
      <c r="J4" s="10"/>
      <c r="K4" s="10"/>
      <c r="L4" s="10"/>
      <c r="M4" s="10"/>
    </row>
    <row r="5" spans="1:13" x14ac:dyDescent="0.25">
      <c r="A5" s="133" t="s">
        <v>234</v>
      </c>
      <c r="B5" s="134" t="s">
        <v>235</v>
      </c>
      <c r="C5" s="10"/>
      <c r="D5" s="10"/>
      <c r="E5" s="10"/>
      <c r="F5" s="10"/>
      <c r="G5" s="10"/>
      <c r="H5" s="10"/>
      <c r="I5" s="10"/>
      <c r="J5" s="10"/>
      <c r="K5" s="10"/>
      <c r="L5" s="10"/>
      <c r="M5" s="10"/>
    </row>
    <row r="6" spans="1:13" x14ac:dyDescent="0.25">
      <c r="A6" s="133" t="s">
        <v>236</v>
      </c>
      <c r="B6" s="134" t="s">
        <v>237</v>
      </c>
      <c r="C6" s="139"/>
      <c r="D6" s="10"/>
      <c r="E6" s="10"/>
      <c r="F6" s="10"/>
      <c r="G6" s="10"/>
      <c r="H6" s="10"/>
      <c r="I6" s="10"/>
      <c r="J6" s="10"/>
      <c r="K6" s="10"/>
      <c r="L6" s="10"/>
      <c r="M6" s="10"/>
    </row>
    <row r="7" spans="1:13" x14ac:dyDescent="0.25">
      <c r="A7" s="133" t="s">
        <v>238</v>
      </c>
      <c r="B7" s="134" t="s">
        <v>239</v>
      </c>
      <c r="C7" s="10"/>
      <c r="D7" s="10"/>
      <c r="E7" s="10"/>
      <c r="F7" s="10"/>
      <c r="G7" s="10"/>
      <c r="H7" s="10"/>
      <c r="I7" s="10"/>
      <c r="J7" s="10"/>
      <c r="K7" s="10"/>
      <c r="L7" s="10"/>
      <c r="M7" s="10"/>
    </row>
    <row r="8" spans="1:13" x14ac:dyDescent="0.25">
      <c r="A8" s="133" t="s">
        <v>240</v>
      </c>
      <c r="B8" s="134" t="s">
        <v>241</v>
      </c>
      <c r="C8" s="10"/>
      <c r="D8" s="10"/>
      <c r="E8" s="10"/>
      <c r="F8" s="10"/>
      <c r="G8" s="10"/>
      <c r="H8" s="10"/>
      <c r="I8" s="10"/>
      <c r="J8" s="10"/>
      <c r="K8" s="10"/>
      <c r="L8" s="10"/>
      <c r="M8" s="10"/>
    </row>
    <row r="9" spans="1:13" x14ac:dyDescent="0.25">
      <c r="A9" s="133" t="s">
        <v>242</v>
      </c>
      <c r="B9" s="134" t="s">
        <v>243</v>
      </c>
      <c r="C9" s="10"/>
      <c r="D9" s="10"/>
      <c r="E9" s="10"/>
      <c r="F9" s="10"/>
      <c r="G9" s="10"/>
      <c r="H9" s="10"/>
      <c r="I9" s="10"/>
      <c r="J9" s="10"/>
      <c r="K9" s="10"/>
      <c r="L9" s="10"/>
      <c r="M9" s="10"/>
    </row>
    <row r="10" spans="1:13" x14ac:dyDescent="0.25">
      <c r="A10" s="133" t="s">
        <v>244</v>
      </c>
      <c r="B10" s="134" t="s">
        <v>63</v>
      </c>
      <c r="C10" s="10"/>
      <c r="D10" s="10"/>
      <c r="E10" s="10"/>
      <c r="F10" s="10"/>
      <c r="G10" s="10"/>
      <c r="H10" s="10"/>
      <c r="I10" s="10"/>
      <c r="J10" s="10"/>
      <c r="K10" s="10"/>
      <c r="L10" s="10"/>
      <c r="M10" s="10"/>
    </row>
    <row r="11" spans="1:13" x14ac:dyDescent="0.25">
      <c r="A11" s="133" t="s">
        <v>245</v>
      </c>
      <c r="B11" s="134" t="s">
        <v>246</v>
      </c>
      <c r="C11" s="10"/>
      <c r="D11" s="10"/>
      <c r="E11" s="10"/>
      <c r="F11" s="10"/>
      <c r="G11" s="10"/>
      <c r="H11" s="10"/>
      <c r="I11" s="10"/>
      <c r="J11" s="10"/>
      <c r="K11" s="10"/>
      <c r="L11" s="10"/>
      <c r="M11" s="10"/>
    </row>
    <row r="12" spans="1:13" x14ac:dyDescent="0.25">
      <c r="A12" s="133" t="s">
        <v>247</v>
      </c>
      <c r="B12" s="134" t="s">
        <v>248</v>
      </c>
      <c r="C12" s="10"/>
      <c r="D12" s="10"/>
      <c r="E12" s="10"/>
      <c r="F12" s="10"/>
      <c r="G12" s="10"/>
      <c r="H12" s="10"/>
      <c r="I12" s="10"/>
      <c r="J12" s="10"/>
      <c r="K12" s="10"/>
      <c r="L12" s="10"/>
      <c r="M12" s="10"/>
    </row>
    <row r="13" spans="1:13" x14ac:dyDescent="0.25">
      <c r="A13" s="133" t="s">
        <v>249</v>
      </c>
      <c r="B13" s="134" t="s">
        <v>250</v>
      </c>
      <c r="C13" s="10"/>
      <c r="D13" s="10"/>
      <c r="E13" s="10"/>
      <c r="F13" s="10"/>
      <c r="G13" s="10"/>
      <c r="H13" s="10"/>
      <c r="I13" s="10"/>
      <c r="J13" s="10"/>
      <c r="K13" s="10"/>
      <c r="L13" s="10"/>
      <c r="M13" s="10"/>
    </row>
    <row r="14" spans="1:13" x14ac:dyDescent="0.25">
      <c r="A14" s="133" t="s">
        <v>251</v>
      </c>
      <c r="B14" s="134" t="s">
        <v>252</v>
      </c>
      <c r="C14" s="10"/>
      <c r="D14" s="10"/>
      <c r="E14" s="10"/>
      <c r="F14" s="10"/>
      <c r="G14" s="10"/>
      <c r="H14" s="10"/>
      <c r="I14" s="10"/>
      <c r="J14" s="10"/>
      <c r="K14" s="10"/>
      <c r="L14" s="10"/>
      <c r="M14" s="10"/>
    </row>
    <row r="15" spans="1:13" x14ac:dyDescent="0.25">
      <c r="A15" s="10"/>
      <c r="B15" s="133"/>
      <c r="C15" s="10"/>
      <c r="D15" s="10"/>
      <c r="E15" s="10"/>
      <c r="F15" s="10"/>
      <c r="G15" s="10"/>
      <c r="H15" s="10"/>
      <c r="I15" s="10"/>
      <c r="J15" s="10"/>
      <c r="K15" s="10"/>
      <c r="L15" s="10"/>
      <c r="M15" s="10"/>
    </row>
    <row r="16" spans="1:13" x14ac:dyDescent="0.25">
      <c r="A16" s="10"/>
      <c r="B16" s="133"/>
      <c r="C16" s="10"/>
      <c r="D16" s="10"/>
      <c r="E16" s="10"/>
      <c r="F16" s="10"/>
      <c r="G16" s="10"/>
      <c r="H16" s="10"/>
      <c r="I16" s="10"/>
      <c r="J16" s="10"/>
      <c r="K16" s="10"/>
      <c r="L16" s="10"/>
      <c r="M16" s="10"/>
    </row>
    <row r="17" spans="1:13" x14ac:dyDescent="0.25">
      <c r="A17" s="10"/>
      <c r="B17" s="133"/>
      <c r="C17" s="10"/>
      <c r="D17" s="10"/>
      <c r="E17" s="10"/>
      <c r="F17" s="10"/>
      <c r="G17" s="10"/>
      <c r="H17" s="10"/>
      <c r="I17" s="10"/>
      <c r="J17" s="10"/>
      <c r="K17" s="10"/>
      <c r="L17" s="10"/>
      <c r="M17" s="10"/>
    </row>
    <row r="18" spans="1:13" x14ac:dyDescent="0.25">
      <c r="B18" s="137"/>
    </row>
    <row r="19" spans="1:13" x14ac:dyDescent="0.25">
      <c r="B19" s="137"/>
    </row>
    <row r="21" spans="1:13" x14ac:dyDescent="0.25">
      <c r="A21" s="13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1"/>
  <sheetViews>
    <sheetView workbookViewId="0">
      <pane ySplit="6" topLeftCell="A7" activePane="bottomLeft" state="frozen"/>
      <selection pane="bottomLeft" activeCell="E10" sqref="E10"/>
    </sheetView>
  </sheetViews>
  <sheetFormatPr defaultColWidth="8.85546875" defaultRowHeight="15" x14ac:dyDescent="0.25"/>
  <cols>
    <col min="1" max="1" width="11.140625" customWidth="1"/>
    <col min="2" max="2" width="10.7109375" bestFit="1" customWidth="1"/>
    <col min="3" max="3" width="10.28515625" bestFit="1" customWidth="1"/>
    <col min="4" max="4" width="14.42578125" bestFit="1" customWidth="1"/>
    <col min="5" max="5" width="40.28515625" style="3" bestFit="1" customWidth="1"/>
    <col min="6" max="6" width="15.85546875" style="9" bestFit="1" customWidth="1"/>
    <col min="7" max="7" width="17.7109375" style="80" bestFit="1" customWidth="1"/>
    <col min="8" max="8" width="6.7109375" style="49" bestFit="1" customWidth="1"/>
    <col min="9" max="9" width="8.85546875" style="9" bestFit="1" customWidth="1"/>
    <col min="10" max="10" width="7.42578125" style="9" bestFit="1" customWidth="1"/>
    <col min="11" max="11" width="8.140625" style="9" bestFit="1" customWidth="1"/>
    <col min="12" max="12" width="8.7109375" style="9" bestFit="1" customWidth="1"/>
    <col min="13" max="13" width="57.140625" style="3" customWidth="1"/>
  </cols>
  <sheetData>
    <row r="1" spans="1:13" x14ac:dyDescent="0.25">
      <c r="A1" s="79" t="s">
        <v>76</v>
      </c>
      <c r="B1" s="24"/>
      <c r="C1" s="24"/>
      <c r="D1" s="25"/>
      <c r="E1" s="67" t="s">
        <v>94</v>
      </c>
      <c r="F1" s="73"/>
      <c r="H1" s="74"/>
    </row>
    <row r="2" spans="1:13" x14ac:dyDescent="0.25">
      <c r="A2" s="24" t="s">
        <v>28</v>
      </c>
      <c r="B2" s="24"/>
      <c r="C2" s="24"/>
      <c r="D2" s="25"/>
      <c r="E2" s="68"/>
      <c r="F2" s="73"/>
      <c r="H2" s="74"/>
    </row>
    <row r="3" spans="1:13" x14ac:dyDescent="0.25">
      <c r="A3" s="25" t="s">
        <v>163</v>
      </c>
      <c r="B3" s="24"/>
      <c r="C3" s="24"/>
      <c r="D3" s="25"/>
      <c r="E3" s="68"/>
      <c r="F3" s="73"/>
      <c r="H3" s="74"/>
    </row>
    <row r="4" spans="1:13" x14ac:dyDescent="0.25">
      <c r="A4" s="26" t="s">
        <v>74</v>
      </c>
      <c r="B4" s="24"/>
      <c r="C4" s="24"/>
      <c r="D4" s="25"/>
      <c r="E4" s="68"/>
      <c r="F4" s="73"/>
      <c r="H4" s="74"/>
    </row>
    <row r="5" spans="1:13" x14ac:dyDescent="0.25">
      <c r="A5" s="23"/>
      <c r="B5" s="24"/>
      <c r="C5" s="24"/>
      <c r="D5" s="25"/>
      <c r="E5" s="68"/>
      <c r="F5" s="73"/>
      <c r="H5" s="74"/>
    </row>
    <row r="6" spans="1:13" s="27" customFormat="1" x14ac:dyDescent="0.25">
      <c r="A6" s="87" t="s">
        <v>18</v>
      </c>
      <c r="B6" s="87" t="s">
        <v>19</v>
      </c>
      <c r="C6" s="87" t="s">
        <v>20</v>
      </c>
      <c r="D6" s="87" t="s">
        <v>21</v>
      </c>
      <c r="E6" s="88" t="s">
        <v>22</v>
      </c>
      <c r="F6" s="87" t="s">
        <v>24</v>
      </c>
      <c r="G6" s="89" t="s">
        <v>23</v>
      </c>
      <c r="H6" s="87" t="s">
        <v>25</v>
      </c>
      <c r="I6" s="87" t="s">
        <v>26</v>
      </c>
      <c r="J6" s="87" t="s">
        <v>27</v>
      </c>
      <c r="K6" s="87" t="s">
        <v>15</v>
      </c>
      <c r="L6" s="87" t="s">
        <v>71</v>
      </c>
      <c r="M6" s="53" t="s">
        <v>11</v>
      </c>
    </row>
    <row r="7" spans="1:13" s="27" customFormat="1" x14ac:dyDescent="0.25">
      <c r="A7" s="140" t="s">
        <v>78</v>
      </c>
      <c r="B7" s="141"/>
      <c r="C7" s="141"/>
      <c r="D7" s="141"/>
      <c r="E7" s="141"/>
      <c r="F7" s="141"/>
      <c r="G7" s="141"/>
      <c r="H7" s="141"/>
      <c r="I7" s="141"/>
      <c r="J7" s="141"/>
      <c r="K7" s="141"/>
      <c r="L7" s="141"/>
      <c r="M7" s="141"/>
    </row>
    <row r="8" spans="1:13" s="27" customFormat="1" x14ac:dyDescent="0.25">
      <c r="A8" s="96">
        <v>44182</v>
      </c>
      <c r="B8" s="96">
        <v>44196</v>
      </c>
      <c r="C8" s="90" t="s">
        <v>78</v>
      </c>
      <c r="D8" s="90" t="s">
        <v>102</v>
      </c>
      <c r="E8" s="90" t="s">
        <v>125</v>
      </c>
      <c r="F8" s="90">
        <v>1</v>
      </c>
      <c r="G8" s="97">
        <v>214.99</v>
      </c>
      <c r="H8" s="70">
        <v>599.99</v>
      </c>
      <c r="I8" s="70">
        <v>235</v>
      </c>
      <c r="J8" s="70">
        <v>150</v>
      </c>
      <c r="K8" s="95" t="s">
        <v>124</v>
      </c>
      <c r="L8" s="105" t="s">
        <v>43</v>
      </c>
      <c r="M8" s="86"/>
    </row>
    <row r="9" spans="1:13" s="114" customFormat="1" ht="30" x14ac:dyDescent="0.25">
      <c r="A9" s="109">
        <v>44182</v>
      </c>
      <c r="B9" s="109">
        <v>44196</v>
      </c>
      <c r="C9" s="110" t="s">
        <v>78</v>
      </c>
      <c r="D9" s="110" t="s">
        <v>102</v>
      </c>
      <c r="E9" s="110" t="s">
        <v>103</v>
      </c>
      <c r="F9" s="110">
        <v>2</v>
      </c>
      <c r="G9" s="111">
        <v>164.99</v>
      </c>
      <c r="H9" s="110">
        <v>499.99</v>
      </c>
      <c r="I9" s="110">
        <v>235</v>
      </c>
      <c r="J9" s="110">
        <v>100</v>
      </c>
      <c r="K9" s="112" t="s">
        <v>91</v>
      </c>
      <c r="L9" s="110" t="s">
        <v>43</v>
      </c>
      <c r="M9" s="113" t="s">
        <v>164</v>
      </c>
    </row>
    <row r="10" spans="1:13" s="120" customFormat="1" ht="60" x14ac:dyDescent="0.25">
      <c r="A10" s="115" t="s">
        <v>75</v>
      </c>
      <c r="B10" s="115" t="s">
        <v>75</v>
      </c>
      <c r="C10" s="116" t="s">
        <v>78</v>
      </c>
      <c r="D10" s="116" t="s">
        <v>105</v>
      </c>
      <c r="E10" s="117" t="s">
        <v>104</v>
      </c>
      <c r="F10" s="116">
        <v>3</v>
      </c>
      <c r="G10" s="118">
        <v>320</v>
      </c>
      <c r="H10" s="116" t="s">
        <v>75</v>
      </c>
      <c r="I10" s="116" t="s">
        <v>73</v>
      </c>
      <c r="J10" s="116" t="s">
        <v>120</v>
      </c>
      <c r="K10" s="116" t="s">
        <v>126</v>
      </c>
      <c r="L10" s="116" t="s">
        <v>43</v>
      </c>
      <c r="M10" s="119" t="s">
        <v>165</v>
      </c>
    </row>
    <row r="11" spans="1:13" s="27" customFormat="1" ht="14.45" customHeight="1" x14ac:dyDescent="0.25">
      <c r="A11" s="140" t="s">
        <v>79</v>
      </c>
      <c r="B11" s="141"/>
      <c r="C11" s="141"/>
      <c r="D11" s="141"/>
      <c r="E11" s="141"/>
      <c r="F11" s="141"/>
      <c r="G11" s="141"/>
      <c r="H11" s="141"/>
      <c r="I11" s="141"/>
      <c r="J11" s="141"/>
      <c r="K11" s="141"/>
      <c r="L11" s="141"/>
      <c r="M11" s="141"/>
    </row>
    <row r="12" spans="1:13" s="120" customFormat="1" ht="30" x14ac:dyDescent="0.25">
      <c r="A12" s="126">
        <v>1.1000000000000001</v>
      </c>
      <c r="B12" s="126">
        <v>0.38709677419354838</v>
      </c>
      <c r="C12" s="116" t="s">
        <v>12</v>
      </c>
      <c r="D12" s="116" t="s">
        <v>111</v>
      </c>
      <c r="E12" s="92" t="s">
        <v>176</v>
      </c>
      <c r="F12" s="116">
        <v>1</v>
      </c>
      <c r="G12" s="126">
        <v>149.99</v>
      </c>
      <c r="H12" s="126">
        <v>649.99</v>
      </c>
      <c r="I12" s="126">
        <v>500</v>
      </c>
      <c r="J12" s="126" t="s">
        <v>75</v>
      </c>
      <c r="K12" s="127" t="s">
        <v>90</v>
      </c>
      <c r="L12" s="128" t="s">
        <v>43</v>
      </c>
      <c r="M12" s="119"/>
    </row>
    <row r="13" spans="1:13" s="27" customFormat="1" x14ac:dyDescent="0.25">
      <c r="A13" s="69">
        <v>44179</v>
      </c>
      <c r="B13" s="69">
        <v>43861</v>
      </c>
      <c r="C13" s="70" t="s">
        <v>12</v>
      </c>
      <c r="D13" s="70" t="s">
        <v>113</v>
      </c>
      <c r="E13" s="54" t="s">
        <v>114</v>
      </c>
      <c r="F13" s="70">
        <v>2</v>
      </c>
      <c r="G13" s="98">
        <v>49.99</v>
      </c>
      <c r="H13" s="70" t="s">
        <v>75</v>
      </c>
      <c r="I13" s="70" t="s">
        <v>75</v>
      </c>
      <c r="J13" s="70" t="s">
        <v>75</v>
      </c>
      <c r="K13" s="70" t="s">
        <v>127</v>
      </c>
      <c r="L13" s="70" t="s">
        <v>43</v>
      </c>
      <c r="M13" s="71"/>
    </row>
    <row r="14" spans="1:13" s="27" customFormat="1" x14ac:dyDescent="0.25">
      <c r="A14" s="140" t="s">
        <v>80</v>
      </c>
      <c r="B14" s="141"/>
      <c r="C14" s="141"/>
      <c r="D14" s="141"/>
      <c r="E14" s="141"/>
      <c r="F14" s="141"/>
      <c r="G14" s="141"/>
      <c r="H14" s="141"/>
      <c r="I14" s="141"/>
      <c r="J14" s="141"/>
      <c r="K14" s="141"/>
      <c r="L14" s="141"/>
      <c r="M14" s="141"/>
    </row>
    <row r="15" spans="1:13" s="27" customFormat="1" x14ac:dyDescent="0.25">
      <c r="A15" s="69">
        <v>44179</v>
      </c>
      <c r="B15" s="69">
        <v>44196</v>
      </c>
      <c r="C15" s="70" t="s">
        <v>106</v>
      </c>
      <c r="D15" s="70" t="s">
        <v>107</v>
      </c>
      <c r="E15" s="90" t="s">
        <v>109</v>
      </c>
      <c r="F15" s="70">
        <v>1</v>
      </c>
      <c r="G15" s="99">
        <f>169.99-30-20</f>
        <v>119.99000000000001</v>
      </c>
      <c r="H15" s="70">
        <v>169.99</v>
      </c>
      <c r="I15" s="70">
        <v>20</v>
      </c>
      <c r="J15" s="70">
        <v>30</v>
      </c>
      <c r="K15" s="70" t="s">
        <v>128</v>
      </c>
      <c r="L15" s="70" t="s">
        <v>43</v>
      </c>
      <c r="M15" s="71" t="s">
        <v>133</v>
      </c>
    </row>
    <row r="16" spans="1:13" s="27" customFormat="1" x14ac:dyDescent="0.25">
      <c r="A16" s="69">
        <v>44179</v>
      </c>
      <c r="B16" s="69">
        <v>44196</v>
      </c>
      <c r="C16" s="70" t="s">
        <v>106</v>
      </c>
      <c r="D16" s="70" t="s">
        <v>108</v>
      </c>
      <c r="E16" s="90" t="s">
        <v>110</v>
      </c>
      <c r="F16" s="70">
        <v>2</v>
      </c>
      <c r="G16" s="99">
        <f>399.99-200-60</f>
        <v>139.99</v>
      </c>
      <c r="H16" s="70"/>
      <c r="I16" s="70" t="s">
        <v>43</v>
      </c>
      <c r="J16" s="70">
        <v>60</v>
      </c>
      <c r="K16" s="70" t="s">
        <v>132</v>
      </c>
      <c r="L16" s="70" t="s">
        <v>43</v>
      </c>
      <c r="M16" s="71" t="s">
        <v>133</v>
      </c>
    </row>
    <row r="17" spans="1:13" s="27" customFormat="1" hidden="1" x14ac:dyDescent="0.25">
      <c r="A17" s="69"/>
      <c r="B17" s="69"/>
      <c r="C17" s="70"/>
      <c r="D17" s="70"/>
      <c r="E17" s="12"/>
      <c r="F17" s="70"/>
      <c r="G17" s="81"/>
      <c r="H17" s="81"/>
      <c r="I17" s="70"/>
      <c r="J17" s="70"/>
      <c r="K17" s="70"/>
      <c r="L17" s="70"/>
      <c r="M17" s="71"/>
    </row>
    <row r="18" spans="1:13" s="27" customFormat="1" hidden="1" x14ac:dyDescent="0.25">
      <c r="A18" s="69"/>
      <c r="B18" s="69"/>
      <c r="C18" s="70"/>
      <c r="D18" s="70"/>
      <c r="E18" s="12"/>
      <c r="F18" s="70"/>
      <c r="G18" s="81"/>
      <c r="H18" s="70"/>
      <c r="I18" s="70"/>
      <c r="J18" s="70"/>
      <c r="K18" s="70"/>
      <c r="L18" s="70"/>
      <c r="M18" s="71"/>
    </row>
    <row r="19" spans="1:13" s="27" customFormat="1" x14ac:dyDescent="0.25">
      <c r="A19" s="140" t="s">
        <v>81</v>
      </c>
      <c r="B19" s="141"/>
      <c r="C19" s="141"/>
      <c r="D19" s="141"/>
      <c r="E19" s="141"/>
      <c r="F19" s="141"/>
      <c r="G19" s="141"/>
      <c r="H19" s="141"/>
      <c r="I19" s="141"/>
      <c r="J19" s="141"/>
      <c r="K19" s="141"/>
      <c r="L19" s="141"/>
      <c r="M19" s="141"/>
    </row>
    <row r="20" spans="1:13" s="27" customFormat="1" ht="30" x14ac:dyDescent="0.25">
      <c r="A20" s="69" t="s">
        <v>75</v>
      </c>
      <c r="B20" s="69" t="s">
        <v>75</v>
      </c>
      <c r="C20" s="70" t="s">
        <v>72</v>
      </c>
      <c r="D20" s="56" t="s">
        <v>98</v>
      </c>
      <c r="E20" s="55" t="s">
        <v>100</v>
      </c>
      <c r="F20" s="70">
        <v>1</v>
      </c>
      <c r="G20" s="100">
        <v>499.99</v>
      </c>
      <c r="H20" s="70">
        <v>499.99</v>
      </c>
      <c r="I20" s="70" t="s">
        <v>66</v>
      </c>
      <c r="J20" s="70" t="s">
        <v>66</v>
      </c>
      <c r="K20" s="56" t="s">
        <v>118</v>
      </c>
      <c r="L20" s="70" t="s">
        <v>43</v>
      </c>
      <c r="M20" s="55" t="s">
        <v>43</v>
      </c>
    </row>
    <row r="21" spans="1:13" s="27" customFormat="1" ht="30" x14ac:dyDescent="0.25">
      <c r="A21" s="69" t="s">
        <v>75</v>
      </c>
      <c r="B21" s="69" t="s">
        <v>75</v>
      </c>
      <c r="C21" s="72" t="s">
        <v>72</v>
      </c>
      <c r="D21" s="56" t="s">
        <v>99</v>
      </c>
      <c r="E21" s="57" t="s">
        <v>101</v>
      </c>
      <c r="F21" s="70">
        <v>2</v>
      </c>
      <c r="G21" s="100">
        <v>499.99</v>
      </c>
      <c r="H21" s="70">
        <v>499.99</v>
      </c>
      <c r="I21" s="70" t="s">
        <v>66</v>
      </c>
      <c r="J21" s="70" t="s">
        <v>66</v>
      </c>
      <c r="K21" s="56" t="s">
        <v>119</v>
      </c>
      <c r="L21" s="70" t="s">
        <v>43</v>
      </c>
      <c r="M21" s="55" t="s">
        <v>43</v>
      </c>
    </row>
    <row r="22" spans="1:13" s="27" customFormat="1" x14ac:dyDescent="0.25">
      <c r="A22" s="140" t="s">
        <v>82</v>
      </c>
      <c r="B22" s="141"/>
      <c r="C22" s="141"/>
      <c r="D22" s="141"/>
      <c r="E22" s="141"/>
      <c r="F22" s="141"/>
      <c r="G22" s="141"/>
      <c r="H22" s="141"/>
      <c r="I22" s="141"/>
      <c r="J22" s="141"/>
      <c r="K22" s="141"/>
      <c r="L22" s="141"/>
      <c r="M22" s="141"/>
    </row>
    <row r="23" spans="1:13" s="27" customFormat="1" ht="60" x14ac:dyDescent="0.25">
      <c r="A23" s="101">
        <v>44172</v>
      </c>
      <c r="B23" s="101">
        <v>43836</v>
      </c>
      <c r="C23" s="56" t="s">
        <v>1</v>
      </c>
      <c r="D23" s="102" t="s">
        <v>115</v>
      </c>
      <c r="E23" s="93" t="s">
        <v>116</v>
      </c>
      <c r="F23" s="70">
        <v>1</v>
      </c>
      <c r="G23" s="81">
        <v>349</v>
      </c>
      <c r="H23" s="70" t="s">
        <v>75</v>
      </c>
      <c r="I23" s="70" t="s">
        <v>75</v>
      </c>
      <c r="J23" s="70">
        <v>50</v>
      </c>
      <c r="K23" s="103" t="s">
        <v>117</v>
      </c>
      <c r="L23" s="70" t="s">
        <v>43</v>
      </c>
      <c r="M23" s="104" t="s">
        <v>43</v>
      </c>
    </row>
    <row r="24" spans="1:13" s="27" customFormat="1" x14ac:dyDescent="0.25">
      <c r="A24" s="69"/>
      <c r="B24" s="69"/>
      <c r="C24" s="70"/>
      <c r="D24" s="70"/>
      <c r="E24" s="12"/>
      <c r="F24" s="70"/>
      <c r="G24" s="81"/>
      <c r="H24" s="70"/>
      <c r="I24" s="70"/>
      <c r="J24" s="70"/>
      <c r="K24" s="70"/>
      <c r="L24" s="70"/>
      <c r="M24" s="71"/>
    </row>
    <row r="25" spans="1:13" s="27" customFormat="1" x14ac:dyDescent="0.25">
      <c r="A25" s="69"/>
      <c r="B25" s="69"/>
      <c r="C25" s="70"/>
      <c r="D25" s="70"/>
      <c r="E25" s="12"/>
      <c r="F25" s="70"/>
      <c r="G25" s="81"/>
      <c r="H25" s="70"/>
      <c r="I25" s="70"/>
      <c r="J25" s="70"/>
      <c r="K25" s="70"/>
      <c r="L25" s="70"/>
      <c r="M25" s="71"/>
    </row>
    <row r="26" spans="1:13" s="27" customFormat="1" x14ac:dyDescent="0.25">
      <c r="A26" s="69"/>
      <c r="B26" s="69"/>
      <c r="C26" s="70"/>
      <c r="D26" s="70"/>
      <c r="E26" s="12"/>
      <c r="F26" s="70"/>
      <c r="G26" s="81"/>
      <c r="H26" s="70"/>
      <c r="I26" s="70"/>
      <c r="J26" s="70"/>
      <c r="K26" s="70"/>
      <c r="L26" s="70"/>
      <c r="M26" s="71"/>
    </row>
    <row r="27" spans="1:13" s="27" customFormat="1" x14ac:dyDescent="0.25">
      <c r="A27" s="44"/>
      <c r="B27" s="44"/>
      <c r="C27" s="40"/>
      <c r="D27" s="40"/>
      <c r="E27" s="45"/>
      <c r="F27" s="40"/>
      <c r="G27" s="82"/>
      <c r="H27" s="40"/>
      <c r="I27" s="40"/>
      <c r="J27" s="40"/>
      <c r="K27" s="40"/>
      <c r="L27" s="40"/>
      <c r="M27" s="63"/>
    </row>
    <row r="28" spans="1:13" s="27" customFormat="1" x14ac:dyDescent="0.25">
      <c r="A28" s="44"/>
      <c r="B28" s="44"/>
      <c r="C28" s="40"/>
      <c r="D28" s="40"/>
      <c r="E28" s="45"/>
      <c r="F28" s="40"/>
      <c r="G28" s="82"/>
      <c r="H28" s="40"/>
      <c r="I28" s="40"/>
      <c r="J28" s="40"/>
      <c r="K28" s="40"/>
      <c r="L28" s="40"/>
      <c r="M28" s="63"/>
    </row>
    <row r="29" spans="1:13" s="27" customFormat="1" x14ac:dyDescent="0.25">
      <c r="A29" s="44"/>
      <c r="B29" s="44"/>
      <c r="C29" s="40"/>
      <c r="D29" s="40"/>
      <c r="E29" s="45"/>
      <c r="F29" s="40"/>
      <c r="G29" s="82"/>
      <c r="H29" s="40"/>
      <c r="I29" s="40"/>
      <c r="J29" s="40"/>
      <c r="K29" s="40"/>
      <c r="L29" s="40"/>
      <c r="M29" s="63"/>
    </row>
    <row r="30" spans="1:13" s="27" customFormat="1" x14ac:dyDescent="0.25">
      <c r="A30" s="64"/>
      <c r="B30" s="64"/>
      <c r="C30" s="40"/>
      <c r="D30" s="40"/>
      <c r="E30" s="63"/>
      <c r="F30" s="40"/>
      <c r="G30" s="82"/>
      <c r="H30" s="40"/>
      <c r="I30" s="40"/>
      <c r="J30" s="40"/>
      <c r="K30" s="40"/>
      <c r="L30" s="40"/>
      <c r="M30" s="63"/>
    </row>
    <row r="31" spans="1:13" s="27" customFormat="1" x14ac:dyDescent="0.25">
      <c r="A31" s="64"/>
      <c r="B31" s="64"/>
      <c r="C31" s="40"/>
      <c r="D31" s="40"/>
      <c r="E31" s="63"/>
      <c r="F31" s="40"/>
      <c r="G31" s="82"/>
      <c r="H31" s="40"/>
      <c r="I31" s="40"/>
      <c r="J31" s="40"/>
      <c r="K31" s="40"/>
      <c r="L31" s="40"/>
      <c r="M31" s="63"/>
    </row>
    <row r="32" spans="1:13" s="27" customFormat="1" x14ac:dyDescent="0.25">
      <c r="A32" s="39"/>
      <c r="B32" s="39"/>
      <c r="C32" s="40"/>
      <c r="D32" s="40"/>
      <c r="E32" s="41"/>
      <c r="F32" s="40"/>
      <c r="G32" s="82"/>
      <c r="H32" s="40"/>
      <c r="I32" s="40"/>
      <c r="J32" s="40"/>
      <c r="K32" s="40"/>
      <c r="L32" s="40"/>
      <c r="M32" s="63"/>
    </row>
    <row r="33" spans="1:13" s="27" customFormat="1" x14ac:dyDescent="0.25">
      <c r="A33" s="39"/>
      <c r="B33" s="39"/>
      <c r="C33" s="40"/>
      <c r="D33" s="40"/>
      <c r="E33" s="41"/>
      <c r="F33" s="40"/>
      <c r="G33" s="82"/>
      <c r="H33" s="40"/>
      <c r="I33" s="40"/>
      <c r="J33" s="40"/>
      <c r="K33" s="40"/>
      <c r="L33" s="40"/>
      <c r="M33" s="63"/>
    </row>
    <row r="34" spans="1:13" s="27" customFormat="1" x14ac:dyDescent="0.25">
      <c r="A34" s="39"/>
      <c r="B34" s="39"/>
      <c r="C34" s="40"/>
      <c r="D34" s="40"/>
      <c r="E34" s="41"/>
      <c r="F34" s="40"/>
      <c r="G34" s="82"/>
      <c r="H34" s="40"/>
      <c r="I34" s="40"/>
      <c r="J34" s="40"/>
      <c r="K34" s="40"/>
      <c r="L34" s="40"/>
      <c r="M34" s="63"/>
    </row>
    <row r="35" spans="1:13" s="27" customFormat="1" x14ac:dyDescent="0.25">
      <c r="A35" s="39"/>
      <c r="B35" s="39"/>
      <c r="C35" s="40"/>
      <c r="D35" s="40"/>
      <c r="E35" s="41"/>
      <c r="F35" s="40"/>
      <c r="G35" s="82"/>
      <c r="H35" s="40"/>
      <c r="I35" s="40"/>
      <c r="J35" s="40"/>
      <c r="K35" s="40"/>
      <c r="L35" s="40"/>
      <c r="M35" s="63"/>
    </row>
    <row r="36" spans="1:13" s="27" customFormat="1" x14ac:dyDescent="0.25">
      <c r="A36" s="39"/>
      <c r="B36" s="39"/>
      <c r="C36" s="40"/>
      <c r="D36" s="40"/>
      <c r="E36" s="41"/>
      <c r="F36" s="40"/>
      <c r="G36" s="82"/>
      <c r="H36" s="40"/>
      <c r="I36" s="40"/>
      <c r="J36" s="40"/>
      <c r="K36" s="40"/>
      <c r="L36" s="40"/>
      <c r="M36" s="63"/>
    </row>
    <row r="37" spans="1:13" s="27" customFormat="1" x14ac:dyDescent="0.25">
      <c r="A37" s="39"/>
      <c r="B37" s="39"/>
      <c r="C37" s="40"/>
      <c r="D37" s="40"/>
      <c r="E37" s="41"/>
      <c r="F37" s="40"/>
      <c r="G37" s="82"/>
      <c r="H37" s="40"/>
      <c r="I37" s="40"/>
      <c r="J37" s="40"/>
      <c r="K37" s="40"/>
      <c r="L37" s="40"/>
      <c r="M37" s="63"/>
    </row>
    <row r="38" spans="1:13" s="27" customFormat="1" x14ac:dyDescent="0.25">
      <c r="A38" s="64"/>
      <c r="B38" s="64"/>
      <c r="C38" s="46"/>
      <c r="D38" s="46"/>
      <c r="E38" s="46"/>
      <c r="F38" s="40"/>
      <c r="G38" s="82"/>
      <c r="H38" s="40"/>
      <c r="I38" s="40"/>
      <c r="J38" s="40"/>
      <c r="K38" s="40"/>
      <c r="L38" s="40"/>
      <c r="M38" s="63"/>
    </row>
    <row r="39" spans="1:13" s="27" customFormat="1" x14ac:dyDescent="0.25">
      <c r="A39" s="64"/>
      <c r="B39" s="64"/>
      <c r="C39" s="46"/>
      <c r="D39" s="46"/>
      <c r="E39" s="46"/>
      <c r="F39" s="40"/>
      <c r="G39" s="82"/>
      <c r="H39" s="40"/>
      <c r="I39" s="40"/>
      <c r="J39" s="40"/>
      <c r="K39" s="40"/>
      <c r="L39" s="40"/>
      <c r="M39" s="63"/>
    </row>
    <row r="40" spans="1:13" s="27" customFormat="1" x14ac:dyDescent="0.25">
      <c r="A40" s="39"/>
      <c r="B40" s="39"/>
      <c r="C40" s="40"/>
      <c r="D40" s="40"/>
      <c r="E40" s="41"/>
      <c r="F40" s="40"/>
      <c r="G40" s="82"/>
      <c r="H40" s="40"/>
      <c r="I40" s="40"/>
      <c r="J40" s="40"/>
      <c r="K40" s="40"/>
      <c r="L40" s="40"/>
      <c r="M40" s="63"/>
    </row>
    <row r="41" spans="1:13" s="27" customFormat="1" x14ac:dyDescent="0.25">
      <c r="A41" s="39"/>
      <c r="B41" s="39"/>
      <c r="C41" s="40"/>
      <c r="D41" s="40"/>
      <c r="E41" s="41"/>
      <c r="F41" s="40"/>
      <c r="G41" s="83"/>
      <c r="H41" s="40"/>
      <c r="I41" s="40"/>
      <c r="J41" s="40"/>
      <c r="K41" s="40"/>
      <c r="L41" s="40"/>
      <c r="M41" s="63"/>
    </row>
    <row r="42" spans="1:13" s="27" customFormat="1" x14ac:dyDescent="0.25">
      <c r="A42" s="39"/>
      <c r="B42" s="39"/>
      <c r="C42" s="40"/>
      <c r="D42" s="40"/>
      <c r="E42" s="42"/>
      <c r="F42" s="40"/>
      <c r="G42" s="82"/>
      <c r="H42" s="40"/>
      <c r="I42" s="40"/>
      <c r="J42" s="40"/>
      <c r="K42" s="40"/>
      <c r="L42" s="40"/>
      <c r="M42" s="63"/>
    </row>
    <row r="43" spans="1:13" s="27" customFormat="1" x14ac:dyDescent="0.25">
      <c r="A43" s="39"/>
      <c r="B43" s="39"/>
      <c r="C43" s="40"/>
      <c r="D43" s="40"/>
      <c r="E43" s="41"/>
      <c r="F43" s="40"/>
      <c r="G43" s="82"/>
      <c r="H43" s="40"/>
      <c r="I43" s="40"/>
      <c r="J43" s="40"/>
      <c r="K43" s="40"/>
      <c r="L43" s="40"/>
      <c r="M43" s="63"/>
    </row>
    <row r="44" spans="1:13" s="27" customFormat="1" x14ac:dyDescent="0.25">
      <c r="A44" s="39"/>
      <c r="B44" s="39"/>
      <c r="C44" s="40"/>
      <c r="D44" s="40"/>
      <c r="E44" s="41"/>
      <c r="F44" s="40"/>
      <c r="G44" s="82"/>
      <c r="H44" s="40"/>
      <c r="I44" s="40"/>
      <c r="J44" s="40"/>
      <c r="K44" s="40"/>
      <c r="L44" s="40"/>
      <c r="M44" s="63"/>
    </row>
    <row r="45" spans="1:13" s="27" customFormat="1" x14ac:dyDescent="0.25">
      <c r="A45" s="39"/>
      <c r="B45" s="39"/>
      <c r="C45" s="40"/>
      <c r="D45" s="40"/>
      <c r="E45" s="42"/>
      <c r="F45" s="40"/>
      <c r="G45" s="82"/>
      <c r="H45" s="40"/>
      <c r="I45" s="40"/>
      <c r="J45" s="40"/>
      <c r="K45" s="40"/>
      <c r="L45" s="40"/>
      <c r="M45" s="63"/>
    </row>
    <row r="46" spans="1:13" s="27" customFormat="1" x14ac:dyDescent="0.25">
      <c r="A46" s="43"/>
      <c r="B46" s="43"/>
      <c r="C46" s="40"/>
      <c r="D46" s="40"/>
      <c r="E46" s="41"/>
      <c r="F46" s="40"/>
      <c r="G46" s="82"/>
      <c r="H46" s="40"/>
      <c r="I46" s="40"/>
      <c r="J46" s="40"/>
      <c r="K46" s="40"/>
      <c r="L46" s="40"/>
      <c r="M46" s="63"/>
    </row>
    <row r="47" spans="1:13" s="27" customFormat="1" x14ac:dyDescent="0.25">
      <c r="A47" s="43"/>
      <c r="B47" s="43"/>
      <c r="C47" s="40"/>
      <c r="D47" s="40"/>
      <c r="E47" s="41"/>
      <c r="F47" s="40"/>
      <c r="G47" s="82"/>
      <c r="H47" s="40"/>
      <c r="I47" s="40"/>
      <c r="J47" s="40"/>
      <c r="K47" s="40"/>
      <c r="L47" s="40"/>
      <c r="M47" s="63"/>
    </row>
    <row r="48" spans="1:13" s="27" customFormat="1" x14ac:dyDescent="0.25">
      <c r="A48" s="43"/>
      <c r="B48" s="43"/>
      <c r="C48" s="40"/>
      <c r="D48" s="40"/>
      <c r="E48" s="41"/>
      <c r="F48" s="40"/>
      <c r="G48" s="82"/>
      <c r="H48" s="40"/>
      <c r="I48" s="40"/>
      <c r="J48" s="40"/>
      <c r="K48" s="40"/>
      <c r="L48" s="40"/>
      <c r="M48" s="63"/>
    </row>
    <row r="49" spans="1:13" s="27" customFormat="1" x14ac:dyDescent="0.25">
      <c r="A49" s="43"/>
      <c r="B49" s="43"/>
      <c r="C49" s="40"/>
      <c r="D49" s="40"/>
      <c r="E49" s="41"/>
      <c r="F49" s="40"/>
      <c r="G49" s="82"/>
      <c r="H49" s="40"/>
      <c r="I49" s="40"/>
      <c r="J49" s="40"/>
      <c r="K49" s="40"/>
      <c r="L49" s="40"/>
      <c r="M49" s="63"/>
    </row>
    <row r="50" spans="1:13" s="27" customFormat="1" x14ac:dyDescent="0.25">
      <c r="A50" s="65"/>
      <c r="B50" s="39"/>
      <c r="C50" s="40"/>
      <c r="D50" s="66"/>
      <c r="E50" s="41"/>
      <c r="F50" s="40"/>
      <c r="G50" s="84"/>
      <c r="H50" s="76"/>
      <c r="I50" s="76"/>
      <c r="J50" s="77"/>
      <c r="K50" s="78"/>
      <c r="L50" s="40"/>
      <c r="M50" s="63"/>
    </row>
    <row r="51" spans="1:13" s="27" customFormat="1" x14ac:dyDescent="0.25">
      <c r="A51" s="65"/>
      <c r="B51" s="43"/>
      <c r="C51" s="40"/>
      <c r="D51" s="40"/>
      <c r="E51" s="41"/>
      <c r="F51" s="40"/>
      <c r="G51" s="84"/>
      <c r="H51" s="76"/>
      <c r="I51" s="76"/>
      <c r="J51" s="77"/>
      <c r="K51" s="78"/>
      <c r="L51" s="40"/>
      <c r="M51" s="63"/>
    </row>
    <row r="52" spans="1:13" s="27" customFormat="1" x14ac:dyDescent="0.25">
      <c r="A52" s="43"/>
      <c r="B52" s="43"/>
      <c r="C52" s="40"/>
      <c r="D52" s="40"/>
      <c r="E52" s="41"/>
      <c r="F52" s="40"/>
      <c r="G52" s="84"/>
      <c r="H52" s="76"/>
      <c r="I52" s="76"/>
      <c r="J52" s="77"/>
      <c r="K52" s="78"/>
      <c r="L52" s="40"/>
      <c r="M52" s="63"/>
    </row>
    <row r="53" spans="1:13" s="27" customFormat="1" x14ac:dyDescent="0.25">
      <c r="A53" s="43"/>
      <c r="B53" s="43"/>
      <c r="C53" s="40"/>
      <c r="D53" s="40"/>
      <c r="E53" s="41"/>
      <c r="F53" s="40"/>
      <c r="G53" s="84"/>
      <c r="H53" s="76"/>
      <c r="I53" s="76"/>
      <c r="J53" s="77"/>
      <c r="K53" s="78"/>
      <c r="L53" s="40"/>
      <c r="M53" s="63"/>
    </row>
    <row r="54" spans="1:13" s="27" customFormat="1" x14ac:dyDescent="0.25">
      <c r="A54" s="43"/>
      <c r="B54" s="43"/>
      <c r="C54" s="40"/>
      <c r="D54" s="40"/>
      <c r="E54" s="41"/>
      <c r="F54" s="40"/>
      <c r="G54" s="84"/>
      <c r="H54" s="76"/>
      <c r="I54" s="76"/>
      <c r="J54" s="77"/>
      <c r="K54" s="78"/>
      <c r="L54" s="40"/>
      <c r="M54" s="63"/>
    </row>
    <row r="55" spans="1:13" s="27" customFormat="1" x14ac:dyDescent="0.25">
      <c r="A55" s="43"/>
      <c r="B55" s="43"/>
      <c r="C55" s="40"/>
      <c r="D55" s="40"/>
      <c r="E55" s="41"/>
      <c r="F55" s="40"/>
      <c r="G55" s="84"/>
      <c r="H55" s="76"/>
      <c r="I55" s="76"/>
      <c r="J55" s="77"/>
      <c r="K55" s="78"/>
      <c r="L55" s="40"/>
      <c r="M55" s="63"/>
    </row>
    <row r="56" spans="1:13" s="27" customFormat="1" x14ac:dyDescent="0.25">
      <c r="A56" s="43"/>
      <c r="B56" s="43"/>
      <c r="C56" s="40"/>
      <c r="D56" s="40"/>
      <c r="E56" s="41"/>
      <c r="F56" s="40"/>
      <c r="G56" s="84"/>
      <c r="H56" s="76"/>
      <c r="I56" s="76"/>
      <c r="J56" s="77"/>
      <c r="K56" s="78"/>
      <c r="L56" s="40"/>
      <c r="M56" s="63"/>
    </row>
    <row r="57" spans="1:13" s="27" customFormat="1" x14ac:dyDescent="0.25">
      <c r="A57" s="43"/>
      <c r="B57" s="43"/>
      <c r="C57" s="40"/>
      <c r="D57" s="40"/>
      <c r="E57" s="41"/>
      <c r="F57" s="40"/>
      <c r="G57" s="84"/>
      <c r="H57" s="76"/>
      <c r="I57" s="76"/>
      <c r="J57" s="77"/>
      <c r="K57" s="78"/>
      <c r="L57" s="40"/>
      <c r="M57" s="63"/>
    </row>
    <row r="58" spans="1:13" s="27" customFormat="1" x14ac:dyDescent="0.25">
      <c r="A58" s="44"/>
      <c r="B58" s="44"/>
      <c r="C58" s="40"/>
      <c r="D58" s="40"/>
      <c r="E58" s="45"/>
      <c r="F58" s="40"/>
      <c r="G58" s="84"/>
      <c r="H58" s="75"/>
      <c r="I58" s="75"/>
      <c r="J58" s="77"/>
      <c r="K58" s="78"/>
      <c r="L58" s="40"/>
      <c r="M58" s="63"/>
    </row>
    <row r="59" spans="1:13" s="27" customFormat="1" x14ac:dyDescent="0.25">
      <c r="A59" s="44"/>
      <c r="B59" s="44"/>
      <c r="C59" s="40"/>
      <c r="D59" s="46"/>
      <c r="E59" s="45"/>
      <c r="F59" s="40"/>
      <c r="G59" s="84"/>
      <c r="H59" s="75"/>
      <c r="I59" s="75"/>
      <c r="J59" s="77"/>
      <c r="K59" s="78"/>
      <c r="L59" s="40"/>
      <c r="M59" s="63"/>
    </row>
    <row r="60" spans="1:13" s="27" customFormat="1" x14ac:dyDescent="0.25">
      <c r="A60" s="44"/>
      <c r="B60" s="44"/>
      <c r="C60" s="40"/>
      <c r="D60" s="40"/>
      <c r="E60" s="45"/>
      <c r="F60" s="40"/>
      <c r="G60" s="84"/>
      <c r="H60" s="75"/>
      <c r="I60" s="75"/>
      <c r="J60" s="77"/>
      <c r="K60" s="78"/>
      <c r="L60" s="40"/>
      <c r="M60" s="63"/>
    </row>
    <row r="61" spans="1:13" s="27" customFormat="1" x14ac:dyDescent="0.25">
      <c r="A61" s="44"/>
      <c r="B61" s="44"/>
      <c r="C61" s="40"/>
      <c r="D61" s="40"/>
      <c r="E61" s="45"/>
      <c r="F61" s="40"/>
      <c r="G61" s="84"/>
      <c r="H61" s="75"/>
      <c r="I61" s="75"/>
      <c r="J61" s="77"/>
      <c r="K61" s="78"/>
      <c r="L61" s="40"/>
      <c r="M61" s="63"/>
    </row>
    <row r="62" spans="1:13" s="27" customFormat="1" x14ac:dyDescent="0.25">
      <c r="A62" s="44"/>
      <c r="B62" s="44"/>
      <c r="C62" s="40"/>
      <c r="D62" s="40"/>
      <c r="E62" s="45"/>
      <c r="F62" s="40"/>
      <c r="G62" s="84"/>
      <c r="H62" s="75"/>
      <c r="I62" s="75"/>
      <c r="J62" s="77"/>
      <c r="K62" s="78"/>
      <c r="L62" s="40"/>
      <c r="M62" s="63"/>
    </row>
    <row r="63" spans="1:13" s="27" customFormat="1" x14ac:dyDescent="0.25">
      <c r="A63" s="44"/>
      <c r="B63" s="44"/>
      <c r="C63" s="40"/>
      <c r="D63" s="40"/>
      <c r="E63" s="45"/>
      <c r="F63" s="40"/>
      <c r="G63" s="84"/>
      <c r="H63" s="75"/>
      <c r="I63" s="75"/>
      <c r="J63" s="77"/>
      <c r="K63" s="78"/>
      <c r="L63" s="40"/>
      <c r="M63" s="63"/>
    </row>
    <row r="64" spans="1:13" s="27" customFormat="1" x14ac:dyDescent="0.25">
      <c r="A64" s="44"/>
      <c r="B64" s="44"/>
      <c r="C64" s="40"/>
      <c r="D64" s="40"/>
      <c r="E64" s="45"/>
      <c r="F64" s="40"/>
      <c r="G64" s="84"/>
      <c r="H64" s="75"/>
      <c r="I64" s="75"/>
      <c r="J64" s="77"/>
      <c r="K64" s="78"/>
      <c r="L64" s="40"/>
      <c r="M64" s="63"/>
    </row>
    <row r="65" spans="1:13" s="27" customFormat="1" x14ac:dyDescent="0.25">
      <c r="A65" s="44"/>
      <c r="B65" s="44"/>
      <c r="C65" s="40"/>
      <c r="D65" s="40"/>
      <c r="E65" s="45"/>
      <c r="F65" s="40"/>
      <c r="G65" s="84"/>
      <c r="H65" s="75"/>
      <c r="I65" s="75"/>
      <c r="J65" s="77"/>
      <c r="K65" s="78"/>
      <c r="L65" s="40"/>
      <c r="M65" s="63"/>
    </row>
    <row r="66" spans="1:13" s="27" customFormat="1" x14ac:dyDescent="0.25">
      <c r="A66" s="44"/>
      <c r="B66" s="44"/>
      <c r="C66" s="40"/>
      <c r="D66" s="40"/>
      <c r="E66" s="45"/>
      <c r="F66" s="40"/>
      <c r="G66" s="84"/>
      <c r="H66" s="75"/>
      <c r="I66" s="75"/>
      <c r="J66" s="77"/>
      <c r="K66" s="78"/>
      <c r="L66" s="40"/>
      <c r="M66" s="63"/>
    </row>
    <row r="67" spans="1:13" s="27" customFormat="1" x14ac:dyDescent="0.25">
      <c r="A67" s="44"/>
      <c r="B67" s="44"/>
      <c r="C67" s="40"/>
      <c r="D67" s="40"/>
      <c r="E67" s="45"/>
      <c r="F67" s="40"/>
      <c r="G67" s="84"/>
      <c r="H67" s="75"/>
      <c r="I67" s="75"/>
      <c r="J67" s="77"/>
      <c r="K67" s="78"/>
      <c r="L67" s="40"/>
      <c r="M67" s="63"/>
    </row>
    <row r="68" spans="1:13" s="37" customFormat="1" x14ac:dyDescent="0.25">
      <c r="E68" s="5"/>
      <c r="F68" s="38"/>
      <c r="G68" s="85"/>
      <c r="H68" s="52"/>
      <c r="I68" s="38"/>
      <c r="J68" s="38"/>
      <c r="K68" s="38"/>
      <c r="L68" s="38"/>
      <c r="M68" s="5"/>
    </row>
    <row r="69" spans="1:13" s="37" customFormat="1" x14ac:dyDescent="0.25">
      <c r="E69" s="5"/>
      <c r="F69" s="38"/>
      <c r="G69" s="85"/>
      <c r="H69" s="52"/>
      <c r="I69" s="38"/>
      <c r="J69" s="38"/>
      <c r="K69" s="38"/>
      <c r="L69" s="38"/>
      <c r="M69" s="5"/>
    </row>
    <row r="70" spans="1:13" s="37" customFormat="1" x14ac:dyDescent="0.25">
      <c r="E70" s="5"/>
      <c r="F70" s="38"/>
      <c r="G70" s="85"/>
      <c r="H70" s="52"/>
      <c r="I70" s="38"/>
      <c r="J70" s="38"/>
      <c r="K70" s="38"/>
      <c r="L70" s="38"/>
      <c r="M70" s="5"/>
    </row>
    <row r="71" spans="1:13" s="37" customFormat="1" x14ac:dyDescent="0.25">
      <c r="E71" s="5"/>
      <c r="F71" s="38"/>
      <c r="G71" s="85"/>
      <c r="H71" s="52"/>
      <c r="I71" s="38"/>
      <c r="J71" s="38"/>
      <c r="K71" s="38"/>
      <c r="L71" s="38"/>
      <c r="M71" s="5"/>
    </row>
    <row r="72" spans="1:13" s="37" customFormat="1" x14ac:dyDescent="0.25">
      <c r="E72" s="5"/>
      <c r="F72" s="38"/>
      <c r="G72" s="85"/>
      <c r="H72" s="52"/>
      <c r="I72" s="38"/>
      <c r="J72" s="38"/>
      <c r="K72" s="38"/>
      <c r="L72" s="38"/>
      <c r="M72" s="5"/>
    </row>
    <row r="73" spans="1:13" s="37" customFormat="1" x14ac:dyDescent="0.25">
      <c r="E73" s="5"/>
      <c r="F73" s="38"/>
      <c r="G73" s="85"/>
      <c r="H73" s="52"/>
      <c r="I73" s="38"/>
      <c r="J73" s="38"/>
      <c r="K73" s="38"/>
      <c r="L73" s="38"/>
      <c r="M73" s="5"/>
    </row>
    <row r="74" spans="1:13" s="37" customFormat="1" x14ac:dyDescent="0.25">
      <c r="E74" s="5"/>
      <c r="F74" s="38"/>
      <c r="G74" s="85"/>
      <c r="H74" s="52"/>
      <c r="I74" s="38"/>
      <c r="J74" s="38"/>
      <c r="K74" s="38"/>
      <c r="L74" s="38"/>
      <c r="M74" s="5"/>
    </row>
    <row r="75" spans="1:13" s="37" customFormat="1" x14ac:dyDescent="0.25">
      <c r="E75" s="5"/>
      <c r="F75" s="38"/>
      <c r="G75" s="85"/>
      <c r="H75" s="52"/>
      <c r="I75" s="38"/>
      <c r="J75" s="38"/>
      <c r="K75" s="38"/>
      <c r="L75" s="38"/>
      <c r="M75" s="5"/>
    </row>
    <row r="76" spans="1:13" s="37" customFormat="1" x14ac:dyDescent="0.25">
      <c r="E76" s="5"/>
      <c r="F76" s="38"/>
      <c r="G76" s="85"/>
      <c r="H76" s="52"/>
      <c r="I76" s="38"/>
      <c r="J76" s="38"/>
      <c r="K76" s="38"/>
      <c r="L76" s="38"/>
      <c r="M76" s="5"/>
    </row>
    <row r="77" spans="1:13" s="37" customFormat="1" x14ac:dyDescent="0.25">
      <c r="E77" s="5"/>
      <c r="F77" s="38"/>
      <c r="G77" s="85"/>
      <c r="H77" s="52"/>
      <c r="I77" s="38"/>
      <c r="J77" s="38"/>
      <c r="K77" s="38"/>
      <c r="L77" s="38"/>
      <c r="M77" s="5"/>
    </row>
    <row r="78" spans="1:13" s="37" customFormat="1" x14ac:dyDescent="0.25">
      <c r="E78" s="5"/>
      <c r="F78" s="38"/>
      <c r="G78" s="85"/>
      <c r="H78" s="52"/>
      <c r="I78" s="38"/>
      <c r="J78" s="38"/>
      <c r="K78" s="38"/>
      <c r="L78" s="38"/>
      <c r="M78" s="5"/>
    </row>
    <row r="79" spans="1:13" s="37" customFormat="1" x14ac:dyDescent="0.25">
      <c r="E79" s="5"/>
      <c r="F79" s="38"/>
      <c r="G79" s="85"/>
      <c r="H79" s="52"/>
      <c r="I79" s="38"/>
      <c r="J79" s="38"/>
      <c r="K79" s="38"/>
      <c r="L79" s="38"/>
      <c r="M79" s="5"/>
    </row>
    <row r="80" spans="1:13" s="37" customFormat="1" x14ac:dyDescent="0.25">
      <c r="E80" s="5"/>
      <c r="F80" s="38"/>
      <c r="G80" s="85"/>
      <c r="H80" s="52"/>
      <c r="I80" s="38"/>
      <c r="J80" s="38"/>
      <c r="K80" s="38"/>
      <c r="L80" s="38"/>
      <c r="M80" s="5"/>
    </row>
    <row r="81" spans="5:13" s="37" customFormat="1" x14ac:dyDescent="0.25">
      <c r="E81" s="5"/>
      <c r="F81" s="38"/>
      <c r="G81" s="85"/>
      <c r="H81" s="52"/>
      <c r="I81" s="38"/>
      <c r="J81" s="38"/>
      <c r="K81" s="38"/>
      <c r="L81" s="38"/>
      <c r="M81" s="5"/>
    </row>
    <row r="82" spans="5:13" s="37" customFormat="1" x14ac:dyDescent="0.25">
      <c r="E82" s="5"/>
      <c r="F82" s="38"/>
      <c r="G82" s="85"/>
      <c r="H82" s="52"/>
      <c r="I82" s="38"/>
      <c r="J82" s="38"/>
      <c r="K82" s="38"/>
      <c r="L82" s="38"/>
      <c r="M82" s="5"/>
    </row>
    <row r="83" spans="5:13" s="37" customFormat="1" x14ac:dyDescent="0.25">
      <c r="E83" s="5"/>
      <c r="F83" s="38"/>
      <c r="G83" s="85"/>
      <c r="H83" s="52"/>
      <c r="I83" s="38"/>
      <c r="J83" s="38"/>
      <c r="K83" s="38"/>
      <c r="L83" s="38"/>
      <c r="M83" s="5"/>
    </row>
    <row r="84" spans="5:13" s="37" customFormat="1" x14ac:dyDescent="0.25">
      <c r="E84" s="5"/>
      <c r="F84" s="38"/>
      <c r="G84" s="85"/>
      <c r="H84" s="52"/>
      <c r="I84" s="38"/>
      <c r="J84" s="38"/>
      <c r="K84" s="38"/>
      <c r="L84" s="38"/>
      <c r="M84" s="5"/>
    </row>
    <row r="85" spans="5:13" s="37" customFormat="1" x14ac:dyDescent="0.25">
      <c r="E85" s="5"/>
      <c r="F85" s="38"/>
      <c r="G85" s="85"/>
      <c r="H85" s="52"/>
      <c r="I85" s="38"/>
      <c r="J85" s="38"/>
      <c r="K85" s="38"/>
      <c r="L85" s="38"/>
      <c r="M85" s="5"/>
    </row>
    <row r="86" spans="5:13" s="37" customFormat="1" x14ac:dyDescent="0.25">
      <c r="E86" s="5"/>
      <c r="F86" s="38"/>
      <c r="G86" s="85"/>
      <c r="H86" s="52"/>
      <c r="I86" s="38"/>
      <c r="J86" s="38"/>
      <c r="K86" s="38"/>
      <c r="L86" s="38"/>
      <c r="M86" s="5"/>
    </row>
    <row r="87" spans="5:13" s="37" customFormat="1" x14ac:dyDescent="0.25">
      <c r="E87" s="5"/>
      <c r="F87" s="38"/>
      <c r="G87" s="85"/>
      <c r="H87" s="52"/>
      <c r="I87" s="38"/>
      <c r="J87" s="38"/>
      <c r="K87" s="38"/>
      <c r="L87" s="38"/>
      <c r="M87" s="5"/>
    </row>
    <row r="88" spans="5:13" s="37" customFormat="1" x14ac:dyDescent="0.25">
      <c r="E88" s="5"/>
      <c r="F88" s="38"/>
      <c r="G88" s="85"/>
      <c r="H88" s="52"/>
      <c r="I88" s="38"/>
      <c r="J88" s="38"/>
      <c r="K88" s="38"/>
      <c r="L88" s="38"/>
      <c r="M88" s="5"/>
    </row>
    <row r="89" spans="5:13" s="37" customFormat="1" x14ac:dyDescent="0.25">
      <c r="E89" s="5"/>
      <c r="F89" s="38"/>
      <c r="G89" s="85"/>
      <c r="H89" s="52"/>
      <c r="I89" s="38"/>
      <c r="J89" s="38"/>
      <c r="K89" s="38"/>
      <c r="L89" s="38"/>
      <c r="M89" s="5"/>
    </row>
    <row r="90" spans="5:13" s="37" customFormat="1" x14ac:dyDescent="0.25">
      <c r="E90" s="5"/>
      <c r="F90" s="38"/>
      <c r="G90" s="85"/>
      <c r="H90" s="52"/>
      <c r="I90" s="38"/>
      <c r="J90" s="38"/>
      <c r="K90" s="38"/>
      <c r="L90" s="38"/>
      <c r="M90" s="5"/>
    </row>
    <row r="91" spans="5:13" s="37" customFormat="1" x14ac:dyDescent="0.25">
      <c r="E91" s="5"/>
      <c r="F91" s="38"/>
      <c r="G91" s="85"/>
      <c r="H91" s="52"/>
      <c r="I91" s="38"/>
      <c r="J91" s="38"/>
      <c r="K91" s="38"/>
      <c r="L91" s="38"/>
      <c r="M91" s="5"/>
    </row>
    <row r="92" spans="5:13" s="37" customFormat="1" x14ac:dyDescent="0.25">
      <c r="E92" s="5"/>
      <c r="F92" s="38"/>
      <c r="G92" s="85"/>
      <c r="H92" s="52"/>
      <c r="I92" s="38"/>
      <c r="J92" s="38"/>
      <c r="K92" s="38"/>
      <c r="L92" s="38"/>
      <c r="M92" s="5"/>
    </row>
    <row r="93" spans="5:13" s="37" customFormat="1" x14ac:dyDescent="0.25">
      <c r="E93" s="5"/>
      <c r="F93" s="38"/>
      <c r="G93" s="85"/>
      <c r="H93" s="52"/>
      <c r="I93" s="38"/>
      <c r="J93" s="38"/>
      <c r="K93" s="38"/>
      <c r="L93" s="38"/>
      <c r="M93" s="5"/>
    </row>
    <row r="94" spans="5:13" s="37" customFormat="1" x14ac:dyDescent="0.25">
      <c r="E94" s="5"/>
      <c r="F94" s="38"/>
      <c r="G94" s="85"/>
      <c r="H94" s="52"/>
      <c r="I94" s="38"/>
      <c r="J94" s="38"/>
      <c r="K94" s="38"/>
      <c r="L94" s="38"/>
      <c r="M94" s="5"/>
    </row>
    <row r="95" spans="5:13" s="37" customFormat="1" x14ac:dyDescent="0.25">
      <c r="E95" s="5"/>
      <c r="F95" s="38"/>
      <c r="G95" s="85"/>
      <c r="H95" s="52"/>
      <c r="I95" s="38"/>
      <c r="J95" s="38"/>
      <c r="K95" s="38"/>
      <c r="L95" s="38"/>
      <c r="M95" s="5"/>
    </row>
    <row r="96" spans="5:13" s="37" customFormat="1" x14ac:dyDescent="0.25">
      <c r="E96" s="5"/>
      <c r="F96" s="38"/>
      <c r="G96" s="85"/>
      <c r="H96" s="52"/>
      <c r="I96" s="38"/>
      <c r="J96" s="38"/>
      <c r="K96" s="38"/>
      <c r="L96" s="38"/>
      <c r="M96" s="5"/>
    </row>
    <row r="97" spans="5:13" s="37" customFormat="1" x14ac:dyDescent="0.25">
      <c r="E97" s="5"/>
      <c r="F97" s="38"/>
      <c r="G97" s="85"/>
      <c r="H97" s="52"/>
      <c r="I97" s="38"/>
      <c r="J97" s="38"/>
      <c r="K97" s="38"/>
      <c r="L97" s="38"/>
      <c r="M97" s="5"/>
    </row>
    <row r="98" spans="5:13" s="37" customFormat="1" x14ac:dyDescent="0.25">
      <c r="E98" s="5"/>
      <c r="F98" s="38"/>
      <c r="G98" s="85"/>
      <c r="H98" s="52"/>
      <c r="I98" s="38"/>
      <c r="J98" s="38"/>
      <c r="K98" s="38"/>
      <c r="L98" s="38"/>
      <c r="M98" s="5"/>
    </row>
    <row r="99" spans="5:13" s="37" customFormat="1" x14ac:dyDescent="0.25">
      <c r="E99" s="5"/>
      <c r="F99" s="38"/>
      <c r="G99" s="85"/>
      <c r="H99" s="52"/>
      <c r="I99" s="38"/>
      <c r="J99" s="38"/>
      <c r="K99" s="38"/>
      <c r="L99" s="38"/>
      <c r="M99" s="5"/>
    </row>
    <row r="100" spans="5:13" s="37" customFormat="1" x14ac:dyDescent="0.25">
      <c r="E100" s="5"/>
      <c r="F100" s="38"/>
      <c r="G100" s="85"/>
      <c r="H100" s="52"/>
      <c r="I100" s="38"/>
      <c r="J100" s="38"/>
      <c r="K100" s="38"/>
      <c r="L100" s="38"/>
      <c r="M100" s="5"/>
    </row>
    <row r="101" spans="5:13" s="37" customFormat="1" x14ac:dyDescent="0.25">
      <c r="E101" s="5"/>
      <c r="F101" s="38"/>
      <c r="G101" s="85"/>
      <c r="H101" s="52"/>
      <c r="I101" s="38"/>
      <c r="J101" s="38"/>
      <c r="K101" s="38"/>
      <c r="L101" s="38"/>
      <c r="M101" s="5"/>
    </row>
    <row r="102" spans="5:13" s="37" customFormat="1" x14ac:dyDescent="0.25">
      <c r="E102" s="5"/>
      <c r="F102" s="38"/>
      <c r="G102" s="85"/>
      <c r="H102" s="52"/>
      <c r="I102" s="38"/>
      <c r="J102" s="38"/>
      <c r="K102" s="38"/>
      <c r="L102" s="38"/>
      <c r="M102" s="5"/>
    </row>
    <row r="103" spans="5:13" s="37" customFormat="1" x14ac:dyDescent="0.25">
      <c r="E103" s="5"/>
      <c r="F103" s="38"/>
      <c r="G103" s="85"/>
      <c r="H103" s="52"/>
      <c r="I103" s="38"/>
      <c r="J103" s="38"/>
      <c r="K103" s="38"/>
      <c r="L103" s="38"/>
      <c r="M103" s="5"/>
    </row>
    <row r="104" spans="5:13" s="37" customFormat="1" x14ac:dyDescent="0.25">
      <c r="E104" s="5"/>
      <c r="F104" s="38"/>
      <c r="G104" s="85"/>
      <c r="H104" s="52"/>
      <c r="I104" s="38"/>
      <c r="J104" s="38"/>
      <c r="K104" s="38"/>
      <c r="L104" s="38"/>
      <c r="M104" s="5"/>
    </row>
    <row r="105" spans="5:13" s="37" customFormat="1" x14ac:dyDescent="0.25">
      <c r="E105" s="5"/>
      <c r="F105" s="38"/>
      <c r="G105" s="85"/>
      <c r="H105" s="52"/>
      <c r="I105" s="38"/>
      <c r="J105" s="38"/>
      <c r="K105" s="38"/>
      <c r="L105" s="38"/>
      <c r="M105" s="5"/>
    </row>
    <row r="106" spans="5:13" s="37" customFormat="1" x14ac:dyDescent="0.25">
      <c r="E106" s="5"/>
      <c r="F106" s="38"/>
      <c r="G106" s="85"/>
      <c r="H106" s="52"/>
      <c r="I106" s="38"/>
      <c r="J106" s="38"/>
      <c r="K106" s="38"/>
      <c r="L106" s="38"/>
      <c r="M106" s="5"/>
    </row>
    <row r="107" spans="5:13" s="37" customFormat="1" x14ac:dyDescent="0.25">
      <c r="E107" s="5"/>
      <c r="F107" s="38"/>
      <c r="G107" s="85"/>
      <c r="H107" s="52"/>
      <c r="I107" s="38"/>
      <c r="J107" s="38"/>
      <c r="K107" s="38"/>
      <c r="L107" s="38"/>
      <c r="M107" s="5"/>
    </row>
    <row r="108" spans="5:13" s="37" customFormat="1" x14ac:dyDescent="0.25">
      <c r="E108" s="5"/>
      <c r="F108" s="38"/>
      <c r="G108" s="85"/>
      <c r="H108" s="52"/>
      <c r="I108" s="38"/>
      <c r="J108" s="38"/>
      <c r="K108" s="38"/>
      <c r="L108" s="38"/>
      <c r="M108" s="5"/>
    </row>
    <row r="109" spans="5:13" s="37" customFormat="1" x14ac:dyDescent="0.25">
      <c r="E109" s="5"/>
      <c r="F109" s="38"/>
      <c r="G109" s="85"/>
      <c r="H109" s="52"/>
      <c r="I109" s="38"/>
      <c r="J109" s="38"/>
      <c r="K109" s="38"/>
      <c r="L109" s="38"/>
      <c r="M109" s="5"/>
    </row>
    <row r="110" spans="5:13" s="37" customFormat="1" x14ac:dyDescent="0.25">
      <c r="E110" s="5"/>
      <c r="F110" s="38"/>
      <c r="G110" s="85"/>
      <c r="H110" s="52"/>
      <c r="I110" s="38"/>
      <c r="J110" s="38"/>
      <c r="K110" s="38"/>
      <c r="L110" s="38"/>
      <c r="M110" s="5"/>
    </row>
    <row r="111" spans="5:13" s="37" customFormat="1" x14ac:dyDescent="0.25">
      <c r="E111" s="5"/>
      <c r="F111" s="38"/>
      <c r="G111" s="85"/>
      <c r="H111" s="52"/>
      <c r="I111" s="38"/>
      <c r="J111" s="38"/>
      <c r="K111" s="38"/>
      <c r="L111" s="38"/>
      <c r="M111" s="5"/>
    </row>
    <row r="112" spans="5:13" s="37" customFormat="1" x14ac:dyDescent="0.25">
      <c r="E112" s="5"/>
      <c r="F112" s="38"/>
      <c r="G112" s="85"/>
      <c r="H112" s="52"/>
      <c r="I112" s="38"/>
      <c r="J112" s="38"/>
      <c r="K112" s="38"/>
      <c r="L112" s="38"/>
      <c r="M112" s="5"/>
    </row>
    <row r="113" spans="5:13" s="37" customFormat="1" x14ac:dyDescent="0.25">
      <c r="E113" s="5"/>
      <c r="F113" s="38"/>
      <c r="G113" s="85"/>
      <c r="H113" s="52"/>
      <c r="I113" s="38"/>
      <c r="J113" s="38"/>
      <c r="K113" s="38"/>
      <c r="L113" s="38"/>
      <c r="M113" s="5"/>
    </row>
    <row r="114" spans="5:13" s="37" customFormat="1" x14ac:dyDescent="0.25">
      <c r="E114" s="5"/>
      <c r="F114" s="38"/>
      <c r="G114" s="85"/>
      <c r="H114" s="52"/>
      <c r="I114" s="38"/>
      <c r="J114" s="38"/>
      <c r="K114" s="38"/>
      <c r="L114" s="38"/>
      <c r="M114" s="5"/>
    </row>
    <row r="115" spans="5:13" s="37" customFormat="1" x14ac:dyDescent="0.25">
      <c r="E115" s="5"/>
      <c r="F115" s="38"/>
      <c r="G115" s="85"/>
      <c r="H115" s="52"/>
      <c r="I115" s="38"/>
      <c r="J115" s="38"/>
      <c r="K115" s="38"/>
      <c r="L115" s="38"/>
      <c r="M115" s="5"/>
    </row>
    <row r="116" spans="5:13" s="37" customFormat="1" x14ac:dyDescent="0.25">
      <c r="E116" s="5"/>
      <c r="F116" s="38"/>
      <c r="G116" s="85"/>
      <c r="H116" s="52"/>
      <c r="I116" s="38"/>
      <c r="J116" s="38"/>
      <c r="K116" s="38"/>
      <c r="L116" s="38"/>
      <c r="M116" s="5"/>
    </row>
    <row r="117" spans="5:13" s="37" customFormat="1" x14ac:dyDescent="0.25">
      <c r="E117" s="5"/>
      <c r="F117" s="38"/>
      <c r="G117" s="85"/>
      <c r="H117" s="52"/>
      <c r="I117" s="38"/>
      <c r="J117" s="38"/>
      <c r="K117" s="38"/>
      <c r="L117" s="38"/>
      <c r="M117" s="5"/>
    </row>
    <row r="118" spans="5:13" s="37" customFormat="1" x14ac:dyDescent="0.25">
      <c r="E118" s="5"/>
      <c r="F118" s="38"/>
      <c r="G118" s="85"/>
      <c r="H118" s="52"/>
      <c r="I118" s="38"/>
      <c r="J118" s="38"/>
      <c r="K118" s="38"/>
      <c r="L118" s="38"/>
      <c r="M118" s="5"/>
    </row>
    <row r="119" spans="5:13" s="37" customFormat="1" x14ac:dyDescent="0.25">
      <c r="E119" s="5"/>
      <c r="F119" s="38"/>
      <c r="G119" s="85"/>
      <c r="H119" s="52"/>
      <c r="I119" s="38"/>
      <c r="J119" s="38"/>
      <c r="K119" s="38"/>
      <c r="L119" s="38"/>
      <c r="M119" s="5"/>
    </row>
    <row r="120" spans="5:13" s="37" customFormat="1" x14ac:dyDescent="0.25">
      <c r="E120" s="5"/>
      <c r="F120" s="38"/>
      <c r="G120" s="85"/>
      <c r="H120" s="52"/>
      <c r="I120" s="38"/>
      <c r="J120" s="38"/>
      <c r="K120" s="38"/>
      <c r="L120" s="38"/>
      <c r="M120" s="5"/>
    </row>
    <row r="121" spans="5:13" s="37" customFormat="1" x14ac:dyDescent="0.25">
      <c r="E121" s="5"/>
      <c r="F121" s="38"/>
      <c r="G121" s="85"/>
      <c r="H121" s="52"/>
      <c r="I121" s="38"/>
      <c r="J121" s="38"/>
      <c r="K121" s="38"/>
      <c r="L121" s="38"/>
      <c r="M121" s="5"/>
    </row>
    <row r="122" spans="5:13" s="37" customFormat="1" x14ac:dyDescent="0.25">
      <c r="E122" s="5"/>
      <c r="F122" s="38"/>
      <c r="G122" s="85"/>
      <c r="H122" s="52"/>
      <c r="I122" s="38"/>
      <c r="J122" s="38"/>
      <c r="K122" s="38"/>
      <c r="L122" s="38"/>
      <c r="M122" s="5"/>
    </row>
    <row r="123" spans="5:13" s="37" customFormat="1" x14ac:dyDescent="0.25">
      <c r="E123" s="5"/>
      <c r="F123" s="38"/>
      <c r="G123" s="85"/>
      <c r="H123" s="52"/>
      <c r="I123" s="38"/>
      <c r="J123" s="38"/>
      <c r="K123" s="38"/>
      <c r="L123" s="38"/>
      <c r="M123" s="5"/>
    </row>
    <row r="124" spans="5:13" s="37" customFormat="1" x14ac:dyDescent="0.25">
      <c r="E124" s="5"/>
      <c r="F124" s="38"/>
      <c r="G124" s="85"/>
      <c r="H124" s="52"/>
      <c r="I124" s="38"/>
      <c r="J124" s="38"/>
      <c r="K124" s="38"/>
      <c r="L124" s="38"/>
      <c r="M124" s="5"/>
    </row>
    <row r="125" spans="5:13" s="37" customFormat="1" x14ac:dyDescent="0.25">
      <c r="E125" s="5"/>
      <c r="F125" s="38"/>
      <c r="G125" s="85"/>
      <c r="H125" s="52"/>
      <c r="I125" s="38"/>
      <c r="J125" s="38"/>
      <c r="K125" s="38"/>
      <c r="L125" s="38"/>
      <c r="M125" s="5"/>
    </row>
    <row r="126" spans="5:13" s="37" customFormat="1" x14ac:dyDescent="0.25">
      <c r="E126" s="5"/>
      <c r="F126" s="38"/>
      <c r="G126" s="85"/>
      <c r="H126" s="52"/>
      <c r="I126" s="38"/>
      <c r="J126" s="38"/>
      <c r="K126" s="38"/>
      <c r="L126" s="38"/>
      <c r="M126" s="5"/>
    </row>
    <row r="127" spans="5:13" s="37" customFormat="1" x14ac:dyDescent="0.25">
      <c r="E127" s="5"/>
      <c r="F127" s="38"/>
      <c r="G127" s="85"/>
      <c r="H127" s="52"/>
      <c r="I127" s="38"/>
      <c r="J127" s="38"/>
      <c r="K127" s="38"/>
      <c r="L127" s="38"/>
      <c r="M127" s="5"/>
    </row>
    <row r="128" spans="5:13" s="37" customFormat="1" x14ac:dyDescent="0.25">
      <c r="E128" s="5"/>
      <c r="F128" s="38"/>
      <c r="G128" s="85"/>
      <c r="H128" s="52"/>
      <c r="I128" s="38"/>
      <c r="J128" s="38"/>
      <c r="K128" s="38"/>
      <c r="L128" s="38"/>
      <c r="M128" s="5"/>
    </row>
    <row r="129" spans="5:13" s="37" customFormat="1" x14ac:dyDescent="0.25">
      <c r="E129" s="5"/>
      <c r="F129" s="38"/>
      <c r="G129" s="85"/>
      <c r="H129" s="52"/>
      <c r="I129" s="38"/>
      <c r="J129" s="38"/>
      <c r="K129" s="38"/>
      <c r="L129" s="38"/>
      <c r="M129" s="5"/>
    </row>
    <row r="130" spans="5:13" s="37" customFormat="1" x14ac:dyDescent="0.25">
      <c r="E130" s="5"/>
      <c r="F130" s="38"/>
      <c r="G130" s="85"/>
      <c r="H130" s="52"/>
      <c r="I130" s="38"/>
      <c r="J130" s="38"/>
      <c r="K130" s="38"/>
      <c r="L130" s="38"/>
      <c r="M130" s="5"/>
    </row>
    <row r="131" spans="5:13" s="37" customFormat="1" x14ac:dyDescent="0.25">
      <c r="E131" s="5"/>
      <c r="F131" s="38"/>
      <c r="G131" s="85"/>
      <c r="H131" s="52"/>
      <c r="I131" s="38"/>
      <c r="J131" s="38"/>
      <c r="K131" s="38"/>
      <c r="L131" s="38"/>
      <c r="M131" s="5"/>
    </row>
    <row r="132" spans="5:13" s="37" customFormat="1" x14ac:dyDescent="0.25">
      <c r="E132" s="5"/>
      <c r="F132" s="38"/>
      <c r="G132" s="85"/>
      <c r="H132" s="52"/>
      <c r="I132" s="38"/>
      <c r="J132" s="38"/>
      <c r="K132" s="38"/>
      <c r="L132" s="38"/>
      <c r="M132" s="5"/>
    </row>
    <row r="133" spans="5:13" s="37" customFormat="1" x14ac:dyDescent="0.25">
      <c r="E133" s="5"/>
      <c r="F133" s="38"/>
      <c r="G133" s="85"/>
      <c r="H133" s="52"/>
      <c r="I133" s="38"/>
      <c r="J133" s="38"/>
      <c r="K133" s="38"/>
      <c r="L133" s="38"/>
      <c r="M133" s="5"/>
    </row>
    <row r="134" spans="5:13" s="37" customFormat="1" x14ac:dyDescent="0.25">
      <c r="E134" s="5"/>
      <c r="F134" s="38"/>
      <c r="G134" s="85"/>
      <c r="H134" s="52"/>
      <c r="I134" s="38"/>
      <c r="J134" s="38"/>
      <c r="K134" s="38"/>
      <c r="L134" s="38"/>
      <c r="M134" s="5"/>
    </row>
    <row r="135" spans="5:13" s="37" customFormat="1" x14ac:dyDescent="0.25">
      <c r="E135" s="5"/>
      <c r="F135" s="38"/>
      <c r="G135" s="85"/>
      <c r="H135" s="52"/>
      <c r="I135" s="38"/>
      <c r="J135" s="38"/>
      <c r="K135" s="38"/>
      <c r="L135" s="38"/>
      <c r="M135" s="5"/>
    </row>
    <row r="136" spans="5:13" s="37" customFormat="1" x14ac:dyDescent="0.25">
      <c r="E136" s="5"/>
      <c r="F136" s="38"/>
      <c r="G136" s="85"/>
      <c r="H136" s="52"/>
      <c r="I136" s="38"/>
      <c r="J136" s="38"/>
      <c r="K136" s="38"/>
      <c r="L136" s="38"/>
      <c r="M136" s="5"/>
    </row>
    <row r="137" spans="5:13" s="37" customFormat="1" x14ac:dyDescent="0.25">
      <c r="E137" s="5"/>
      <c r="F137" s="38"/>
      <c r="G137" s="85"/>
      <c r="H137" s="52"/>
      <c r="I137" s="38"/>
      <c r="J137" s="38"/>
      <c r="K137" s="38"/>
      <c r="L137" s="38"/>
      <c r="M137" s="5"/>
    </row>
    <row r="138" spans="5:13" s="37" customFormat="1" x14ac:dyDescent="0.25">
      <c r="E138" s="5"/>
      <c r="F138" s="38"/>
      <c r="G138" s="85"/>
      <c r="H138" s="52"/>
      <c r="I138" s="38"/>
      <c r="J138" s="38"/>
      <c r="K138" s="38"/>
      <c r="L138" s="38"/>
      <c r="M138" s="5"/>
    </row>
    <row r="139" spans="5:13" s="37" customFormat="1" x14ac:dyDescent="0.25">
      <c r="E139" s="5"/>
      <c r="F139" s="38"/>
      <c r="G139" s="85"/>
      <c r="H139" s="52"/>
      <c r="I139" s="38"/>
      <c r="J139" s="38"/>
      <c r="K139" s="38"/>
      <c r="L139" s="38"/>
      <c r="M139" s="5"/>
    </row>
    <row r="140" spans="5:13" s="37" customFormat="1" x14ac:dyDescent="0.25">
      <c r="E140" s="5"/>
      <c r="F140" s="38"/>
      <c r="G140" s="85"/>
      <c r="H140" s="52"/>
      <c r="I140" s="38"/>
      <c r="J140" s="38"/>
      <c r="K140" s="38"/>
      <c r="L140" s="38"/>
      <c r="M140" s="5"/>
    </row>
    <row r="141" spans="5:13" s="37" customFormat="1" x14ac:dyDescent="0.25">
      <c r="E141" s="5"/>
      <c r="F141" s="38"/>
      <c r="G141" s="85"/>
      <c r="H141" s="52"/>
      <c r="I141" s="38"/>
      <c r="J141" s="38"/>
      <c r="K141" s="38"/>
      <c r="L141" s="38"/>
      <c r="M141" s="5"/>
    </row>
    <row r="142" spans="5:13" s="37" customFormat="1" x14ac:dyDescent="0.25">
      <c r="E142" s="5"/>
      <c r="F142" s="38"/>
      <c r="G142" s="85"/>
      <c r="H142" s="52"/>
      <c r="I142" s="38"/>
      <c r="J142" s="38"/>
      <c r="K142" s="38"/>
      <c r="L142" s="38"/>
      <c r="M142" s="5"/>
    </row>
    <row r="143" spans="5:13" s="37" customFormat="1" x14ac:dyDescent="0.25">
      <c r="E143" s="5"/>
      <c r="F143" s="38"/>
      <c r="G143" s="85"/>
      <c r="H143" s="52"/>
      <c r="I143" s="38"/>
      <c r="J143" s="38"/>
      <c r="K143" s="38"/>
      <c r="L143" s="38"/>
      <c r="M143" s="5"/>
    </row>
    <row r="144" spans="5:13" s="37" customFormat="1" x14ac:dyDescent="0.25">
      <c r="E144" s="5"/>
      <c r="F144" s="38"/>
      <c r="G144" s="85"/>
      <c r="H144" s="52"/>
      <c r="I144" s="38"/>
      <c r="J144" s="38"/>
      <c r="K144" s="38"/>
      <c r="L144" s="38"/>
      <c r="M144" s="5"/>
    </row>
    <row r="145" spans="5:13" s="37" customFormat="1" x14ac:dyDescent="0.25">
      <c r="E145" s="5"/>
      <c r="F145" s="38"/>
      <c r="G145" s="85"/>
      <c r="H145" s="52"/>
      <c r="I145" s="38"/>
      <c r="J145" s="38"/>
      <c r="K145" s="38"/>
      <c r="L145" s="38"/>
      <c r="M145" s="5"/>
    </row>
    <row r="146" spans="5:13" s="37" customFormat="1" x14ac:dyDescent="0.25">
      <c r="E146" s="5"/>
      <c r="F146" s="38"/>
      <c r="G146" s="85"/>
      <c r="H146" s="52"/>
      <c r="I146" s="38"/>
      <c r="J146" s="38"/>
      <c r="K146" s="38"/>
      <c r="L146" s="38"/>
      <c r="M146" s="5"/>
    </row>
    <row r="147" spans="5:13" s="37" customFormat="1" x14ac:dyDescent="0.25">
      <c r="E147" s="5"/>
      <c r="F147" s="38"/>
      <c r="G147" s="85"/>
      <c r="H147" s="52"/>
      <c r="I147" s="38"/>
      <c r="J147" s="38"/>
      <c r="K147" s="38"/>
      <c r="L147" s="38"/>
      <c r="M147" s="5"/>
    </row>
    <row r="148" spans="5:13" s="37" customFormat="1" x14ac:dyDescent="0.25">
      <c r="E148" s="5"/>
      <c r="F148" s="38"/>
      <c r="G148" s="85"/>
      <c r="H148" s="52"/>
      <c r="I148" s="38"/>
      <c r="J148" s="38"/>
      <c r="K148" s="38"/>
      <c r="L148" s="38"/>
      <c r="M148" s="5"/>
    </row>
    <row r="149" spans="5:13" s="37" customFormat="1" x14ac:dyDescent="0.25">
      <c r="E149" s="5"/>
      <c r="F149" s="38"/>
      <c r="G149" s="85"/>
      <c r="H149" s="52"/>
      <c r="I149" s="38"/>
      <c r="J149" s="38"/>
      <c r="K149" s="38"/>
      <c r="L149" s="38"/>
      <c r="M149" s="5"/>
    </row>
    <row r="150" spans="5:13" s="37" customFormat="1" x14ac:dyDescent="0.25">
      <c r="E150" s="5"/>
      <c r="F150" s="38"/>
      <c r="G150" s="85"/>
      <c r="H150" s="52"/>
      <c r="I150" s="38"/>
      <c r="J150" s="38"/>
      <c r="K150" s="38"/>
      <c r="L150" s="38"/>
      <c r="M150" s="5"/>
    </row>
    <row r="151" spans="5:13" s="37" customFormat="1" x14ac:dyDescent="0.25">
      <c r="E151" s="5"/>
      <c r="F151" s="38"/>
      <c r="G151" s="85"/>
      <c r="H151" s="52"/>
      <c r="I151" s="38"/>
      <c r="J151" s="38"/>
      <c r="K151" s="38"/>
      <c r="L151" s="38"/>
      <c r="M151" s="5"/>
    </row>
  </sheetData>
  <mergeCells count="5">
    <mergeCell ref="A7:M7"/>
    <mergeCell ref="A11:M11"/>
    <mergeCell ref="A14:M14"/>
    <mergeCell ref="A19:M19"/>
    <mergeCell ref="A22:M22"/>
  </mergeCells>
  <hyperlinks>
    <hyperlink ref="M23" r:id="rId1" display="https://www.samsung.com/us/home-appliances/vacuums/all-vacuums/?shop=Buy+Online&amp;type=Jet+Stick"/>
    <hyperlink ref="K23" r:id="rId2"/>
    <hyperlink ref="K12" r:id="rId3"/>
  </hyperlinks>
  <pageMargins left="0.7" right="0.7" top="0.75" bottom="0.75" header="0.3" footer="0.3"/>
  <pageSetup orientation="portrait" horizontalDpi="300" verticalDpi="300" r:id="rId4"/>
  <extLst>
    <ext xmlns:x14="http://schemas.microsoft.com/office/spreadsheetml/2009/9/main" uri="{CCE6A557-97BC-4b89-ADB6-D9C93CAAB3DF}">
      <x14:dataValidations xmlns:xm="http://schemas.microsoft.com/office/excel/2006/main" count="1">
        <x14:dataValidation type="list" allowBlank="1" showInputMessage="1" showErrorMessage="1">
          <x14:formula1>
            <xm:f>'/Users/yingcong.fu/Desktop/C:\Users\a.couvaras.CORP\AppData\Local\Microsoft\Windows\INetCache\Content.Outlook\MPWBH1I6\[ME Holiday Deals_FINAL.xlsx]Sources Pricing'!#REF!</xm:f>
          </x14:formula1>
          <xm:sqref>K50:K57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
  <sheetViews>
    <sheetView topLeftCell="A2" workbookViewId="0">
      <selection activeCell="B31" sqref="B31"/>
    </sheetView>
  </sheetViews>
  <sheetFormatPr defaultColWidth="8.85546875" defaultRowHeight="15" x14ac:dyDescent="0.25"/>
  <cols>
    <col min="1" max="1" width="4.7109375" customWidth="1"/>
    <col min="2" max="2" width="40" customWidth="1"/>
    <col min="3" max="3" width="2.7109375" bestFit="1" customWidth="1"/>
    <col min="4" max="4" width="40" customWidth="1"/>
    <col min="5" max="5" width="2.7109375" bestFit="1" customWidth="1"/>
    <col min="6" max="6" width="35.85546875" customWidth="1"/>
    <col min="7" max="7" width="2.7109375" bestFit="1" customWidth="1"/>
    <col min="8" max="8" width="35.85546875" customWidth="1"/>
    <col min="9" max="9" width="2.7109375" bestFit="1" customWidth="1"/>
    <col min="10" max="10" width="35.85546875" customWidth="1"/>
    <col min="11" max="11" width="2.7109375" bestFit="1" customWidth="1"/>
    <col min="12" max="12" width="36.28515625" customWidth="1"/>
    <col min="13" max="13" width="2.7109375" bestFit="1" customWidth="1"/>
    <col min="14" max="14" width="35.85546875" customWidth="1"/>
    <col min="15" max="15" width="3.28515625" bestFit="1" customWidth="1"/>
    <col min="16" max="16" width="35.42578125" customWidth="1"/>
    <col min="17" max="17" width="2.7109375" bestFit="1" customWidth="1"/>
  </cols>
  <sheetData>
    <row r="1" spans="1:17" s="1" customFormat="1" x14ac:dyDescent="0.25">
      <c r="A1" s="1" t="s">
        <v>77</v>
      </c>
    </row>
    <row r="3" spans="1:17" x14ac:dyDescent="0.25">
      <c r="A3" s="8"/>
      <c r="B3" s="8" t="s">
        <v>59</v>
      </c>
      <c r="C3" s="8"/>
      <c r="D3" s="8" t="s">
        <v>60</v>
      </c>
      <c r="E3" s="8"/>
      <c r="F3" s="8" t="s">
        <v>61</v>
      </c>
      <c r="G3" s="8"/>
      <c r="H3" s="8" t="s">
        <v>62</v>
      </c>
      <c r="I3" s="8"/>
      <c r="J3" s="8" t="s">
        <v>54</v>
      </c>
      <c r="K3" s="8"/>
      <c r="L3" s="8" t="s">
        <v>55</v>
      </c>
      <c r="M3" s="8"/>
      <c r="N3" s="8" t="s">
        <v>0</v>
      </c>
      <c r="O3" s="8"/>
      <c r="P3" s="8" t="s">
        <v>1</v>
      </c>
      <c r="Q3" s="8"/>
    </row>
    <row r="4" spans="1:17" x14ac:dyDescent="0.25">
      <c r="A4" s="3" t="s">
        <v>56</v>
      </c>
      <c r="B4" s="3"/>
      <c r="C4" s="3">
        <f>25-LEN(B4)</f>
        <v>25</v>
      </c>
      <c r="D4" s="3"/>
      <c r="E4" s="3">
        <f>25-LEN(D4)</f>
        <v>25</v>
      </c>
      <c r="F4" s="3"/>
      <c r="G4" s="3">
        <f>25-LEN(F4)</f>
        <v>25</v>
      </c>
      <c r="H4" s="3"/>
      <c r="I4" s="3">
        <f>25-LEN(H4)</f>
        <v>25</v>
      </c>
      <c r="J4" s="3"/>
      <c r="K4" s="3">
        <f>25-LEN(J4)</f>
        <v>25</v>
      </c>
      <c r="L4" s="3"/>
      <c r="M4" s="3">
        <f>25-LEN(L4)</f>
        <v>25</v>
      </c>
      <c r="N4" s="3"/>
      <c r="O4" s="3">
        <f>25-LEN(N4)</f>
        <v>25</v>
      </c>
      <c r="P4" s="3"/>
      <c r="Q4" s="3">
        <f>25-LEN(P4)</f>
        <v>25</v>
      </c>
    </row>
    <row r="5" spans="1:17" x14ac:dyDescent="0.25">
      <c r="A5" s="3" t="s">
        <v>57</v>
      </c>
      <c r="B5" s="3"/>
      <c r="C5" s="3">
        <f>35-LEN(B5)</f>
        <v>35</v>
      </c>
      <c r="D5" s="3"/>
      <c r="E5" s="3">
        <f>35-LEN(D5)</f>
        <v>35</v>
      </c>
      <c r="F5" s="3"/>
      <c r="G5" s="3">
        <f>35-LEN(F5)</f>
        <v>35</v>
      </c>
      <c r="H5" s="3"/>
      <c r="I5" s="3">
        <f>35-LEN(H5)</f>
        <v>35</v>
      </c>
      <c r="J5" s="3"/>
      <c r="K5" s="3">
        <f>35-LEN(J5)</f>
        <v>35</v>
      </c>
      <c r="L5" s="3"/>
      <c r="M5" s="3">
        <f>35-LEN(L5)</f>
        <v>35</v>
      </c>
      <c r="N5" s="3"/>
      <c r="O5" s="3">
        <f>35-LEN(N5)</f>
        <v>35</v>
      </c>
      <c r="P5" s="3"/>
      <c r="Q5" s="3">
        <f>35-LEN(P5)</f>
        <v>35</v>
      </c>
    </row>
    <row r="6" spans="1:17" x14ac:dyDescent="0.25">
      <c r="A6" s="3" t="s">
        <v>58</v>
      </c>
      <c r="B6" s="3"/>
      <c r="C6" s="3">
        <f>60-LEN(B6)</f>
        <v>60</v>
      </c>
      <c r="D6" s="3"/>
      <c r="E6" s="3">
        <f>60-LEN(D6)</f>
        <v>60</v>
      </c>
      <c r="F6" s="3"/>
      <c r="G6" s="3">
        <f>60-LEN(F6)</f>
        <v>60</v>
      </c>
      <c r="H6" s="3"/>
      <c r="I6" s="3">
        <f>60-LEN(H6)</f>
        <v>60</v>
      </c>
      <c r="J6" s="3"/>
      <c r="K6" s="3">
        <f>60-LEN(J6)</f>
        <v>60</v>
      </c>
      <c r="L6" s="3"/>
      <c r="M6" s="3">
        <f>60-LEN(L6)</f>
        <v>60</v>
      </c>
      <c r="N6" s="3"/>
      <c r="O6" s="3">
        <f>60-LEN(N6)</f>
        <v>60</v>
      </c>
      <c r="P6" s="3"/>
      <c r="Q6" s="3">
        <f>60-LEN(P6)</f>
        <v>60</v>
      </c>
    </row>
    <row r="7" spans="1:17" x14ac:dyDescent="0.25">
      <c r="A7" s="3" t="s">
        <v>31</v>
      </c>
      <c r="B7" s="3"/>
      <c r="C7" s="3"/>
      <c r="D7" s="3"/>
      <c r="E7" s="3"/>
      <c r="F7" s="3"/>
      <c r="G7" s="3"/>
      <c r="H7" s="3"/>
      <c r="I7" s="3"/>
      <c r="J7" s="3"/>
      <c r="K7" s="3"/>
      <c r="L7" s="3"/>
      <c r="M7" s="3"/>
      <c r="N7" s="3"/>
      <c r="O7" s="3"/>
      <c r="P7" s="3"/>
      <c r="Q7"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SL_PH</vt:lpstr>
      <vt:lpstr>CC_Versions</vt:lpstr>
      <vt:lpstr>CC Copy</vt:lpstr>
      <vt:lpstr>MiscModules</vt:lpstr>
      <vt:lpstr>Sheet1</vt:lpstr>
      <vt:lpstr>T&amp;Cs</vt:lpstr>
      <vt:lpstr>urlsegment</vt:lpstr>
      <vt:lpstr>EMAILPage</vt:lpstr>
      <vt:lpstr>Post Holiday OFFERS</vt:lpstr>
      <vt:lpstr>PN Copy - For Designers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Allyson Fields</dc:creator>
  <cp:lastModifiedBy>a.ferdous</cp:lastModifiedBy>
  <dcterms:created xsi:type="dcterms:W3CDTF">2020-11-17T01:20:41Z</dcterms:created>
  <dcterms:modified xsi:type="dcterms:W3CDTF">2020-12-22T04:02:29Z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NSCPROP_SA">
    <vt:lpwstr>C:\Users\SDSA\Desktop\In Progress\CW-763.xlsx</vt:lpwstr>
  </property>
</Properties>
</file>
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L_PH1" sheetId="2" r:id="rId1"/>
    <sheet name="SL_PH" sheetId="9" r:id="rId2"/>
    <sheet name="FINAL_MODULE_All_Versions" sheetId="3" r:id="rId3"/>
    <sheet name="DD_Versions" sheetId="4" r:id="rId4"/>
    <sheet name="CC_Versions" sheetId="5" r:id="rId5"/>
    <sheet name="MiscBanners" sheetId="8" r:id="rId6"/>
    <sheet name="Dynamic_Banners" sheetId="7" r:id="rId7"/>
    <sheet name="urlsegment" sheetId="6" r:id="rId8"/>
    <sheet name="EMAILPage" sheetId="1" r:id="rId9"/>
  </sheets>
  <externalReferences>
    <externalReference r:id="rId10"/>
    <externalReference r:id="rId11"/>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S29" i="9" l="1"/>
  <c r="BR29" i="9"/>
  <c r="BQ29" i="9"/>
  <c r="BP29" i="9"/>
  <c r="BO29" i="9"/>
  <c r="BN29" i="9"/>
  <c r="BM29" i="9"/>
  <c r="BL29" i="9"/>
  <c r="BK29" i="9"/>
  <c r="BJ29" i="9"/>
  <c r="BH29" i="9"/>
  <c r="BG29" i="9"/>
  <c r="BF29" i="9"/>
  <c r="BE29" i="9"/>
  <c r="BD29" i="9"/>
  <c r="BC29" i="9"/>
  <c r="BB29" i="9"/>
  <c r="BA29" i="9"/>
  <c r="AZ29" i="9"/>
  <c r="AY29" i="9"/>
  <c r="AW29" i="9"/>
  <c r="AV29" i="9"/>
  <c r="AU29" i="9"/>
  <c r="AT29" i="9"/>
  <c r="AS29" i="9"/>
  <c r="AR29" i="9"/>
  <c r="AQ29" i="9"/>
  <c r="AP29" i="9"/>
  <c r="AO29" i="9"/>
  <c r="AN29" i="9"/>
  <c r="AL29" i="9"/>
  <c r="AK29" i="9"/>
  <c r="AJ29" i="9"/>
  <c r="AI29" i="9"/>
  <c r="AH29" i="9"/>
  <c r="AG29" i="9"/>
  <c r="AE29" i="9"/>
  <c r="AD29" i="9"/>
  <c r="AC29" i="9"/>
  <c r="AB29" i="9"/>
  <c r="AA29" i="9"/>
  <c r="Z29" i="9"/>
  <c r="X29" i="9"/>
  <c r="W29" i="9"/>
  <c r="V29" i="9"/>
  <c r="U29" i="9"/>
  <c r="T29" i="9"/>
  <c r="S29" i="9"/>
  <c r="Q29" i="9"/>
  <c r="P29" i="9"/>
  <c r="O29" i="9"/>
  <c r="N29" i="9"/>
  <c r="M29" i="9"/>
  <c r="K29" i="9"/>
  <c r="J29" i="9"/>
  <c r="G29" i="9"/>
  <c r="F29" i="9"/>
  <c r="E29" i="9"/>
  <c r="D29" i="9"/>
  <c r="BS28" i="9"/>
  <c r="BR28" i="9"/>
  <c r="BQ28" i="9"/>
  <c r="BP28" i="9"/>
  <c r="BO28" i="9"/>
  <c r="BN28" i="9"/>
  <c r="BM28" i="9"/>
  <c r="BL28" i="9"/>
  <c r="BK28" i="9"/>
  <c r="BJ28" i="9"/>
  <c r="BH28" i="9"/>
  <c r="BG28" i="9"/>
  <c r="BF28" i="9"/>
  <c r="BE28" i="9"/>
  <c r="BD28" i="9"/>
  <c r="BC28" i="9"/>
  <c r="BB28" i="9"/>
  <c r="BA28" i="9"/>
  <c r="AZ28" i="9"/>
  <c r="AY28" i="9"/>
  <c r="AW28" i="9"/>
  <c r="AV28" i="9"/>
  <c r="AU28" i="9"/>
  <c r="AT28" i="9"/>
  <c r="AS28" i="9"/>
  <c r="AR28" i="9"/>
  <c r="AQ28" i="9"/>
  <c r="AP28" i="9"/>
  <c r="AO28" i="9"/>
  <c r="AN28" i="9"/>
  <c r="AL28" i="9"/>
  <c r="AK28" i="9"/>
  <c r="AJ28" i="9"/>
  <c r="AI28" i="9"/>
  <c r="AH28" i="9"/>
  <c r="AG28" i="9"/>
  <c r="AE28" i="9"/>
  <c r="AD28" i="9"/>
  <c r="AC28" i="9"/>
  <c r="AB28" i="9"/>
  <c r="AA28" i="9"/>
  <c r="Z28" i="9"/>
  <c r="X28" i="9"/>
  <c r="W28" i="9"/>
  <c r="V28" i="9"/>
  <c r="U28" i="9"/>
  <c r="T28" i="9"/>
  <c r="S28" i="9"/>
  <c r="Q28" i="9"/>
  <c r="P28" i="9"/>
  <c r="O28" i="9"/>
  <c r="N28" i="9"/>
  <c r="M28" i="9"/>
  <c r="K28" i="9"/>
  <c r="J28" i="9"/>
  <c r="G28" i="9"/>
  <c r="F28" i="9"/>
  <c r="E28" i="9"/>
  <c r="D28" i="9"/>
  <c r="BS27" i="9"/>
  <c r="BR27" i="9"/>
  <c r="BQ27" i="9"/>
  <c r="BP27" i="9"/>
  <c r="BO27" i="9"/>
  <c r="BN27" i="9"/>
  <c r="BM27" i="9"/>
  <c r="BL27" i="9"/>
  <c r="BK27" i="9"/>
  <c r="BJ27" i="9"/>
  <c r="BH27" i="9"/>
  <c r="BG27" i="9"/>
  <c r="BF27" i="9"/>
  <c r="BE27" i="9"/>
  <c r="BD27" i="9"/>
  <c r="BC27" i="9"/>
  <c r="BB27" i="9"/>
  <c r="BA27" i="9"/>
  <c r="AZ27" i="9"/>
  <c r="AY27" i="9"/>
  <c r="AW27" i="9"/>
  <c r="AV27" i="9"/>
  <c r="AU27" i="9"/>
  <c r="AT27" i="9"/>
  <c r="AS27" i="9"/>
  <c r="AR27" i="9"/>
  <c r="AQ27" i="9"/>
  <c r="AP27" i="9"/>
  <c r="AO27" i="9"/>
  <c r="AN27" i="9"/>
  <c r="AL27" i="9"/>
  <c r="AK27" i="9"/>
  <c r="AJ27" i="9"/>
  <c r="AI27" i="9"/>
  <c r="AH27" i="9"/>
  <c r="AG27" i="9"/>
  <c r="AE27" i="9"/>
  <c r="AD27" i="9"/>
  <c r="AC27" i="9"/>
  <c r="AB27" i="9"/>
  <c r="AA27" i="9"/>
  <c r="Z27" i="9"/>
  <c r="X27" i="9"/>
  <c r="W27" i="9"/>
  <c r="V27" i="9"/>
  <c r="U27" i="9"/>
  <c r="T27" i="9"/>
  <c r="S27" i="9"/>
  <c r="Q27" i="9"/>
  <c r="P27" i="9"/>
  <c r="O27" i="9"/>
  <c r="N27" i="9"/>
  <c r="M27" i="9"/>
  <c r="K27" i="9"/>
  <c r="J27" i="9"/>
  <c r="G27" i="9"/>
  <c r="F27" i="9"/>
  <c r="E27" i="9"/>
  <c r="D27" i="9"/>
  <c r="BS26" i="9"/>
  <c r="BR26" i="9"/>
  <c r="BQ26" i="9"/>
  <c r="BP26" i="9"/>
  <c r="BO26" i="9"/>
  <c r="BN26" i="9"/>
  <c r="BM26" i="9"/>
  <c r="BL26" i="9"/>
  <c r="BK26" i="9"/>
  <c r="BJ26" i="9"/>
  <c r="BH26" i="9"/>
  <c r="BG26" i="9"/>
  <c r="BF26" i="9"/>
  <c r="BE26" i="9"/>
  <c r="BD26" i="9"/>
  <c r="BC26" i="9"/>
  <c r="BB26" i="9"/>
  <c r="BA26" i="9"/>
  <c r="AZ26" i="9"/>
  <c r="AY26" i="9"/>
  <c r="AW26" i="9"/>
  <c r="AV26" i="9"/>
  <c r="AU26" i="9"/>
  <c r="AT26" i="9"/>
  <c r="AS26" i="9"/>
  <c r="AR26" i="9"/>
  <c r="AQ26" i="9"/>
  <c r="AP26" i="9"/>
  <c r="AO26" i="9"/>
  <c r="AN26" i="9"/>
  <c r="AL26" i="9"/>
  <c r="AK26" i="9"/>
  <c r="AJ26" i="9"/>
  <c r="AI26" i="9"/>
  <c r="AH26" i="9"/>
  <c r="AG26" i="9"/>
  <c r="AE26" i="9"/>
  <c r="AD26" i="9"/>
  <c r="AC26" i="9"/>
  <c r="AB26" i="9"/>
  <c r="AA26" i="9"/>
  <c r="Z26" i="9"/>
  <c r="X26" i="9"/>
  <c r="W26" i="9"/>
  <c r="V26" i="9"/>
  <c r="U26" i="9"/>
  <c r="T26" i="9"/>
  <c r="S26" i="9"/>
  <c r="Q26" i="9"/>
  <c r="P26" i="9"/>
  <c r="O26" i="9"/>
  <c r="N26" i="9"/>
  <c r="M26" i="9"/>
  <c r="K26" i="9"/>
  <c r="J26" i="9"/>
  <c r="G26" i="9"/>
  <c r="F26" i="9"/>
  <c r="E26" i="9"/>
  <c r="D26" i="9"/>
  <c r="BS25" i="9"/>
  <c r="BR25" i="9"/>
  <c r="BQ25" i="9"/>
  <c r="BP25" i="9"/>
  <c r="BO25" i="9"/>
  <c r="BN25" i="9"/>
  <c r="BM25" i="9"/>
  <c r="BL25" i="9"/>
  <c r="BK25" i="9"/>
  <c r="BJ25" i="9"/>
  <c r="BH25" i="9"/>
  <c r="BG25" i="9"/>
  <c r="BF25" i="9"/>
  <c r="BE25" i="9"/>
  <c r="BD25" i="9"/>
  <c r="BC25" i="9"/>
  <c r="BB25" i="9"/>
  <c r="BA25" i="9"/>
  <c r="AZ25" i="9"/>
  <c r="AY25" i="9"/>
  <c r="AW25" i="9"/>
  <c r="AV25" i="9"/>
  <c r="AU25" i="9"/>
  <c r="AT25" i="9"/>
  <c r="AS25" i="9"/>
  <c r="AR25" i="9"/>
  <c r="AQ25" i="9"/>
  <c r="AP25" i="9"/>
  <c r="AO25" i="9"/>
  <c r="AN25" i="9"/>
  <c r="AL25" i="9"/>
  <c r="AK25" i="9"/>
  <c r="AJ25" i="9"/>
  <c r="AI25" i="9"/>
  <c r="AH25" i="9"/>
  <c r="AG25" i="9"/>
  <c r="AE25" i="9"/>
  <c r="AD25" i="9"/>
  <c r="AC25" i="9"/>
  <c r="AB25" i="9"/>
  <c r="AA25" i="9"/>
  <c r="Z25" i="9"/>
  <c r="X25" i="9"/>
  <c r="W25" i="9"/>
  <c r="V25" i="9"/>
  <c r="U25" i="9"/>
  <c r="T25" i="9"/>
  <c r="S25" i="9"/>
  <c r="Q25" i="9"/>
  <c r="P25" i="9"/>
  <c r="O25" i="9"/>
  <c r="N25" i="9"/>
  <c r="M25" i="9"/>
  <c r="K25" i="9"/>
  <c r="J25" i="9"/>
  <c r="G25" i="9"/>
  <c r="F25" i="9"/>
  <c r="E25" i="9"/>
  <c r="D25" i="9"/>
  <c r="BS24" i="9"/>
  <c r="BR24" i="9"/>
  <c r="BQ24" i="9"/>
  <c r="BP24" i="9"/>
  <c r="BO24" i="9"/>
  <c r="BN24" i="9"/>
  <c r="BM24" i="9"/>
  <c r="BL24" i="9"/>
  <c r="BK24" i="9"/>
  <c r="BJ24" i="9"/>
  <c r="BH24" i="9"/>
  <c r="BG24" i="9"/>
  <c r="BF24" i="9"/>
  <c r="BE24" i="9"/>
  <c r="BD24" i="9"/>
  <c r="BC24" i="9"/>
  <c r="BB24" i="9"/>
  <c r="BA24" i="9"/>
  <c r="AZ24" i="9"/>
  <c r="AY24" i="9"/>
  <c r="AW24" i="9"/>
  <c r="AV24" i="9"/>
  <c r="AU24" i="9"/>
  <c r="AT24" i="9"/>
  <c r="AS24" i="9"/>
  <c r="AR24" i="9"/>
  <c r="AQ24" i="9"/>
  <c r="AP24" i="9"/>
  <c r="AO24" i="9"/>
  <c r="AN24" i="9"/>
  <c r="AL24" i="9"/>
  <c r="AK24" i="9"/>
  <c r="AJ24" i="9"/>
  <c r="AI24" i="9"/>
  <c r="AH24" i="9"/>
  <c r="AG24" i="9"/>
  <c r="AE24" i="9"/>
  <c r="AD24" i="9"/>
  <c r="AC24" i="9"/>
  <c r="AB24" i="9"/>
  <c r="AA24" i="9"/>
  <c r="Z24" i="9"/>
  <c r="X24" i="9"/>
  <c r="W24" i="9"/>
  <c r="V24" i="9"/>
  <c r="U24" i="9"/>
  <c r="T24" i="9"/>
  <c r="S24" i="9"/>
  <c r="Q24" i="9"/>
  <c r="P24" i="9"/>
  <c r="O24" i="9"/>
  <c r="N24" i="9"/>
  <c r="M24" i="9"/>
  <c r="K24" i="9"/>
  <c r="J24" i="9"/>
  <c r="G24" i="9"/>
  <c r="F24" i="9"/>
  <c r="E24" i="9"/>
  <c r="D24" i="9"/>
  <c r="BS23" i="9"/>
  <c r="BR23" i="9"/>
  <c r="BQ23" i="9"/>
  <c r="BP23" i="9"/>
  <c r="BO23" i="9"/>
  <c r="BN23" i="9"/>
  <c r="BM23" i="9"/>
  <c r="BL23" i="9"/>
  <c r="BK23" i="9"/>
  <c r="BJ23" i="9"/>
  <c r="BH23" i="9"/>
  <c r="BG23" i="9"/>
  <c r="BF23" i="9"/>
  <c r="BE23" i="9"/>
  <c r="BD23" i="9"/>
  <c r="BC23" i="9"/>
  <c r="BB23" i="9"/>
  <c r="BA23" i="9"/>
  <c r="AZ23" i="9"/>
  <c r="AY23" i="9"/>
  <c r="AW23" i="9"/>
  <c r="AV23" i="9"/>
  <c r="AU23" i="9"/>
  <c r="AT23" i="9"/>
  <c r="AS23" i="9"/>
  <c r="AR23" i="9"/>
  <c r="AQ23" i="9"/>
  <c r="AP23" i="9"/>
  <c r="AO23" i="9"/>
  <c r="AN23" i="9"/>
  <c r="AL23" i="9"/>
  <c r="AK23" i="9"/>
  <c r="AJ23" i="9"/>
  <c r="AI23" i="9"/>
  <c r="AH23" i="9"/>
  <c r="AG23" i="9"/>
  <c r="AE23" i="9"/>
  <c r="AD23" i="9"/>
  <c r="AC23" i="9"/>
  <c r="AB23" i="9"/>
  <c r="AA23" i="9"/>
  <c r="Z23" i="9"/>
  <c r="X23" i="9"/>
  <c r="W23" i="9"/>
  <c r="V23" i="9"/>
  <c r="U23" i="9"/>
  <c r="T23" i="9"/>
  <c r="S23" i="9"/>
  <c r="Q23" i="9"/>
  <c r="P23" i="9"/>
  <c r="O23" i="9"/>
  <c r="N23" i="9"/>
  <c r="M23" i="9"/>
  <c r="K23" i="9"/>
  <c r="J23" i="9"/>
  <c r="G23" i="9"/>
  <c r="F23" i="9"/>
  <c r="E23" i="9"/>
  <c r="D23" i="9"/>
  <c r="BS22" i="9"/>
  <c r="BR22" i="9"/>
  <c r="BQ22" i="9"/>
  <c r="BP22" i="9"/>
  <c r="BO22" i="9"/>
  <c r="BN22" i="9"/>
  <c r="BM22" i="9"/>
  <c r="BL22" i="9"/>
  <c r="BK22" i="9"/>
  <c r="BJ22" i="9"/>
  <c r="BH22" i="9"/>
  <c r="BG22" i="9"/>
  <c r="BF22" i="9"/>
  <c r="BE22" i="9"/>
  <c r="BD22" i="9"/>
  <c r="BC22" i="9"/>
  <c r="BB22" i="9"/>
  <c r="BA22" i="9"/>
  <c r="AZ22" i="9"/>
  <c r="AY22" i="9"/>
  <c r="AW22" i="9"/>
  <c r="AV22" i="9"/>
  <c r="AU22" i="9"/>
  <c r="AT22" i="9"/>
  <c r="AS22" i="9"/>
  <c r="AR22" i="9"/>
  <c r="AQ22" i="9"/>
  <c r="AP22" i="9"/>
  <c r="AO22" i="9"/>
  <c r="AN22" i="9"/>
  <c r="AL22" i="9"/>
  <c r="AK22" i="9"/>
  <c r="AJ22" i="9"/>
  <c r="AI22" i="9"/>
  <c r="AH22" i="9"/>
  <c r="AG22" i="9"/>
  <c r="AE22" i="9"/>
  <c r="AD22" i="9"/>
  <c r="AC22" i="9"/>
  <c r="AB22" i="9"/>
  <c r="AA22" i="9"/>
  <c r="Z22" i="9"/>
  <c r="X22" i="9"/>
  <c r="W22" i="9"/>
  <c r="V22" i="9"/>
  <c r="U22" i="9"/>
  <c r="T22" i="9"/>
  <c r="S22" i="9"/>
  <c r="Q22" i="9"/>
  <c r="P22" i="9"/>
  <c r="O22" i="9"/>
  <c r="N22" i="9"/>
  <c r="M22" i="9"/>
  <c r="K22" i="9"/>
  <c r="J22" i="9"/>
  <c r="G22" i="9"/>
  <c r="F22" i="9"/>
  <c r="E22" i="9"/>
  <c r="D22" i="9"/>
  <c r="BS21" i="9"/>
  <c r="BR21" i="9"/>
  <c r="BQ21" i="9"/>
  <c r="BP21" i="9"/>
  <c r="BO21" i="9"/>
  <c r="BN21" i="9"/>
  <c r="BM21" i="9"/>
  <c r="BL21" i="9"/>
  <c r="BK21" i="9"/>
  <c r="BJ21" i="9"/>
  <c r="BH21" i="9"/>
  <c r="BG21" i="9"/>
  <c r="BF21" i="9"/>
  <c r="BE21" i="9"/>
  <c r="BD21" i="9"/>
  <c r="BC21" i="9"/>
  <c r="BB21" i="9"/>
  <c r="BA21" i="9"/>
  <c r="AZ21" i="9"/>
  <c r="AY21" i="9"/>
  <c r="AW21" i="9"/>
  <c r="AV21" i="9"/>
  <c r="AU21" i="9"/>
  <c r="AT21" i="9"/>
  <c r="AS21" i="9"/>
  <c r="AR21" i="9"/>
  <c r="AQ21" i="9"/>
  <c r="AP21" i="9"/>
  <c r="AO21" i="9"/>
  <c r="AN21" i="9"/>
  <c r="AL21" i="9"/>
  <c r="AK21" i="9"/>
  <c r="AJ21" i="9"/>
  <c r="AI21" i="9"/>
  <c r="AH21" i="9"/>
  <c r="AG21" i="9"/>
  <c r="AE21" i="9"/>
  <c r="AD21" i="9"/>
  <c r="AC21" i="9"/>
  <c r="AB21" i="9"/>
  <c r="AA21" i="9"/>
  <c r="Z21" i="9"/>
  <c r="X21" i="9"/>
  <c r="W21" i="9"/>
  <c r="V21" i="9"/>
  <c r="U21" i="9"/>
  <c r="T21" i="9"/>
  <c r="S21" i="9"/>
  <c r="Q21" i="9"/>
  <c r="P21" i="9"/>
  <c r="O21" i="9"/>
  <c r="N21" i="9"/>
  <c r="M21" i="9"/>
  <c r="K21" i="9"/>
  <c r="J21" i="9"/>
  <c r="G21" i="9"/>
  <c r="F21" i="9"/>
  <c r="E21" i="9"/>
  <c r="D21" i="9"/>
  <c r="BS20" i="9"/>
  <c r="BR20" i="9"/>
  <c r="BQ20" i="9"/>
  <c r="BP20" i="9"/>
  <c r="BO20" i="9"/>
  <c r="BN20" i="9"/>
  <c r="BM20" i="9"/>
  <c r="BL20" i="9"/>
  <c r="BK20" i="9"/>
  <c r="BJ20" i="9"/>
  <c r="BH20" i="9"/>
  <c r="BG20" i="9"/>
  <c r="BF20" i="9"/>
  <c r="BE20" i="9"/>
  <c r="BD20" i="9"/>
  <c r="BC20" i="9"/>
  <c r="BB20" i="9"/>
  <c r="BA20" i="9"/>
  <c r="AZ20" i="9"/>
  <c r="AY20" i="9"/>
  <c r="AW20" i="9"/>
  <c r="AV20" i="9"/>
  <c r="AU20" i="9"/>
  <c r="AT20" i="9"/>
  <c r="AS20" i="9"/>
  <c r="AR20" i="9"/>
  <c r="AQ20" i="9"/>
  <c r="AP20" i="9"/>
  <c r="AO20" i="9"/>
  <c r="AN20" i="9"/>
  <c r="AL20" i="9"/>
  <c r="AK20" i="9"/>
  <c r="AJ20" i="9"/>
  <c r="AI20" i="9"/>
  <c r="AH20" i="9"/>
  <c r="AG20" i="9"/>
  <c r="AE20" i="9"/>
  <c r="AD20" i="9"/>
  <c r="AC20" i="9"/>
  <c r="AB20" i="9"/>
  <c r="AA20" i="9"/>
  <c r="Z20" i="9"/>
  <c r="X20" i="9"/>
  <c r="W20" i="9"/>
  <c r="V20" i="9"/>
  <c r="U20" i="9"/>
  <c r="T20" i="9"/>
  <c r="S20" i="9"/>
  <c r="Q20" i="9"/>
  <c r="P20" i="9"/>
  <c r="O20" i="9"/>
  <c r="N20" i="9"/>
  <c r="M20" i="9"/>
  <c r="K20" i="9"/>
  <c r="J20" i="9"/>
  <c r="G20" i="9"/>
  <c r="F20" i="9"/>
  <c r="E20" i="9"/>
  <c r="D20" i="9"/>
  <c r="BS19" i="9"/>
  <c r="BR19" i="9"/>
  <c r="BQ19" i="9"/>
  <c r="BP19" i="9"/>
  <c r="BO19" i="9"/>
  <c r="BN19" i="9"/>
  <c r="BM19" i="9"/>
  <c r="BL19" i="9"/>
  <c r="BK19" i="9"/>
  <c r="BJ19" i="9"/>
  <c r="BH19" i="9"/>
  <c r="BG19" i="9"/>
  <c r="BF19" i="9"/>
  <c r="BE19" i="9"/>
  <c r="BD19" i="9"/>
  <c r="BC19" i="9"/>
  <c r="BB19" i="9"/>
  <c r="BA19" i="9"/>
  <c r="AZ19" i="9"/>
  <c r="AY19" i="9"/>
  <c r="AW19" i="9"/>
  <c r="AV19" i="9"/>
  <c r="AU19" i="9"/>
  <c r="AT19" i="9"/>
  <c r="AS19" i="9"/>
  <c r="AR19" i="9"/>
  <c r="AQ19" i="9"/>
  <c r="AP19" i="9"/>
  <c r="AO19" i="9"/>
  <c r="AN19" i="9"/>
  <c r="AL19" i="9"/>
  <c r="AK19" i="9"/>
  <c r="AJ19" i="9"/>
  <c r="AI19" i="9"/>
  <c r="AH19" i="9"/>
  <c r="AG19" i="9"/>
  <c r="AE19" i="9"/>
  <c r="AD19" i="9"/>
  <c r="AC19" i="9"/>
  <c r="AB19" i="9"/>
  <c r="AA19" i="9"/>
  <c r="Z19" i="9"/>
  <c r="X19" i="9"/>
  <c r="W19" i="9"/>
  <c r="V19" i="9"/>
  <c r="U19" i="9"/>
  <c r="T19" i="9"/>
  <c r="S19" i="9"/>
  <c r="Q19" i="9"/>
  <c r="P19" i="9"/>
  <c r="O19" i="9"/>
  <c r="N19" i="9"/>
  <c r="M19" i="9"/>
  <c r="K19" i="9"/>
  <c r="J19" i="9"/>
  <c r="G19" i="9"/>
  <c r="F19" i="9"/>
  <c r="E19" i="9"/>
  <c r="D19" i="9"/>
  <c r="BS18" i="9"/>
  <c r="BR18" i="9"/>
  <c r="BQ18" i="9"/>
  <c r="BP18" i="9"/>
  <c r="BO18" i="9"/>
  <c r="BN18" i="9"/>
  <c r="BM18" i="9"/>
  <c r="BL18" i="9"/>
  <c r="BK18" i="9"/>
  <c r="BJ18" i="9"/>
  <c r="BH18" i="9"/>
  <c r="BG18" i="9"/>
  <c r="BF18" i="9"/>
  <c r="BE18" i="9"/>
  <c r="BD18" i="9"/>
  <c r="BC18" i="9"/>
  <c r="BB18" i="9"/>
  <c r="BA18" i="9"/>
  <c r="AZ18" i="9"/>
  <c r="AY18" i="9"/>
  <c r="AW18" i="9"/>
  <c r="AV18" i="9"/>
  <c r="AU18" i="9"/>
  <c r="AT18" i="9"/>
  <c r="AS18" i="9"/>
  <c r="AR18" i="9"/>
  <c r="AQ18" i="9"/>
  <c r="AP18" i="9"/>
  <c r="AO18" i="9"/>
  <c r="AN18" i="9"/>
  <c r="AL18" i="9"/>
  <c r="AK18" i="9"/>
  <c r="AJ18" i="9"/>
  <c r="AI18" i="9"/>
  <c r="AH18" i="9"/>
  <c r="AG18" i="9"/>
  <c r="AE18" i="9"/>
  <c r="AD18" i="9"/>
  <c r="AC18" i="9"/>
  <c r="AB18" i="9"/>
  <c r="AA18" i="9"/>
  <c r="Z18" i="9"/>
  <c r="X18" i="9"/>
  <c r="W18" i="9"/>
  <c r="V18" i="9"/>
  <c r="U18" i="9"/>
  <c r="T18" i="9"/>
  <c r="S18" i="9"/>
  <c r="Q18" i="9"/>
  <c r="P18" i="9"/>
  <c r="O18" i="9"/>
  <c r="N18" i="9"/>
  <c r="M18" i="9"/>
  <c r="K18" i="9"/>
  <c r="J18" i="9"/>
  <c r="G18" i="9"/>
  <c r="F18" i="9"/>
  <c r="E18" i="9"/>
  <c r="D18" i="9"/>
  <c r="BS17" i="9"/>
  <c r="BR17" i="9"/>
  <c r="BQ17" i="9"/>
  <c r="BP17" i="9"/>
  <c r="BO17" i="9"/>
  <c r="BN17" i="9"/>
  <c r="BM17" i="9"/>
  <c r="BL17" i="9"/>
  <c r="BK17" i="9"/>
  <c r="BJ17" i="9"/>
  <c r="BH17" i="9"/>
  <c r="BG17" i="9"/>
  <c r="BF17" i="9"/>
  <c r="BE17" i="9"/>
  <c r="BD17" i="9"/>
  <c r="BC17" i="9"/>
  <c r="BB17" i="9"/>
  <c r="BA17" i="9"/>
  <c r="AZ17" i="9"/>
  <c r="AY17" i="9"/>
  <c r="AW17" i="9"/>
  <c r="AV17" i="9"/>
  <c r="AU17" i="9"/>
  <c r="AT17" i="9"/>
  <c r="AS17" i="9"/>
  <c r="AR17" i="9"/>
  <c r="AQ17" i="9"/>
  <c r="AP17" i="9"/>
  <c r="AO17" i="9"/>
  <c r="AN17" i="9"/>
  <c r="AL17" i="9"/>
  <c r="AK17" i="9"/>
  <c r="AJ17" i="9"/>
  <c r="AI17" i="9"/>
  <c r="AH17" i="9"/>
  <c r="AG17" i="9"/>
  <c r="AE17" i="9"/>
  <c r="AD17" i="9"/>
  <c r="AC17" i="9"/>
  <c r="AB17" i="9"/>
  <c r="AA17" i="9"/>
  <c r="Z17" i="9"/>
  <c r="X17" i="9"/>
  <c r="W17" i="9"/>
  <c r="V17" i="9"/>
  <c r="U17" i="9"/>
  <c r="T17" i="9"/>
  <c r="S17" i="9"/>
  <c r="Q17" i="9"/>
  <c r="P17" i="9"/>
  <c r="O17" i="9"/>
  <c r="N17" i="9"/>
  <c r="M17" i="9"/>
  <c r="K17" i="9"/>
  <c r="J17" i="9"/>
  <c r="G17" i="9"/>
  <c r="F17" i="9"/>
  <c r="E17" i="9"/>
  <c r="D17" i="9"/>
  <c r="BS16" i="9"/>
  <c r="BR16" i="9"/>
  <c r="BQ16" i="9"/>
  <c r="BP16" i="9"/>
  <c r="BO16" i="9"/>
  <c r="BN16" i="9"/>
  <c r="BM16" i="9"/>
  <c r="BL16" i="9"/>
  <c r="BK16" i="9"/>
  <c r="BJ16" i="9"/>
  <c r="BH16" i="9"/>
  <c r="BG16" i="9"/>
  <c r="BF16" i="9"/>
  <c r="BE16" i="9"/>
  <c r="BD16" i="9"/>
  <c r="BC16" i="9"/>
  <c r="BB16" i="9"/>
  <c r="BA16" i="9"/>
  <c r="AZ16" i="9"/>
  <c r="AY16" i="9"/>
  <c r="AW16" i="9"/>
  <c r="AV16" i="9"/>
  <c r="AU16" i="9"/>
  <c r="AT16" i="9"/>
  <c r="AS16" i="9"/>
  <c r="AR16" i="9"/>
  <c r="AQ16" i="9"/>
  <c r="AP16" i="9"/>
  <c r="AO16" i="9"/>
  <c r="AN16" i="9"/>
  <c r="AL16" i="9"/>
  <c r="AK16" i="9"/>
  <c r="AJ16" i="9"/>
  <c r="AI16" i="9"/>
  <c r="AH16" i="9"/>
  <c r="AG16" i="9"/>
  <c r="AE16" i="9"/>
  <c r="AD16" i="9"/>
  <c r="AC16" i="9"/>
  <c r="AB16" i="9"/>
  <c r="AA16" i="9"/>
  <c r="Z16" i="9"/>
  <c r="X16" i="9"/>
  <c r="W16" i="9"/>
  <c r="V16" i="9"/>
  <c r="U16" i="9"/>
  <c r="T16" i="9"/>
  <c r="S16" i="9"/>
  <c r="Q16" i="9"/>
  <c r="P16" i="9"/>
  <c r="O16" i="9"/>
  <c r="N16" i="9"/>
  <c r="M16" i="9"/>
  <c r="K16" i="9"/>
  <c r="J16" i="9"/>
  <c r="G16" i="9"/>
  <c r="F16" i="9"/>
  <c r="E16" i="9"/>
  <c r="D16" i="9"/>
  <c r="BS15" i="9"/>
  <c r="BR15" i="9"/>
  <c r="BQ15" i="9"/>
  <c r="BP15" i="9"/>
  <c r="BO15" i="9"/>
  <c r="BN15" i="9"/>
  <c r="BM15" i="9"/>
  <c r="BL15" i="9"/>
  <c r="BK15" i="9"/>
  <c r="BJ15" i="9"/>
  <c r="BH15" i="9"/>
  <c r="BG15" i="9"/>
  <c r="BF15" i="9"/>
  <c r="BE15" i="9"/>
  <c r="BD15" i="9"/>
  <c r="BC15" i="9"/>
  <c r="BB15" i="9"/>
  <c r="BA15" i="9"/>
  <c r="AZ15" i="9"/>
  <c r="AY15" i="9"/>
  <c r="AW15" i="9"/>
  <c r="AV15" i="9"/>
  <c r="AU15" i="9"/>
  <c r="AT15" i="9"/>
  <c r="AS15" i="9"/>
  <c r="AR15" i="9"/>
  <c r="AQ15" i="9"/>
  <c r="AP15" i="9"/>
  <c r="AO15" i="9"/>
  <c r="AN15" i="9"/>
  <c r="AL15" i="9"/>
  <c r="AK15" i="9"/>
  <c r="AJ15" i="9"/>
  <c r="AI15" i="9"/>
  <c r="AH15" i="9"/>
  <c r="AG15" i="9"/>
  <c r="AE15" i="9"/>
  <c r="AD15" i="9"/>
  <c r="AC15" i="9"/>
  <c r="AB15" i="9"/>
  <c r="AA15" i="9"/>
  <c r="Z15" i="9"/>
  <c r="X15" i="9"/>
  <c r="W15" i="9"/>
  <c r="V15" i="9"/>
  <c r="U15" i="9"/>
  <c r="T15" i="9"/>
  <c r="S15" i="9"/>
  <c r="Q15" i="9"/>
  <c r="P15" i="9"/>
  <c r="O15" i="9"/>
  <c r="N15" i="9"/>
  <c r="M15" i="9"/>
  <c r="K15" i="9"/>
  <c r="J15" i="9"/>
  <c r="G15" i="9"/>
  <c r="F15" i="9"/>
  <c r="E15" i="9"/>
  <c r="D15" i="9"/>
  <c r="BS14" i="9"/>
  <c r="BR14" i="9"/>
  <c r="BQ14" i="9"/>
  <c r="BP14" i="9"/>
  <c r="BO14" i="9"/>
  <c r="BN14" i="9"/>
  <c r="BM14" i="9"/>
  <c r="BL14" i="9"/>
  <c r="BK14" i="9"/>
  <c r="BJ14" i="9"/>
  <c r="BH14" i="9"/>
  <c r="BG14" i="9"/>
  <c r="BF14" i="9"/>
  <c r="BE14" i="9"/>
  <c r="BD14" i="9"/>
  <c r="BC14" i="9"/>
  <c r="BB14" i="9"/>
  <c r="BA14" i="9"/>
  <c r="AZ14" i="9"/>
  <c r="AY14" i="9"/>
  <c r="AW14" i="9"/>
  <c r="AV14" i="9"/>
  <c r="AU14" i="9"/>
  <c r="AT14" i="9"/>
  <c r="AS14" i="9"/>
  <c r="AR14" i="9"/>
  <c r="AQ14" i="9"/>
  <c r="AP14" i="9"/>
  <c r="AO14" i="9"/>
  <c r="AN14" i="9"/>
  <c r="AL14" i="9"/>
  <c r="AK14" i="9"/>
  <c r="AJ14" i="9"/>
  <c r="AI14" i="9"/>
  <c r="AH14" i="9"/>
  <c r="AG14" i="9"/>
  <c r="AE14" i="9"/>
  <c r="AD14" i="9"/>
  <c r="AC14" i="9"/>
  <c r="AB14" i="9"/>
  <c r="AA14" i="9"/>
  <c r="Z14" i="9"/>
  <c r="X14" i="9"/>
  <c r="W14" i="9"/>
  <c r="V14" i="9"/>
  <c r="U14" i="9"/>
  <c r="T14" i="9"/>
  <c r="S14" i="9"/>
  <c r="Q14" i="9"/>
  <c r="P14" i="9"/>
  <c r="O14" i="9"/>
  <c r="N14" i="9"/>
  <c r="M14" i="9"/>
  <c r="K14" i="9"/>
  <c r="J14" i="9"/>
  <c r="G14" i="9"/>
  <c r="F14" i="9"/>
  <c r="E14" i="9"/>
  <c r="D14" i="9"/>
  <c r="BS13" i="9"/>
  <c r="BR13" i="9"/>
  <c r="BQ13" i="9"/>
  <c r="BP13" i="9"/>
  <c r="BO13" i="9"/>
  <c r="BN13" i="9"/>
  <c r="BM13" i="9"/>
  <c r="BL13" i="9"/>
  <c r="BK13" i="9"/>
  <c r="BJ13" i="9"/>
  <c r="BH13" i="9"/>
  <c r="BG13" i="9"/>
  <c r="BF13" i="9"/>
  <c r="BE13" i="9"/>
  <c r="BD13" i="9"/>
  <c r="BC13" i="9"/>
  <c r="BB13" i="9"/>
  <c r="BA13" i="9"/>
  <c r="AZ13" i="9"/>
  <c r="AY13" i="9"/>
  <c r="AW13" i="9"/>
  <c r="AV13" i="9"/>
  <c r="AU13" i="9"/>
  <c r="AT13" i="9"/>
  <c r="AS13" i="9"/>
  <c r="AR13" i="9"/>
  <c r="AQ13" i="9"/>
  <c r="AP13" i="9"/>
  <c r="AO13" i="9"/>
  <c r="AN13" i="9"/>
  <c r="AL13" i="9"/>
  <c r="AK13" i="9"/>
  <c r="AJ13" i="9"/>
  <c r="AI13" i="9"/>
  <c r="AH13" i="9"/>
  <c r="AG13" i="9"/>
  <c r="AE13" i="9"/>
  <c r="AD13" i="9"/>
  <c r="AC13" i="9"/>
  <c r="AB13" i="9"/>
  <c r="AA13" i="9"/>
  <c r="Z13" i="9"/>
  <c r="X13" i="9"/>
  <c r="W13" i="9"/>
  <c r="V13" i="9"/>
  <c r="U13" i="9"/>
  <c r="T13" i="9"/>
  <c r="S13" i="9"/>
  <c r="Q13" i="9"/>
  <c r="P13" i="9"/>
  <c r="O13" i="9"/>
  <c r="N13" i="9"/>
  <c r="M13" i="9"/>
  <c r="K13" i="9"/>
  <c r="J13" i="9"/>
  <c r="G13" i="9"/>
  <c r="F13" i="9"/>
  <c r="E13" i="9"/>
  <c r="D13" i="9"/>
  <c r="DK12" i="9"/>
  <c r="DJ12" i="9"/>
  <c r="DI12" i="9"/>
  <c r="DH12" i="9"/>
  <c r="DG12" i="9"/>
  <c r="DF12" i="9"/>
  <c r="DE12" i="9"/>
  <c r="DD12" i="9"/>
  <c r="DC12" i="9"/>
  <c r="DB12" i="9"/>
  <c r="CZ12" i="9"/>
  <c r="CY12" i="9"/>
  <c r="CX12" i="9"/>
  <c r="CW12" i="9"/>
  <c r="CV12" i="9"/>
  <c r="CU12" i="9"/>
  <c r="CT12" i="9"/>
  <c r="CS12" i="9"/>
  <c r="CR12" i="9"/>
  <c r="CQ12" i="9"/>
  <c r="CO12" i="9"/>
  <c r="CN12" i="9"/>
  <c r="CM12" i="9"/>
  <c r="CL12" i="9"/>
  <c r="CK12" i="9"/>
  <c r="CJ12" i="9"/>
  <c r="CI12" i="9"/>
  <c r="CH12" i="9"/>
  <c r="CG12" i="9"/>
  <c r="CF12" i="9"/>
  <c r="BS12" i="9"/>
  <c r="BR12" i="9"/>
  <c r="BQ12" i="9"/>
  <c r="BP12" i="9"/>
  <c r="BO12" i="9"/>
  <c r="BN12" i="9"/>
  <c r="BM12" i="9"/>
  <c r="BL12" i="9"/>
  <c r="BK12" i="9"/>
  <c r="BJ12" i="9"/>
  <c r="BH12" i="9"/>
  <c r="BG12" i="9"/>
  <c r="BF12" i="9"/>
  <c r="BE12" i="9"/>
  <c r="BD12" i="9"/>
  <c r="BC12" i="9"/>
  <c r="BB12" i="9"/>
  <c r="BA12" i="9"/>
  <c r="AZ12" i="9"/>
  <c r="AY12" i="9"/>
  <c r="AW12" i="9"/>
  <c r="AV12" i="9"/>
  <c r="AU12" i="9"/>
  <c r="AT12" i="9"/>
  <c r="AS12" i="9"/>
  <c r="AR12" i="9"/>
  <c r="AQ12" i="9"/>
  <c r="AP12" i="9"/>
  <c r="AO12" i="9"/>
  <c r="AN12" i="9"/>
  <c r="AL12" i="9"/>
  <c r="AK12" i="9"/>
  <c r="AJ12" i="9"/>
  <c r="AI12" i="9"/>
  <c r="AH12" i="9"/>
  <c r="AG12" i="9"/>
  <c r="AE12" i="9"/>
  <c r="AD12" i="9"/>
  <c r="AC12" i="9"/>
  <c r="AB12" i="9"/>
  <c r="AA12" i="9"/>
  <c r="Z12" i="9"/>
  <c r="X12" i="9"/>
  <c r="W12" i="9"/>
  <c r="V12" i="9"/>
  <c r="U12" i="9"/>
  <c r="T12" i="9"/>
  <c r="S12" i="9"/>
  <c r="Q12" i="9"/>
  <c r="P12" i="9"/>
  <c r="O12" i="9"/>
  <c r="N12" i="9"/>
  <c r="M12" i="9"/>
  <c r="K12" i="9"/>
  <c r="J12" i="9"/>
  <c r="G12" i="9"/>
  <c r="F12" i="9"/>
  <c r="E12" i="9"/>
  <c r="D12" i="9"/>
  <c r="BS11" i="9"/>
  <c r="BR11" i="9"/>
  <c r="BQ11" i="9"/>
  <c r="BP11" i="9"/>
  <c r="BO11" i="9"/>
  <c r="BN11" i="9"/>
  <c r="BM11" i="9"/>
  <c r="BL11" i="9"/>
  <c r="BK11" i="9"/>
  <c r="BJ11" i="9"/>
  <c r="BH11" i="9"/>
  <c r="BG11" i="9"/>
  <c r="BF11" i="9"/>
  <c r="BE11" i="9"/>
  <c r="BD11" i="9"/>
  <c r="BC11" i="9"/>
  <c r="BB11" i="9"/>
  <c r="BA11" i="9"/>
  <c r="AZ11" i="9"/>
  <c r="AY11" i="9"/>
  <c r="AW11" i="9"/>
  <c r="AV11" i="9"/>
  <c r="AU11" i="9"/>
  <c r="AT11" i="9"/>
  <c r="AS11" i="9"/>
  <c r="AR11" i="9"/>
  <c r="AQ11" i="9"/>
  <c r="AP11" i="9"/>
  <c r="AO11" i="9"/>
  <c r="AN11" i="9"/>
  <c r="AL11" i="9"/>
  <c r="AK11" i="9"/>
  <c r="AJ11" i="9"/>
  <c r="AI11" i="9"/>
  <c r="AH11" i="9"/>
  <c r="AG11" i="9"/>
  <c r="AE11" i="9"/>
  <c r="AD11" i="9"/>
  <c r="AC11" i="9"/>
  <c r="AB11" i="9"/>
  <c r="AA11" i="9"/>
  <c r="Z11" i="9"/>
  <c r="X11" i="9"/>
  <c r="W11" i="9"/>
  <c r="V11" i="9"/>
  <c r="U11" i="9"/>
  <c r="T11" i="9"/>
  <c r="S11" i="9"/>
  <c r="Q11" i="9"/>
  <c r="P11" i="9"/>
  <c r="O11" i="9"/>
  <c r="N11" i="9"/>
  <c r="M11" i="9"/>
  <c r="K11" i="9"/>
  <c r="J11" i="9"/>
  <c r="G11" i="9"/>
  <c r="F11" i="9"/>
  <c r="E11" i="9"/>
  <c r="D11" i="9"/>
  <c r="BS10" i="9"/>
  <c r="BR10" i="9"/>
  <c r="BQ10" i="9"/>
  <c r="BP10" i="9"/>
  <c r="BO10" i="9"/>
  <c r="BN10" i="9"/>
  <c r="BM10" i="9"/>
  <c r="BL10" i="9"/>
  <c r="BK10" i="9"/>
  <c r="BJ10" i="9"/>
  <c r="BH10" i="9"/>
  <c r="BG10" i="9"/>
  <c r="BF10" i="9"/>
  <c r="BE10" i="9"/>
  <c r="BD10" i="9"/>
  <c r="BC10" i="9"/>
  <c r="BB10" i="9"/>
  <c r="BA10" i="9"/>
  <c r="AZ10" i="9"/>
  <c r="AY10" i="9"/>
  <c r="AW10" i="9"/>
  <c r="AV10" i="9"/>
  <c r="AU10" i="9"/>
  <c r="AT10" i="9"/>
  <c r="AS10" i="9"/>
  <c r="AR10" i="9"/>
  <c r="AQ10" i="9"/>
  <c r="AP10" i="9"/>
  <c r="AO10" i="9"/>
  <c r="AN10" i="9"/>
  <c r="AL10" i="9"/>
  <c r="AK10" i="9"/>
  <c r="AJ10" i="9"/>
  <c r="AI10" i="9"/>
  <c r="AH10" i="9"/>
  <c r="AG10" i="9"/>
  <c r="AE10" i="9"/>
  <c r="AD10" i="9"/>
  <c r="AC10" i="9"/>
  <c r="AB10" i="9"/>
  <c r="AA10" i="9"/>
  <c r="Z10" i="9"/>
  <c r="X10" i="9"/>
  <c r="W10" i="9"/>
  <c r="V10" i="9"/>
  <c r="U10" i="9"/>
  <c r="T10" i="9"/>
  <c r="S10" i="9"/>
  <c r="Q10" i="9"/>
  <c r="P10" i="9"/>
  <c r="O10" i="9"/>
  <c r="N10" i="9"/>
  <c r="M10" i="9"/>
  <c r="K10" i="9"/>
  <c r="J10" i="9"/>
  <c r="G10" i="9"/>
  <c r="F10" i="9"/>
  <c r="E10" i="9"/>
  <c r="D10" i="9"/>
  <c r="BS9" i="9"/>
  <c r="BR9" i="9"/>
  <c r="BQ9" i="9"/>
  <c r="BP9" i="9"/>
  <c r="BO9" i="9"/>
  <c r="BN9" i="9"/>
  <c r="BM9" i="9"/>
  <c r="BL9" i="9"/>
  <c r="BK9" i="9"/>
  <c r="BJ9" i="9"/>
  <c r="BH9" i="9"/>
  <c r="BG9" i="9"/>
  <c r="BF9" i="9"/>
  <c r="BE9" i="9"/>
  <c r="BD9" i="9"/>
  <c r="BC9" i="9"/>
  <c r="BB9" i="9"/>
  <c r="BA9" i="9"/>
  <c r="AZ9" i="9"/>
  <c r="AY9" i="9"/>
  <c r="AW9" i="9"/>
  <c r="AV9" i="9"/>
  <c r="AU9" i="9"/>
  <c r="AT9" i="9"/>
  <c r="AS9" i="9"/>
  <c r="AR9" i="9"/>
  <c r="AQ9" i="9"/>
  <c r="AP9" i="9"/>
  <c r="AO9" i="9"/>
  <c r="AN9" i="9"/>
  <c r="AL9" i="9"/>
  <c r="AK9" i="9"/>
  <c r="AJ9" i="9"/>
  <c r="AI9" i="9"/>
  <c r="AH9" i="9"/>
  <c r="AG9" i="9"/>
  <c r="AE9" i="9"/>
  <c r="AD9" i="9"/>
  <c r="AC9" i="9"/>
  <c r="AB9" i="9"/>
  <c r="AA9" i="9"/>
  <c r="Z9" i="9"/>
  <c r="X9" i="9"/>
  <c r="W9" i="9"/>
  <c r="V9" i="9"/>
  <c r="U9" i="9"/>
  <c r="T9" i="9"/>
  <c r="S9" i="9"/>
  <c r="Q9" i="9"/>
  <c r="P9" i="9"/>
  <c r="O9" i="9"/>
  <c r="N9" i="9"/>
  <c r="M9" i="9"/>
  <c r="K9" i="9"/>
  <c r="J9" i="9"/>
  <c r="G9" i="9"/>
  <c r="F9" i="9"/>
  <c r="E9" i="9"/>
  <c r="D9" i="9"/>
  <c r="BS8" i="9"/>
  <c r="BR8" i="9"/>
  <c r="BQ8" i="9"/>
  <c r="BP8" i="9"/>
  <c r="BO8" i="9"/>
  <c r="BN8" i="9"/>
  <c r="BM8" i="9"/>
  <c r="BL8" i="9"/>
  <c r="BK8" i="9"/>
  <c r="BJ8" i="9"/>
  <c r="BH8" i="9"/>
  <c r="BG8" i="9"/>
  <c r="BF8" i="9"/>
  <c r="BE8" i="9"/>
  <c r="BD8" i="9"/>
  <c r="BC8" i="9"/>
  <c r="BB8" i="9"/>
  <c r="BA8" i="9"/>
  <c r="AZ8" i="9"/>
  <c r="AY8" i="9"/>
  <c r="AW8" i="9"/>
  <c r="AV8" i="9"/>
  <c r="AU8" i="9"/>
  <c r="AT8" i="9"/>
  <c r="AS8" i="9"/>
  <c r="AR8" i="9"/>
  <c r="AQ8" i="9"/>
  <c r="AP8" i="9"/>
  <c r="AO8" i="9"/>
  <c r="AN8" i="9"/>
  <c r="AL8" i="9"/>
  <c r="AK8" i="9"/>
  <c r="AJ8" i="9"/>
  <c r="AI8" i="9"/>
  <c r="AH8" i="9"/>
  <c r="AG8" i="9"/>
  <c r="AE8" i="9"/>
  <c r="AD8" i="9"/>
  <c r="AC8" i="9"/>
  <c r="AB8" i="9"/>
  <c r="AA8" i="9"/>
  <c r="Z8" i="9"/>
  <c r="X8" i="9"/>
  <c r="W8" i="9"/>
  <c r="V8" i="9"/>
  <c r="U8" i="9"/>
  <c r="T8" i="9"/>
  <c r="S8" i="9"/>
  <c r="Q8" i="9"/>
  <c r="P8" i="9"/>
  <c r="O8" i="9"/>
  <c r="N8" i="9"/>
  <c r="M8" i="9"/>
  <c r="K8" i="9"/>
  <c r="J8" i="9"/>
  <c r="G8" i="9"/>
  <c r="F8" i="9"/>
  <c r="E8" i="9"/>
  <c r="D8" i="9"/>
  <c r="DV7" i="9"/>
  <c r="DU7" i="9"/>
  <c r="DT7" i="9"/>
  <c r="DS7" i="9"/>
  <c r="DR7" i="9"/>
  <c r="DQ7" i="9"/>
  <c r="DP7" i="9"/>
  <c r="DO7" i="9"/>
  <c r="DN7" i="9"/>
  <c r="DM7" i="9"/>
  <c r="DK7" i="9"/>
  <c r="DJ7" i="9"/>
  <c r="DI7" i="9"/>
  <c r="DH7" i="9"/>
  <c r="DG7" i="9"/>
  <c r="DF7" i="9"/>
  <c r="DE7" i="9"/>
  <c r="DD7" i="9"/>
  <c r="DC7" i="9"/>
  <c r="DB7" i="9"/>
  <c r="CZ7" i="9"/>
  <c r="CY7" i="9"/>
  <c r="CX7" i="9"/>
  <c r="CW7" i="9"/>
  <c r="CV7" i="9"/>
  <c r="CU7" i="9"/>
  <c r="CT7" i="9"/>
  <c r="CS7" i="9"/>
  <c r="CR7" i="9"/>
  <c r="CQ7" i="9"/>
  <c r="CO7" i="9"/>
  <c r="CN7" i="9"/>
  <c r="CM7" i="9"/>
  <c r="CL7" i="9"/>
  <c r="CK7" i="9"/>
  <c r="CJ7" i="9"/>
  <c r="CI7" i="9"/>
  <c r="CH7" i="9"/>
  <c r="CG7" i="9"/>
  <c r="CF7" i="9"/>
  <c r="BS7" i="9"/>
  <c r="BR7" i="9"/>
  <c r="BQ7" i="9"/>
  <c r="BP7" i="9"/>
  <c r="BO7" i="9"/>
  <c r="BN7" i="9"/>
  <c r="BM7" i="9"/>
  <c r="BL7" i="9"/>
  <c r="BK7" i="9"/>
  <c r="BJ7" i="9"/>
  <c r="BH7" i="9"/>
  <c r="BG7" i="9"/>
  <c r="BF7" i="9"/>
  <c r="BE7" i="9"/>
  <c r="BD7" i="9"/>
  <c r="BC7" i="9"/>
  <c r="BB7" i="9"/>
  <c r="BA7" i="9"/>
  <c r="AZ7" i="9"/>
  <c r="AY7" i="9"/>
  <c r="AW7" i="9"/>
  <c r="AV7" i="9"/>
  <c r="AU7" i="9"/>
  <c r="AT7" i="9"/>
  <c r="AS7" i="9"/>
  <c r="AR7" i="9"/>
  <c r="AQ7" i="9"/>
  <c r="AP7" i="9"/>
  <c r="AO7" i="9"/>
  <c r="AN7" i="9"/>
  <c r="AL7" i="9"/>
  <c r="AK7" i="9"/>
  <c r="AJ7" i="9"/>
  <c r="AI7" i="9"/>
  <c r="AH7" i="9"/>
  <c r="AG7" i="9"/>
  <c r="X7" i="9"/>
  <c r="W7" i="9"/>
  <c r="V7" i="9"/>
  <c r="U7" i="9"/>
  <c r="T7" i="9"/>
  <c r="S7" i="9"/>
  <c r="Q7" i="9"/>
  <c r="P7" i="9"/>
  <c r="O7" i="9"/>
  <c r="N7" i="9"/>
  <c r="M7" i="9"/>
  <c r="K7" i="9"/>
  <c r="J7" i="9"/>
  <c r="G7" i="9"/>
  <c r="F7" i="9"/>
  <c r="E7" i="9"/>
  <c r="D7" i="9"/>
  <c r="DV6" i="9"/>
  <c r="DU6" i="9"/>
  <c r="DT6" i="9"/>
  <c r="DS6" i="9"/>
  <c r="DR6" i="9"/>
  <c r="DQ6" i="9"/>
  <c r="DP6" i="9"/>
  <c r="DO6" i="9"/>
  <c r="DN6" i="9"/>
  <c r="DM6" i="9"/>
  <c r="DK6" i="9"/>
  <c r="DJ6" i="9"/>
  <c r="DI6" i="9"/>
  <c r="DH6" i="9"/>
  <c r="DG6" i="9"/>
  <c r="DF6" i="9"/>
  <c r="DE6" i="9"/>
  <c r="DD6" i="9"/>
  <c r="DC6" i="9"/>
  <c r="DB6" i="9"/>
  <c r="CZ6" i="9"/>
  <c r="CY6" i="9"/>
  <c r="CX6" i="9"/>
  <c r="CW6" i="9"/>
  <c r="CV6" i="9"/>
  <c r="CU6" i="9"/>
  <c r="CT6" i="9"/>
  <c r="CS6" i="9"/>
  <c r="CR6" i="9"/>
  <c r="CQ6" i="9"/>
  <c r="CO6" i="9"/>
  <c r="CN6" i="9"/>
  <c r="CM6" i="9"/>
  <c r="CL6" i="9"/>
  <c r="CK6" i="9"/>
  <c r="CJ6" i="9"/>
  <c r="CI6" i="9"/>
  <c r="CH6" i="9"/>
  <c r="CG6" i="9"/>
  <c r="CF6" i="9"/>
  <c r="BS6" i="9"/>
  <c r="BR6" i="9"/>
  <c r="BQ6" i="9"/>
  <c r="BP6" i="9"/>
  <c r="BO6" i="9"/>
  <c r="BN6" i="9"/>
  <c r="BM6" i="9"/>
  <c r="BL6" i="9"/>
  <c r="BK6" i="9"/>
  <c r="BJ6" i="9"/>
  <c r="BH6" i="9"/>
  <c r="BG6" i="9"/>
  <c r="BF6" i="9"/>
  <c r="BE6" i="9"/>
  <c r="BD6" i="9"/>
  <c r="BC6" i="9"/>
  <c r="BB6" i="9"/>
  <c r="BA6" i="9"/>
  <c r="AZ6" i="9"/>
  <c r="AY6" i="9"/>
  <c r="AW6" i="9"/>
  <c r="AV6" i="9"/>
  <c r="AU6" i="9"/>
  <c r="AT6" i="9"/>
  <c r="AS6" i="9"/>
  <c r="AR6" i="9"/>
  <c r="AQ6" i="9"/>
  <c r="AP6" i="9"/>
  <c r="AO6" i="9"/>
  <c r="AN6" i="9"/>
  <c r="AL6" i="9"/>
  <c r="AK6" i="9"/>
  <c r="AJ6" i="9"/>
  <c r="AI6" i="9"/>
  <c r="AH6" i="9"/>
  <c r="AG6" i="9"/>
  <c r="AE6" i="9"/>
  <c r="AD6" i="9"/>
  <c r="AC6" i="9"/>
  <c r="AB6" i="9"/>
  <c r="AA6" i="9"/>
  <c r="Z6" i="9"/>
  <c r="X6" i="9"/>
  <c r="W6" i="9"/>
  <c r="V6" i="9"/>
  <c r="U6" i="9"/>
  <c r="T6" i="9"/>
  <c r="S6" i="9"/>
  <c r="Q6" i="9"/>
  <c r="P6" i="9"/>
  <c r="O6" i="9"/>
  <c r="N6" i="9"/>
  <c r="M6" i="9"/>
  <c r="K6" i="9"/>
  <c r="J6" i="9"/>
  <c r="G6" i="9"/>
  <c r="F6" i="9"/>
  <c r="E6" i="9"/>
  <c r="D6" i="9"/>
  <c r="AW5" i="9"/>
  <c r="AV5" i="9"/>
  <c r="AU5" i="9"/>
  <c r="AT5" i="9"/>
  <c r="AS5" i="9"/>
  <c r="AR5" i="9"/>
  <c r="AQ5" i="9"/>
  <c r="AP5" i="9"/>
  <c r="AO5" i="9"/>
  <c r="AN5" i="9"/>
  <c r="AL5" i="9"/>
  <c r="AK5" i="9"/>
  <c r="AJ5" i="9"/>
  <c r="AI5" i="9"/>
  <c r="AH5" i="9"/>
  <c r="AG5" i="9"/>
  <c r="AE5" i="9"/>
  <c r="AD5" i="9"/>
  <c r="AC5" i="9"/>
  <c r="AB5" i="9"/>
  <c r="AA5" i="9"/>
  <c r="Z5" i="9"/>
  <c r="X5" i="9"/>
  <c r="W5" i="9"/>
  <c r="V5" i="9"/>
  <c r="U5" i="9"/>
  <c r="T5" i="9"/>
  <c r="S5" i="9"/>
  <c r="Q5" i="9"/>
  <c r="P5" i="9"/>
  <c r="O5" i="9"/>
  <c r="N5" i="9"/>
  <c r="M5" i="9"/>
  <c r="K5" i="9"/>
  <c r="J5" i="9"/>
  <c r="G5" i="9"/>
  <c r="F5" i="9"/>
  <c r="E5" i="9"/>
  <c r="D5" i="9"/>
  <c r="DK4" i="9"/>
  <c r="DJ4" i="9"/>
  <c r="DI4" i="9"/>
  <c r="DH4" i="9"/>
  <c r="DG4" i="9"/>
  <c r="DF4" i="9"/>
  <c r="DE4" i="9"/>
  <c r="DD4" i="9"/>
  <c r="DC4" i="9"/>
  <c r="DB4" i="9"/>
  <c r="CZ4" i="9"/>
  <c r="CY4" i="9"/>
  <c r="CX4" i="9"/>
  <c r="CW4" i="9"/>
  <c r="CV4" i="9"/>
  <c r="CU4" i="9"/>
  <c r="CT4" i="9"/>
  <c r="CS4" i="9"/>
  <c r="CR4" i="9"/>
  <c r="CQ4" i="9"/>
  <c r="CO4" i="9"/>
  <c r="CN4" i="9"/>
  <c r="CM4" i="9"/>
  <c r="CL4" i="9"/>
  <c r="CK4" i="9"/>
  <c r="CJ4" i="9"/>
  <c r="CI4" i="9"/>
  <c r="CH4" i="9"/>
  <c r="CG4" i="9"/>
  <c r="CF4" i="9"/>
  <c r="CD4" i="9"/>
  <c r="CC4" i="9"/>
  <c r="CB4" i="9"/>
  <c r="CA4" i="9"/>
  <c r="BZ4" i="9"/>
  <c r="BY4" i="9"/>
  <c r="BX4" i="9"/>
  <c r="BW4" i="9"/>
  <c r="BV4" i="9"/>
  <c r="BU4" i="9"/>
  <c r="BS4" i="9"/>
  <c r="BR4" i="9"/>
  <c r="BQ4" i="9"/>
  <c r="BP4" i="9"/>
  <c r="BO4" i="9"/>
  <c r="BN4" i="9"/>
  <c r="BM4" i="9"/>
  <c r="BL4" i="9"/>
  <c r="BK4" i="9"/>
  <c r="BJ4" i="9"/>
  <c r="AW4" i="9"/>
  <c r="AV4" i="9"/>
  <c r="AU4" i="9"/>
  <c r="AT4" i="9"/>
  <c r="AS4" i="9"/>
  <c r="AR4" i="9"/>
  <c r="AQ4" i="9"/>
  <c r="AP4" i="9"/>
  <c r="AO4" i="9"/>
  <c r="AN4" i="9"/>
  <c r="AL4" i="9"/>
  <c r="AK4" i="9"/>
  <c r="AJ4" i="9"/>
  <c r="AI4" i="9"/>
  <c r="AH4" i="9"/>
  <c r="AG4" i="9"/>
  <c r="AE4" i="9"/>
  <c r="AD4" i="9"/>
  <c r="AC4" i="9"/>
  <c r="AB4" i="9"/>
  <c r="AA4" i="9"/>
  <c r="Z4" i="9"/>
  <c r="X4" i="9"/>
  <c r="W4" i="9"/>
  <c r="V4" i="9"/>
  <c r="U4" i="9"/>
  <c r="T4" i="9"/>
  <c r="S4" i="9"/>
  <c r="Q4" i="9"/>
  <c r="P4" i="9"/>
  <c r="O4" i="9"/>
  <c r="N4" i="9"/>
  <c r="M4" i="9"/>
  <c r="K4" i="9"/>
  <c r="J4" i="9"/>
  <c r="G4" i="9"/>
  <c r="F4" i="9"/>
  <c r="E4" i="9"/>
  <c r="D4" i="9"/>
</calcChain>
</file>

<file path=xl/sharedStrings.xml><?xml version="1.0" encoding="utf-8"?>
<sst xmlns="http://schemas.openxmlformats.org/spreadsheetml/2006/main" count="1783" uniqueCount="403">
  <si>
    <t>Name</t>
  </si>
  <si>
    <t>url</t>
  </si>
  <si>
    <t>pay_later_url</t>
  </si>
  <si>
    <t>https://www.samsung.com/us/financing/</t>
  </si>
  <si>
    <t>free_shipping_url</t>
  </si>
  <si>
    <t>https://www.samsung.com/us/support/order-faqs/#SHIPPINGANDPAYMENTS</t>
  </si>
  <si>
    <t>google_play_url</t>
  </si>
  <si>
    <t>https://play.google.com/store/apps/details</t>
  </si>
  <si>
    <t>apple_url</t>
  </si>
  <si>
    <t>https://apps.apple.com/app/apple-store/id1274679179</t>
  </si>
  <si>
    <t>mobile_button_url</t>
  </si>
  <si>
    <t>https://www.samsung.com/us/smartphones/</t>
  </si>
  <si>
    <t>tv_audio_button_url</t>
  </si>
  <si>
    <t>https://www.samsung.com/us/tvs/</t>
  </si>
  <si>
    <t>computing_button_url</t>
  </si>
  <si>
    <t>https://www.samsung.com/us/computing/</t>
  </si>
  <si>
    <t>appliances_button_url</t>
  </si>
  <si>
    <t>https://www.samsung.com/us/home-appliances/</t>
  </si>
  <si>
    <t>weekly_offer_button_url</t>
  </si>
  <si>
    <t>https://www.samsung.com/us/shop/all-deals/</t>
  </si>
  <si>
    <t>facebook_url</t>
  </si>
  <si>
    <t>https://www.facebook.com/SamsungUS</t>
  </si>
  <si>
    <t>instagram_url</t>
  </si>
  <si>
    <t>https://www.instagram.com/samsungus/</t>
  </si>
  <si>
    <t>twitter_url</t>
  </si>
  <si>
    <t>https://twitter.com/samsungus</t>
  </si>
  <si>
    <t>youtube_url</t>
  </si>
  <si>
    <t>https://www.youtube.com/user/samsungmobileusa</t>
  </si>
  <si>
    <t>MB</t>
  </si>
  <si>
    <t>Reserver</t>
  </si>
  <si>
    <t>DD</t>
  </si>
  <si>
    <t>MB_Note</t>
  </si>
  <si>
    <t>Placement</t>
  </si>
  <si>
    <t>Image</t>
  </si>
  <si>
    <t>Headline</t>
  </si>
  <si>
    <t>Subheadline</t>
  </si>
  <si>
    <t>SubCopy</t>
  </si>
  <si>
    <t>CTA</t>
  </si>
  <si>
    <t>URL</t>
  </si>
  <si>
    <t>Deeplink Reserver</t>
  </si>
  <si>
    <t>Deeplink Non-Reserver</t>
  </si>
  <si>
    <t>Top Hero</t>
  </si>
  <si>
    <t>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t>
  </si>
  <si>
    <t>Gift Guide banner</t>
  </si>
  <si>
    <t>Give-wonder-500xV.jpg</t>
  </si>
  <si>
    <t>The gift that keeps on giving</t>
  </si>
  <si>
    <t>Discover even more exclusive offers on your favorite products and unlock the power of smart and savvy gifting.</t>
  </si>
  <si>
    <t>Shop now</t>
  </si>
  <si>
    <t>https://www.samsung.com/us/gift-ideas/</t>
  </si>
  <si>
    <t>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</si>
  <si>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t>
  </si>
  <si>
    <t>DD Offer Subheadline (PRICING/OFFER END DATES ONLY)</t>
  </si>
  <si>
    <t>DD offer Subcopy</t>
  </si>
  <si>
    <t>DD CTA</t>
  </si>
  <si>
    <t>Deeplink</t>
  </si>
  <si>
    <t>Buy now</t>
  </si>
  <si>
    <t>Note20 F: up to $550 trade-in credit/$200 IR-Get up to 75% off Galaxy Note 20 5G or Note 20 Ultra 5G</t>
  </si>
  <si>
    <t>22_IM_HeadImage_MB_Note-500xV.jpg</t>
  </si>
  <si>
    <r>
      <t>Now from only $6.95/mo for 36 mos</t>
    </r>
    <r>
      <rPr>
        <vertAlign val="superscript"/>
        <sz val="11"/>
        <rFont val="Calibri"/>
        <family val="2"/>
        <scheme val="minor"/>
      </rPr>
      <t>⊕</t>
    </r>
    <r>
      <rPr>
        <sz val="11"/>
        <rFont val="Calibri"/>
        <family val="2"/>
        <scheme val="minor"/>
      </rPr>
      <t xml:space="preserve"> or $249.99 with eligible trade-in.ᶿ</t>
    </r>
  </si>
  <si>
    <t xml:space="preserve">Get $200 off instantly and up to $550 trade-in creditᶿ with our best Galaxy Note20 5G series offer of the year. For a limited time. </t>
  </si>
  <si>
    <t>https://www.samsung.com/us/smartphones/galaxy-note20-5g/buy/</t>
  </si>
  <si>
    <t xml:space="preserve"> Fold 2 5G: up to $100 trade-in credit-Get up to 50% off Galaxy Z Fold2 5G </t>
  </si>
  <si>
    <t>23_IM_HeadImage_MB_Fold-500xV.jpg</t>
  </si>
  <si>
    <r>
      <t>Now from only $20.84/mo for 48 mos</t>
    </r>
    <r>
      <rPr>
        <vertAlign val="superscript"/>
        <sz val="11"/>
        <rFont val="Calibri"/>
        <family val="2"/>
        <scheme val="minor"/>
      </rPr>
      <t>⊕</t>
    </r>
    <r>
      <rPr>
        <sz val="11"/>
        <rFont val="Calibri"/>
        <family val="2"/>
        <scheme val="minor"/>
      </rPr>
      <t xml:space="preserve"> or $999.99 with eligible trade-in.ᶿ</t>
    </r>
  </si>
  <si>
    <t>https://www.samsung.com/us/smartphones/galaxy-z-fold2-5g/buy/</t>
  </si>
  <si>
    <t>Get 50% off Galaxy A71 5G with T-Mobile and Verizon</t>
  </si>
  <si>
    <t>24-IM-A71-A51-HeadImage-500xV.jpg</t>
  </si>
  <si>
    <t>https://www.samsung.com/us/mobile/phones/galaxy-a/buy/?link=galaxy-a71-5g</t>
  </si>
  <si>
    <t>https://shopsamsung.page.link?link=https%3A%2F%2Fwww.samsung.com%2Fus%2Fsmartphones%2Fgalaxy-note20-5g%2Fbuy%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note20-5g%2Findex.html%23utm_source%3Dsamsung%23utm_medium%3Demail%23utm_campaign%3Dholiday_deals_t3_11172020%23marsLinkCategory%3D__MARSTRACKING__%23MKM_RID%3D__BPNUMBER__%23MKM_MID%3D__DELIVERNAME__%23cid%3D__CID____SEGMENTCODE__%23bpid%3D__BPNUMBER__&amp;afl=https%3A%2F%2Fwww.samsung.com%2Fus%2Fsmartphones%2Fgalaxy-note20-5g%2Fbuy%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</si>
  <si>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martphones%2Fgalaxy-z-fold2-5g%2Fbuy%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</si>
  <si>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mobile%2Fphones%2Fgalaxy-a%2Fbuy%2F%3Flink%3Dgalaxy-a71-5g%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utm_source%3Dsamsung%26utm_medium%3Demail%26utm_campaign%3Dholiday_deals_t3_11172020%26marsLinkCategory%3D__MARSTRACKING__%26MKM_RID%3D__BPNUMBER__%26MKM_MID%3D__DELIVERNAME__%26cid%3D__CID____SEGMENTCODE__%26bpid%3D__BPNUMBER__&amp;efr=1</t>
  </si>
  <si>
    <t>Subcopy</t>
  </si>
  <si>
    <t>IM_HeadImage_Shop_Phones_500xV.jpg</t>
  </si>
  <si>
    <t>Shop all</t>
  </si>
  <si>
    <t>https://www.samsung.com/us/shop/all-deals/cell-phone-deals/</t>
  </si>
  <si>
    <t>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t>
  </si>
  <si>
    <t>HE_HeadImage_Shop_TVs_500xV.jpg</t>
  </si>
  <si>
    <t>https://www.samsung.com/us/shop/all-deals/tv-and-home-theater-deals/</t>
  </si>
  <si>
    <t>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t>
  </si>
  <si>
    <t>https://www.samsung.com/us/shop/all-deals/tablets-wearables-cell-phone-accessories-deals/</t>
  </si>
  <si>
    <t>CE_HeadImage_Computing_500xV.jpg</t>
  </si>
  <si>
    <t>https://www.samsung.com/us/shop/all-deals/laptop-and-computer-deals/</t>
  </si>
  <si>
    <t>HA_HeadImage_Shop_HA_500xV.jpg</t>
  </si>
  <si>
    <t>https://www.samsung.com/us/shop/all-deals/home-appliance-and-smart-home-sales/</t>
  </si>
  <si>
    <t>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</si>
  <si>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</si>
  <si>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</si>
  <si>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</si>
  <si>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t>
  </si>
  <si>
    <t>urlsegment</t>
  </si>
  <si>
    <t>marsLinkCategory_type</t>
  </si>
  <si>
    <t>cid_type</t>
  </si>
  <si>
    <t>offerCID</t>
  </si>
  <si>
    <t>earlyAccess</t>
  </si>
  <si>
    <t>mphone:other</t>
  </si>
  <si>
    <t>utm_source</t>
  </si>
  <si>
    <t>samsung</t>
  </si>
  <si>
    <t>mphone:mphone</t>
  </si>
  <si>
    <t>utm_medium</t>
  </si>
  <si>
    <t>email</t>
  </si>
  <si>
    <t>tv:other</t>
  </si>
  <si>
    <t>utm_campaign</t>
  </si>
  <si>
    <t>holiday_deals_t3_11172020</t>
  </si>
  <si>
    <t>home_app:other</t>
  </si>
  <si>
    <t>marsLinkCategory</t>
  </si>
  <si>
    <t>homeapp:other</t>
  </si>
  <si>
    <t>cid</t>
  </si>
  <si>
    <t>cpu:other</t>
  </si>
  <si>
    <t>general:general</t>
  </si>
  <si>
    <t>mphone:tablet</t>
  </si>
  <si>
    <t>GREEN = NEW FOR T3</t>
  </si>
  <si>
    <t>BLACK = FROM PREVIOUS TOUCH</t>
  </si>
  <si>
    <t>GRAY = OFFER LIVE, BUT NOT FT IN DD = NO VISUAL ASSETS NEEDED</t>
  </si>
  <si>
    <t>RESERVERS</t>
  </si>
  <si>
    <t>NON RESERVERS</t>
  </si>
  <si>
    <t>Category</t>
  </si>
  <si>
    <t>Sub Category</t>
  </si>
  <si>
    <t>Offer</t>
  </si>
  <si>
    <t>DD CTA 2</t>
  </si>
  <si>
    <t>URL 2</t>
  </si>
  <si>
    <t>Deeplink 2</t>
  </si>
  <si>
    <t>https://shopsamsung.page.link?link=https%3A%2F%2Fwww.samsung.com%2Fus%2Fsmartphones%2Fgalaxy-note20-5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note20-5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note20-5g%2Fbuy%2F%3FofferCID%3DearlyAccess%26utm_source%3Dsamsung%26utm_medium%3Demail%26utm_campaign%3Dholiday_deals_t3_11172020%26marsLinkCategory%3D__MARSTRACKING__%26MKM_RID%3D__BPNUMBER__%26MKM_MID%3D__DELIVERNAME__%26cid%3D__CID____SEGMENTCODE__%26bpid%3D__BPNUMBER__&amp;efr=1</t>
  </si>
  <si>
    <t>NULL</t>
  </si>
  <si>
    <t>S20 F: Get up to 80% off</t>
  </si>
  <si>
    <t>21_IM_HeadImage_MB_Galaxy-500xV.jpg</t>
  </si>
  <si>
    <r>
      <t>Now from only $5.84/mo for 24 mos</t>
    </r>
    <r>
      <rPr>
        <vertAlign val="superscript"/>
        <sz val="11"/>
        <rFont val="Calibri"/>
        <family val="2"/>
        <scheme val="minor"/>
      </rPr>
      <t>⊕</t>
    </r>
    <r>
      <rPr>
        <sz val="11"/>
        <rFont val="Calibri"/>
        <family val="2"/>
        <scheme val="minor"/>
      </rPr>
      <t xml:space="preserve"> or $139.99 with eligible trade-in.ᶿ</t>
    </r>
  </si>
  <si>
    <t xml:space="preserve">Get up to $200 off instantly and up to $460 trade-in creditᶿ with our best Galaxy S20 5G series offer of the year. For a limited time. </t>
  </si>
  <si>
    <t>https://www.samsung.com/us/mobile/galaxy-s20-5g/buy/</t>
  </si>
  <si>
    <t>https://shopsamsung.page.link?link=https%3A%2F%2Fwww.samsung.com%2Fus%2Fmobile%2Fgalaxy-s20-5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s20-5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galaxy-s20-5g%2Fbuy%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</si>
  <si>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mobile%2Fgalaxy-s20-5g%2Fbuy%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s20-5g%2Findex.html%23utm_source%3Dsamsung%23utm_medium%3Demail%23utm_campaign%3Dholiday_deals_t3_11172020%23marsLinkCategory%3D__MARSTRACKING__%23MKM_RID%3D__BPNUMBER__%23MKM_MID%3D__DELIVERNAME__%23cid%3D__CID____SEGMENTCODE__%23bpid%3D__BPNUMBER__&amp;afl=https%3A%2F%2Fwww.samsung.com%2Fus%2Fmobile%2Fgalaxy-s20-5g%2Fbuy%2F%3Futm_source%3Dsamsung%26utm_medium%3Demail%26utm_campaign%3Dholiday_deals_t3_11172020%26marsLinkCategory%3D__MARSTRACKING__%26MKM_RID%3D__BPNUMBER__%26MKM_MID%3D__DELIVERNAME__%26cid%3D__CID____SEGMENTCODE__%26bpid%3D__BPNUMBER__&amp;efr=1</t>
  </si>
  <si>
    <r>
      <t>Our best Galaxy Z Fold2 5G offer of the year. Get up to $1000 trade-in credit.ᶿ Plus, get up to $120 instant credit toward accessories.</t>
    </r>
    <r>
      <rPr>
        <vertAlign val="superscript"/>
        <sz val="11"/>
        <rFont val="Calibri"/>
        <family val="2"/>
        <scheme val="minor"/>
      </rPr>
      <t>§‡</t>
    </r>
    <r>
      <rPr>
        <sz val="11"/>
        <rFont val="Calibri"/>
        <family val="2"/>
        <scheme val="minor"/>
      </rPr>
      <t xml:space="preserve"> For a limited time. </t>
    </r>
  </si>
  <si>
    <t>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t>
  </si>
  <si>
    <t xml:space="preserve">Save up to $250 instantly and get $75 or more trade-in credit. Treat yourself to blazing fast 5G speeds and incredible features at an amazing value. </t>
  </si>
  <si>
    <t>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t>
  </si>
  <si>
    <t>GREEN = REVISED FROM T2</t>
  </si>
  <si>
    <t>Subhead</t>
  </si>
  <si>
    <t>CTA 2</t>
  </si>
  <si>
    <t>RESERVERS - Generic Version Shop phones (1 module)</t>
  </si>
  <si>
    <t>Save up to $1000 instantly on the latest and greatest Galaxy smartphones</t>
  </si>
  <si>
    <r>
      <t>Black Friday prices and trade-in values are in full effect, giving you access to some of our best offers of the year on  Galaxy Note20 5G, S20 FE 5G, Z Fold2 5G and select A series devices.
Plus, get $50 or more instant credit toward accessories with any smartphone purchase to complete your Galaxy Ecosystem.</t>
    </r>
    <r>
      <rPr>
        <vertAlign val="superscript"/>
        <sz val="11"/>
        <color theme="1"/>
        <rFont val="Calibri"/>
        <family val="2"/>
        <scheme val="minor"/>
      </rPr>
      <t>‡†</t>
    </r>
  </si>
  <si>
    <t>X</t>
  </si>
  <si>
    <t>NON - RESERVERS - Generic Version Shop phones (1 module)</t>
  </si>
  <si>
    <t>Black Friday prices and trade-in values are in full effect, giving you access to some of our best offers of the year on  Galaxy Note20 5G, S20 FE 5G, Z Fold2 5G and select A series devices.
Plus, get $30 or more instant credit toward accessories with any smartphone purchase to complete your Galaxy Ecosystem.†</t>
  </si>
  <si>
    <t>Generic Version Shop all TVs (1 module)</t>
  </si>
  <si>
    <t>Get up to $3000 off select 8K, 4K and Lifestyle TVs</t>
  </si>
  <si>
    <t xml:space="preserve">Discover the mind-blowing, true-to-live resolution of QLED technology.
Save up to $3000 on 8K TVs, up to $1800 on select 4K TVs, up to $1300 on Lifestyle TVs and up to $400 on select soundbars and more. 
Plus, buy and try select Lifestyle TVs, soundbars and The Premiere Projector with our new 100-day, risk-free trial. </t>
  </si>
  <si>
    <t>Generic Version Shop all Appliances (1 module)</t>
  </si>
  <si>
    <t>Save up to 50% on everything you need to upgrade your home and home care</t>
  </si>
  <si>
    <r>
      <t>Complete your domestic oasis or prepare for holiday festivities, and even the clean up that comes after, today. 
Get an additional 10% off when you buy 4 or more eligible kitchen appliances. Save even more with early Black Friday prices for select categories.</t>
    </r>
    <r>
      <rPr>
        <vertAlign val="superscript"/>
        <sz val="11"/>
        <color theme="1"/>
        <rFont val="Calibri"/>
        <family val="2"/>
        <scheme val="minor"/>
      </rPr>
      <t>α</t>
    </r>
    <r>
      <rPr>
        <sz val="11"/>
        <color theme="1"/>
        <rFont val="Calibri"/>
        <family val="2"/>
        <scheme val="minor"/>
      </rPr>
      <t xml:space="preserve"> 
Plus, buy and try a Jet Stick Cordless Vacuum with our new 100-day, risk-free trial. </t>
    </r>
  </si>
  <si>
    <t>Generic Version Shop all wearables (1 module)</t>
  </si>
  <si>
    <t>ME_HeadImage_Wearables_500xV.jpg</t>
  </si>
  <si>
    <t>Get up to $100 off select watches and earbuds</t>
  </si>
  <si>
    <t>Shop our exclusive Black Friday offers on Galaxy Watch3 Titanium, Watch3, Buds+ and more, suited for every lifestyle and every holiday shopping budget. 
Plus, now you can flex your fashion muscles with the new Samsung Design Studio. Create a Galaxy Watch as unique as you, today.</t>
  </si>
  <si>
    <t>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</si>
  <si>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t>
  </si>
  <si>
    <t>Generic Version Shop all Computing (1 module)</t>
  </si>
  <si>
    <t>Get up to 60% off memory cards, SSD, monitors and more</t>
  </si>
  <si>
    <t xml:space="preserve">Work and game smarter, not harder with these must-have computing offers. Expand the way you play, store and create and get up to 30% off monitors, up to 60% off memory cards, up to 35% off SSD and more. </t>
  </si>
  <si>
    <t>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t>
  </si>
  <si>
    <t>Generic Version Shop all tablets (1 module)</t>
  </si>
  <si>
    <t>Tablet-HeadImage-500xV.jpg</t>
  </si>
  <si>
    <t>Save up to $150 on select tablets</t>
  </si>
  <si>
    <t xml:space="preserve">Empower how you create, work, learn, game and more with our powerful line of tablets. Shop our offers on great products from the new Galaxy Tab S7+ to the Galaxy Tab S6 Lite. </t>
  </si>
  <si>
    <t>NORKLE ONLY DATA</t>
  </si>
  <si>
    <t>REFERENCE ONLY</t>
  </si>
  <si>
    <t>targetData.version</t>
  </si>
  <si>
    <t>targetData.prodFmly1</t>
  </si>
  <si>
    <t>targetData.prodFmly2</t>
  </si>
  <si>
    <t>targetData.prodFmly3</t>
  </si>
  <si>
    <t>targetData.segmentCode</t>
  </si>
  <si>
    <t>targetData.Cell_Name</t>
  </si>
  <si>
    <t>Start Date</t>
  </si>
  <si>
    <t>Start Time</t>
  </si>
  <si>
    <t>End Date</t>
  </si>
  <si>
    <t>End Time</t>
  </si>
  <si>
    <t>Banner 1 Name</t>
  </si>
  <si>
    <t xml:space="preserve">Banner 1 - Image URL </t>
  </si>
  <si>
    <t>Banner 1 - Headline Copy</t>
  </si>
  <si>
    <t>Banner 1 - Subhead Copy</t>
  </si>
  <si>
    <t xml:space="preserve">Banner 1 - Subcopy </t>
  </si>
  <si>
    <t xml:space="preserve">Banner 1 - CTA Copy </t>
  </si>
  <si>
    <t xml:space="preserve">Banner 1 - CTA Link </t>
  </si>
  <si>
    <t xml:space="preserve">Banner 1 - CTA Deeplink </t>
  </si>
  <si>
    <t xml:space="preserve">Banner 1 - CTA 2 Link </t>
  </si>
  <si>
    <t xml:space="preserve">Banner 1 - CTA 2 Deeplink </t>
  </si>
  <si>
    <t>ALL</t>
  </si>
  <si>
    <t>1PM</t>
  </si>
  <si>
    <t>11:59PM</t>
  </si>
  <si>
    <t>Hero &amp; Countdown Timer</t>
  </si>
  <si>
    <t>Black_Friday.png</t>
  </si>
  <si>
    <t>Final hours for Black Friday</t>
  </si>
  <si>
    <t>It's your time to shine and save.</t>
  </si>
  <si>
    <t>stet by version</t>
  </si>
  <si>
    <t>12:00AM</t>
  </si>
  <si>
    <t>Black Friday_Week.png</t>
  </si>
  <si>
    <t xml:space="preserve">Black Friday offers have been extended all weekend. </t>
  </si>
  <si>
    <t>Cyber_Monday.png</t>
  </si>
  <si>
    <t>Black Friday is over. Cyber Monday is just beginning.</t>
  </si>
  <si>
    <t xml:space="preserve">Head over to Samsung.com to shop our Cyber Monday offers. </t>
  </si>
  <si>
    <t>11:00PM</t>
  </si>
  <si>
    <t xml:space="preserve">Hero </t>
  </si>
  <si>
    <t>Cyber_Week.png</t>
  </si>
  <si>
    <t xml:space="preserve">Cyber Monday may be over, but shop and save all Cyber Week long. </t>
  </si>
  <si>
    <t xml:space="preserve">Head over to Samsung.com to shop our Cyber Week offers. </t>
  </si>
  <si>
    <t>ALL KV Image</t>
  </si>
  <si>
    <t>All KV URL</t>
  </si>
  <si>
    <t>Targeted Audiences</t>
  </si>
  <si>
    <t>Top Banner</t>
  </si>
  <si>
    <t>Image Located in extra-modules folder</t>
  </si>
  <si>
    <t>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t>
  </si>
  <si>
    <t>EPP Reservers</t>
  </si>
  <si>
    <t>EPP banner</t>
  </si>
  <si>
    <t>Cross-Category_Black_Friday_Week_01.jpg</t>
  </si>
  <si>
    <t>Footer</t>
  </si>
  <si>
    <t>eml-brd-mul-1120-3101-EPP_Reservers</t>
  </si>
  <si>
    <t>eml-brd-mul-1120-3101-EPP_NonReservers</t>
  </si>
  <si>
    <t>eml-brd-mul-1120-3101-Reservers</t>
  </si>
  <si>
    <t>eml-brd-mul-1120-3101-Non_Reservers</t>
  </si>
  <si>
    <t>Code</t>
  </si>
  <si>
    <t>EPP/Non_EPP</t>
  </si>
  <si>
    <t>NORKLE DATA</t>
  </si>
  <si>
    <t>Banner 2 - Headline Copy</t>
  </si>
  <si>
    <t xml:space="preserve">Banner 2 - Subcopy </t>
  </si>
  <si>
    <t xml:space="preserve">Banner 2 - CTA Link </t>
  </si>
  <si>
    <t xml:space="preserve">Banner 2 - CTA Deeplink </t>
  </si>
  <si>
    <t>Banner 3 - Subhead Copy</t>
  </si>
  <si>
    <t xml:space="preserve">Banner 3 - Subcopy </t>
  </si>
  <si>
    <t xml:space="preserve">Banner 3 - CTA Link </t>
  </si>
  <si>
    <t xml:space="preserve">Banner 3 - CTA Deeplink </t>
  </si>
  <si>
    <t>Banner 4 Name</t>
  </si>
  <si>
    <t>Banner 4 - Subhead Copy</t>
  </si>
  <si>
    <t xml:space="preserve">Banner 4 - Subcopy </t>
  </si>
  <si>
    <t xml:space="preserve">Banner 4 - CTA Copy </t>
  </si>
  <si>
    <t xml:space="preserve">Banner 4 - CTA Link </t>
  </si>
  <si>
    <t xml:space="preserve">Banner 4 - CTA Deeplink </t>
  </si>
  <si>
    <t>Banner 5 Name</t>
  </si>
  <si>
    <t>Banner 5 - Headline Copy</t>
  </si>
  <si>
    <t>Banner 5 - Subhead Copy</t>
  </si>
  <si>
    <t xml:space="preserve">Banner 5 - Subcopy </t>
  </si>
  <si>
    <t xml:space="preserve">Banner 5 - CTA Copy </t>
  </si>
  <si>
    <t xml:space="preserve">Banner 5 - CTA Link </t>
  </si>
  <si>
    <t xml:space="preserve">Banner 5 - CTA Deeplink </t>
  </si>
  <si>
    <t>Banner 6 Name</t>
  </si>
  <si>
    <t>Banner 6 - Headline Copy</t>
  </si>
  <si>
    <t>Banner 6 - Subhead Copy</t>
  </si>
  <si>
    <t xml:space="preserve">Banner 6 - Subcopy </t>
  </si>
  <si>
    <t xml:space="preserve">Banner 6 - CTA Copy </t>
  </si>
  <si>
    <t xml:space="preserve">Banner 6 - CTA Link </t>
  </si>
  <si>
    <t xml:space="preserve">Banner 6 - CTA Deeplink </t>
  </si>
  <si>
    <t>Banner 7 Name</t>
  </si>
  <si>
    <t>Banner 7 - Headline Copy</t>
  </si>
  <si>
    <t>Banner 7 - Subhead Copy</t>
  </si>
  <si>
    <t xml:space="preserve">Banner 7 - Subcopy </t>
  </si>
  <si>
    <t xml:space="preserve">Banner 7 - CTA Copy </t>
  </si>
  <si>
    <t xml:space="preserve">Banner 7 - CTA Link </t>
  </si>
  <si>
    <t xml:space="preserve">Banner 7 - CTA Deeplink </t>
  </si>
  <si>
    <t>Banner 8 Name</t>
  </si>
  <si>
    <t xml:space="preserve">Banner 8 - Image Path </t>
  </si>
  <si>
    <t>Banner 8 - Headline Copy</t>
  </si>
  <si>
    <t>Banner 8 - Subhead Copy</t>
  </si>
  <si>
    <t xml:space="preserve">Banner 8 - Subcopy </t>
  </si>
  <si>
    <t xml:space="preserve">Banner 8 - CTA Copy </t>
  </si>
  <si>
    <t xml:space="preserve">Banner 8 - CTA Link </t>
  </si>
  <si>
    <t xml:space="preserve">Banner 8 - CTA Deeplink </t>
  </si>
  <si>
    <t xml:space="preserve">Banner 8 - CTA 2 Copy </t>
  </si>
  <si>
    <t xml:space="preserve">Banner 8 - CTA 2 Link </t>
  </si>
  <si>
    <t xml:space="preserve">Banner 8 - CTA 2 Deeplink </t>
  </si>
  <si>
    <t>Banner 9 Name</t>
  </si>
  <si>
    <t xml:space="preserve">Banner 9 - Image Path </t>
  </si>
  <si>
    <t>Banner 9 - Headline Copy</t>
  </si>
  <si>
    <t>Banner 9 - Subhead Copy</t>
  </si>
  <si>
    <t xml:space="preserve">Banner 9 - Subcopy </t>
  </si>
  <si>
    <t xml:space="preserve">Banner 9 - CTA Copy </t>
  </si>
  <si>
    <t xml:space="preserve">Banner 9 - CTA Link </t>
  </si>
  <si>
    <t xml:space="preserve">Banner 9 - CTA Deeplink </t>
  </si>
  <si>
    <t xml:space="preserve">Banner 9 - CTA 2 Copy </t>
  </si>
  <si>
    <t xml:space="preserve">Banner 9 - CTA 2 Link </t>
  </si>
  <si>
    <t xml:space="preserve">Banner 9 - CTA 2 Deeplink </t>
  </si>
  <si>
    <t>Banner 10 Name</t>
  </si>
  <si>
    <t xml:space="preserve">Banner 10 - Image Path </t>
  </si>
  <si>
    <t>Banner 10 - Headline Copy</t>
  </si>
  <si>
    <t>Banner 10 - Subhead Copy</t>
  </si>
  <si>
    <t xml:space="preserve">Banner 10 - Subcopy </t>
  </si>
  <si>
    <t xml:space="preserve">Banner 10 - CTA Copy </t>
  </si>
  <si>
    <t xml:space="preserve">Banner 10 - CTA Link </t>
  </si>
  <si>
    <t xml:space="preserve">Banner 10 - CTA Deeplink </t>
  </si>
  <si>
    <t xml:space="preserve">Banner 10 - CTA 2 Copy </t>
  </si>
  <si>
    <t xml:space="preserve">Banner 10 - CTA 2 Link </t>
  </si>
  <si>
    <t xml:space="preserve">Banner 10 - CTA 2 Deeplink </t>
  </si>
  <si>
    <t>Banner 11 Name</t>
  </si>
  <si>
    <t xml:space="preserve">Banner 11 - Image Path </t>
  </si>
  <si>
    <t>Banner 11 - Headline Copy</t>
  </si>
  <si>
    <t>Banner 11 - Subhead Copy</t>
  </si>
  <si>
    <t xml:space="preserve">Banner 11 - Subcopy </t>
  </si>
  <si>
    <t xml:space="preserve">Banner 11 - CTA Copy </t>
  </si>
  <si>
    <t xml:space="preserve">Banner 11 - CTA Link </t>
  </si>
  <si>
    <t xml:space="preserve">Banner 11 - CTA Deeplink </t>
  </si>
  <si>
    <t xml:space="preserve">Banner 11 - CTA 2 Copy </t>
  </si>
  <si>
    <t xml:space="preserve">Banner 11 - CTA 2 Link </t>
  </si>
  <si>
    <t xml:space="preserve">Banner 11 - CTA 2 Deeplink </t>
  </si>
  <si>
    <t>Banner 12 Name</t>
  </si>
  <si>
    <t xml:space="preserve">Banner 12 - Image Path </t>
  </si>
  <si>
    <t>Banner 12 - Headline Copy</t>
  </si>
  <si>
    <t>Banner 12 - Subhead Copy</t>
  </si>
  <si>
    <t xml:space="preserve">Banner 12 - Subcopy </t>
  </si>
  <si>
    <t xml:space="preserve">Banner 12 - CTA Copy </t>
  </si>
  <si>
    <t xml:space="preserve">Banner 12 - CTA Link </t>
  </si>
  <si>
    <t xml:space="preserve">Banner 12 - CTA Deeplink </t>
  </si>
  <si>
    <t xml:space="preserve">Banner 12 - CTA 2 Copy </t>
  </si>
  <si>
    <t xml:space="preserve">Banner 12 - CTA 2 Link </t>
  </si>
  <si>
    <t xml:space="preserve">Banner 12 - CTA 2 Deeplink </t>
  </si>
  <si>
    <t>Banner 13 Name</t>
  </si>
  <si>
    <t xml:space="preserve">Banner 13 - Image Path </t>
  </si>
  <si>
    <t>Banner 13 - Headline Copy</t>
  </si>
  <si>
    <t>Banner 13 - Subhead Copy</t>
  </si>
  <si>
    <t xml:space="preserve">Banner 13 - Subcopy </t>
  </si>
  <si>
    <t xml:space="preserve">Banner 13 - CTA Copy </t>
  </si>
  <si>
    <t xml:space="preserve">Banner 13 - CTA Link </t>
  </si>
  <si>
    <t xml:space="preserve">Banner 13 - CTA Deeplink </t>
  </si>
  <si>
    <t xml:space="preserve">Banner 13 - CTA 2 Copy </t>
  </si>
  <si>
    <t xml:space="preserve">Banner 13 - CTA 2 Link </t>
  </si>
  <si>
    <t xml:space="preserve">Banner 13 - CTA 2 Deeplink </t>
  </si>
  <si>
    <t>Banner 14 Name</t>
  </si>
  <si>
    <t xml:space="preserve">Banner 14 - Image Path </t>
  </si>
  <si>
    <t>Banner 14 - Headline Copy</t>
  </si>
  <si>
    <t>Banner 14 - Subhead Copy</t>
  </si>
  <si>
    <t xml:space="preserve">Banner 14 - Subcopy </t>
  </si>
  <si>
    <t xml:space="preserve">Banner 14 - CTA Copy </t>
  </si>
  <si>
    <t xml:space="preserve">Banner 14 - CTA Link </t>
  </si>
  <si>
    <t xml:space="preserve">Banner 14 - CTA Deeplink </t>
  </si>
  <si>
    <t xml:space="preserve">Banner 14 - CTA 2 Copy </t>
  </si>
  <si>
    <t xml:space="preserve">Banner 14 - CTA 2 Link </t>
  </si>
  <si>
    <t xml:space="preserve">Banner 14 - CTA 2 Deeplink </t>
  </si>
  <si>
    <t>Banner 15 Name</t>
  </si>
  <si>
    <t xml:space="preserve">Banner 15 - Image Path </t>
  </si>
  <si>
    <t>Banner 15 - Headline Copy</t>
  </si>
  <si>
    <t>Banner 15 - Subhead Copy</t>
  </si>
  <si>
    <t xml:space="preserve">Banner 15 - Subcopy </t>
  </si>
  <si>
    <t xml:space="preserve">Banner 15 - CTA Copy </t>
  </si>
  <si>
    <t xml:space="preserve">Banner 15 - CTA Link </t>
  </si>
  <si>
    <t xml:space="preserve">Banner 15 - CTA Deeplink </t>
  </si>
  <si>
    <t xml:space="preserve">Banner 15 - CTA 2 Copy </t>
  </si>
  <si>
    <t xml:space="preserve">Banner 15 - CTA 2 Link </t>
  </si>
  <si>
    <t xml:space="preserve">Banner 15 - CTA 2 Deeplink </t>
  </si>
  <si>
    <t>MB_GALAXY
MB_FOLD
MB_NOTE
MB_MID</t>
  </si>
  <si>
    <t>Reserver
EPP_Reservers</t>
  </si>
  <si>
    <t xml:space="preserve">[FIRST NAME], Black Friday has arrived. </t>
  </si>
  <si>
    <t xml:space="preserve">Plus, enjoy an additional $30 or more instant credit with any smartphone purchase. </t>
  </si>
  <si>
    <r>
      <t>Order now to get your favorite new products (or gifts) from Samsung. But act fast. These offers are too good to last. 
Plus, enjoy $30 or more instant credit</t>
    </r>
    <r>
      <rPr>
        <vertAlign val="superscript"/>
        <sz val="11"/>
        <color theme="1"/>
        <rFont val="Calibri"/>
        <family val="2"/>
        <scheme val="minor"/>
      </rPr>
      <t>§†</t>
    </r>
    <r>
      <rPr>
        <sz val="11"/>
        <color theme="1"/>
        <rFont val="Calibri"/>
        <family val="2"/>
        <scheme val="minor"/>
      </rPr>
      <t>, in addition to your exclusive $20 instant credit, with any smartphone purchase.</t>
    </r>
    <r>
      <rPr>
        <vertAlign val="superscript"/>
        <sz val="11"/>
        <color theme="1"/>
        <rFont val="Calibri"/>
        <family val="2"/>
        <scheme val="minor"/>
      </rPr>
      <t>‡</t>
    </r>
    <r>
      <rPr>
        <sz val="11"/>
        <color theme="1"/>
        <rFont val="Calibri"/>
        <family val="2"/>
        <scheme val="minor"/>
      </rPr>
      <t xml:space="preserve"> </t>
    </r>
  </si>
  <si>
    <t>N20F (N20/N20U)</t>
  </si>
  <si>
    <t xml:space="preserve">S20 Family (S20+, S20U, S20, S20FE) </t>
  </si>
  <si>
    <t xml:space="preserve">Fold2   </t>
  </si>
  <si>
    <t>A71 5G / A51 5G</t>
  </si>
  <si>
    <t>GIFT GUIDE</t>
  </si>
  <si>
    <t>FOOTER</t>
  </si>
  <si>
    <t>TC 1</t>
  </si>
  <si>
    <t>TC2</t>
  </si>
  <si>
    <t>TC3</t>
  </si>
  <si>
    <t>TC4</t>
  </si>
  <si>
    <t>TC5</t>
  </si>
  <si>
    <t>Non_Reservers
EPP_NonReservers</t>
  </si>
  <si>
    <t xml:space="preserve">Plus, unlock $30 or more instant credit with any smartphone purchase. </t>
  </si>
  <si>
    <r>
      <t>Order now to get your favorite new products (or gifts) from Samsung. But act fast. These offers are too good to last. 
Plus, unlock $30 or more instant credit with any smartphone purchase.</t>
    </r>
    <r>
      <rPr>
        <vertAlign val="superscript"/>
        <sz val="11"/>
        <color theme="1"/>
        <rFont val="Calibri"/>
        <family val="2"/>
        <scheme val="minor"/>
      </rPr>
      <t>§†</t>
    </r>
  </si>
  <si>
    <t>ᶿFor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</si>
  <si>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https://www.samsung.com/us/trade-in/terms-and-conditions/</t>
  </si>
  <si>
    <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t>
  </si>
  <si>
    <t>§18+ &amp; 50 US/DC only. By 11/29/2020 11:59 PM EST, purchase a qualifying device on device installment plan, 2-year contract plan, lease or outright purchase at full retail price (“Qualifying Purchase”), &amp; receive a Samsung Credit of $100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t>
  </si>
  <si>
    <t>https://www.samsung.com/us/</t>
  </si>
  <si>
    <t>†18+ &amp; 50 US/DC only. By 11/29/2020 11:59 PM EST, purchase a qualifying device on device installment plan, 2-year contract plan, lease or outright purchase at full retail price (“Qualifying Purchase”), &amp; receive a Samsung Credit of $30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t>
  </si>
  <si>
    <t>CC</t>
  </si>
  <si>
    <t>CC MOBILE RESERVER</t>
  </si>
  <si>
    <t>CC TV &amp; ACCESSORIES</t>
  </si>
  <si>
    <t>CC TABLET</t>
  </si>
  <si>
    <t>CC WEAR</t>
  </si>
  <si>
    <t>CC COMPUTER</t>
  </si>
  <si>
    <t>CC HA</t>
  </si>
  <si>
    <t>TC1</t>
  </si>
  <si>
    <t>TV_QLED
TV_UHD
TV_FRAME</t>
  </si>
  <si>
    <t xml:space="preserve">Shop amazing, can't-miss offers on TVs, soundbars and more before they're gone. </t>
  </si>
  <si>
    <t xml:space="preserve">Order now to get your favorite new products (or gifts) from Samsung. But act fast. These offers are too good to last. </t>
  </si>
  <si>
    <t>MB_TABLET</t>
  </si>
  <si>
    <t xml:space="preserve">Shop amazing, can't-miss offers on tablets, audio and more before they're gone. </t>
  </si>
  <si>
    <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t>
  </si>
  <si>
    <t>αMust be an eligible legal resident of the 50 US/DC &amp; at least 18 years old to participate. Purchase at least 4 eligible Samsung Home Appliance products in the same transaction (Refrigerators, Ranges, Countertop Microwaves, Over-the-Range Microwave Ovens, Dishwashers, Wall Ovens, Cooktops, or Range Hoods) (“a Qualifying Purchase”) between 11/04/20 and 12/02/20 on Samsung.com, and you will receive a 10% instant rebate off of the pre-tax purchase price of your Qualifying Purchase (“Gift”). Purchases must include products from different product categories. If more than 4 eligible products are purchased, the additional products purchased are eligible for the discount as long as the eligibility requirements listed above and below are met. Eligible categories are Refrigerators, Ranges, Countertop Microwaves, Over-the-Range Microwave Ovens, Dishwashers, Wall Ovens, Cooktops, or Range Hoods. Samsung Chef Collection, Washers, Dryers, Pedestals, Vacuums, Air Purifiers, AirDresser, Wine Cooler, and all accessories are not eligible. Quantities limited; offer valid while supplies last. One claim per household. This Offer and instant rebate Gift redemption applies to Samsung.com only. Offer cannot be combined with other Samsung offers, rebates, programs, or promotions unless otherwise stated.</t>
  </si>
  <si>
    <t>MB_WEAR</t>
  </si>
  <si>
    <t xml:space="preserve">Shop amazing, can't-miss offers on audio, watches and more before they're gone. </t>
  </si>
  <si>
    <t>CE_COMPUTER</t>
  </si>
  <si>
    <t xml:space="preserve">Shop amazing, can't-miss offers on monitors, SSD and more before they're gone. </t>
  </si>
  <si>
    <t>HA_LAUNDRY
HA_CLEANER</t>
  </si>
  <si>
    <t xml:space="preserve">Shop amazing, can't-miss offers on ranges, dryers, air solutions and more before they're gone. </t>
  </si>
  <si>
    <t>Non_Reservers</t>
  </si>
  <si>
    <t>CC MOBILE NON RESERVER</t>
  </si>
  <si>
    <t>EPP_Reserver</t>
  </si>
  <si>
    <t>EPP_NonReserver</t>
  </si>
  <si>
    <r>
      <t>Order now to get your favorite new products (or gifts) from Samsung. But act fast. These offers are too good to last.
Plus, enjoy $30 or more instant credit</t>
    </r>
    <r>
      <rPr>
        <vertAlign val="superscript"/>
        <sz val="11"/>
        <color theme="1"/>
        <rFont val="Calibri"/>
        <family val="2"/>
        <scheme val="minor"/>
      </rPr>
      <t>§†</t>
    </r>
    <r>
      <rPr>
        <sz val="11"/>
        <color theme="1"/>
        <rFont val="Calibri"/>
        <family val="2"/>
        <scheme val="minor"/>
      </rPr>
      <t>, in addition to your exclusive $20 instant credit, with any smartphone purchase.</t>
    </r>
    <r>
      <rPr>
        <vertAlign val="superscript"/>
        <sz val="11"/>
        <color theme="1"/>
        <rFont val="Calibri"/>
        <family val="2"/>
        <scheme val="minor"/>
      </rPr>
      <t>‡</t>
    </r>
    <r>
      <rPr>
        <sz val="11"/>
        <color theme="1"/>
        <rFont val="Calibri"/>
        <family val="2"/>
        <scheme val="minor"/>
      </rPr>
      <t xml:space="preserve"> </t>
    </r>
  </si>
  <si>
    <r>
      <t>Order now to get your favorite new products (or gifts) from Samsung. But act fast. These offers are too good to last.
Plus, unlock $30 or more instant credit with any smartphone purchase.</t>
    </r>
    <r>
      <rPr>
        <vertAlign val="superscript"/>
        <sz val="11"/>
        <color theme="1"/>
        <rFont val="Calibri"/>
        <family val="2"/>
        <scheme val="minor"/>
      </rPr>
      <t>§†</t>
    </r>
  </si>
  <si>
    <r>
      <t>Order now to get your favorite new products (or gifts) from Samsung. But act fast. These offers are too good to last. 
Plus, unlock $30 or more instant credit with any smartphone purchase.</t>
    </r>
    <r>
      <rPr>
        <vertAlign val="superscript"/>
        <sz val="11"/>
        <rFont val="Calibri"/>
        <family val="2"/>
        <scheme val="minor"/>
      </rPr>
      <t>§†</t>
    </r>
  </si>
  <si>
    <r>
      <t>Order now to get your favorite new products (or gifts) from Samsung. But act fast. These offers are too good to last.
Plus, unlock $30 or more instant credit with any smartphone purchase.</t>
    </r>
    <r>
      <rPr>
        <vertAlign val="superscript"/>
        <sz val="11"/>
        <rFont val="Calibri"/>
        <family val="2"/>
        <scheme val="minor"/>
      </rPr>
      <t>§†</t>
    </r>
  </si>
  <si>
    <t>Now from only only $8.34/mo for 36 mos⊕ or $299.99 with eligible trade-in.ᶿ</t>
  </si>
  <si>
    <t>https://www.samsung.com/us/shop/all-deals/tablets-laptops-computers-deals/</t>
  </si>
  <si>
    <t>https://www.samsung.com/us/shop/all-deals/watches-audio-accessories-deals/</t>
  </si>
  <si>
    <t xml:space="preserve">, Black Friday has arrived. </t>
  </si>
  <si>
    <t>holiday_deals_rev_11182020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</si>
</sst>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11"/>
      <color rgb="FF9C6500"/>
      <name val="Calibri"/>
      <family val="2"/>
      <scheme val="minor"/>
    </font>
    <font>
      <sz val="11"/>
      <color rgb="FF3F3F76"/>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u/>
      <sz val="11"/>
      <color theme="11"/>
      <name val="Calibri"/>
      <family val="2"/>
      <scheme val="minor"/>
    </font>
    <font>
      <vertAlign val="superscript"/>
      <sz val="11"/>
      <color theme="1"/>
      <name val="Calibri"/>
      <family val="2"/>
      <scheme val="minor"/>
    </font>
    <font>
      <sz val="11"/>
      <name val="Calibri"/>
      <family val="2"/>
      <scheme val="minor"/>
    </font>
    <font>
      <vertAlign val="superscript"/>
      <sz val="11"/>
      <name val="Calibri"/>
      <family val="2"/>
      <scheme val="minor"/>
    </font>
    <font>
      <sz val="11"/>
      <color theme="9"/>
      <name val="Calibri"/>
      <family val="2"/>
      <scheme val="minor"/>
    </font>
    <font>
      <sz val="11"/>
      <color theme="0" tint="-0.34998626667073579"/>
      <name val="Calibri"/>
      <family val="2"/>
      <scheme val="minor"/>
    </font>
    <font>
      <sz val="11"/>
      <color rgb="FF000000"/>
      <name val="Calibri"/>
      <family val="2"/>
      <scheme val="minor"/>
    </font>
  </fonts>
  <fills count="28">
    <fill>
      <patternFill patternType="none"/>
    </fill>
    <fill>
      <patternFill patternType="gray125"/>
    </fill>
    <fill>
      <patternFill patternType="solid">
        <fgColor rgb="FFFFEB9C"/>
      </patternFill>
    </fill>
    <fill>
      <patternFill patternType="solid">
        <fgColor rgb="FFFFCC99"/>
      </patternFill>
    </fill>
    <fill>
      <patternFill patternType="solid">
        <fgColor theme="1"/>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66FF"/>
        <bgColor indexed="64"/>
      </patternFill>
    </fill>
    <fill>
      <patternFill patternType="solid">
        <fgColor rgb="FFFFCC00"/>
        <bgColor indexed="64"/>
      </patternFill>
    </fill>
    <fill>
      <patternFill patternType="solid">
        <fgColor theme="9"/>
        <bgColor indexed="64"/>
      </patternFill>
    </fill>
    <fill>
      <patternFill patternType="solid">
        <fgColor rgb="FF99FF99"/>
        <bgColor indexed="64"/>
      </patternFill>
    </fill>
    <fill>
      <patternFill patternType="solid">
        <fgColor rgb="FFFF0000"/>
        <bgColor indexed="64"/>
      </patternFill>
    </fill>
    <fill>
      <patternFill patternType="solid">
        <fgColor theme="5"/>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rgb="FFAD89C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7"/>
        <bgColor indexed="64"/>
      </patternFill>
    </fill>
    <fill>
      <patternFill patternType="solid">
        <fgColor rgb="FF33CCCC"/>
        <bgColor indexed="64"/>
      </patternFill>
    </fill>
    <fill>
      <patternFill patternType="solid">
        <fgColor rgb="FFBFBFBF"/>
        <bgColor rgb="FF000000"/>
      </patternFill>
    </fill>
    <fill>
      <patternFill patternType="solid">
        <fgColor rgb="FFFFC000"/>
        <bgColor indexed="64"/>
      </patternFill>
    </fill>
    <fill>
      <patternFill patternType="solid">
        <fgColor theme="6" tint="0.39997558519241921"/>
        <bgColor indexed="64"/>
      </patternFill>
    </fill>
    <fill>
      <patternFill patternType="solid">
        <fgColor rgb="FFFF00FF"/>
        <bgColor indexed="64"/>
      </patternFill>
    </fill>
    <fill>
      <patternFill patternType="solid">
        <fgColor rgb="FF66FF99"/>
        <bgColor indexed="64"/>
      </patternFill>
    </fill>
  </fills>
  <borders count="12">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rgb="FF7F7F7F"/>
      </bottom>
      <diagonal/>
    </border>
    <border>
      <left style="thin">
        <color rgb="FF7F7F7F"/>
      </left>
      <right style="thin">
        <color rgb="FF7F7F7F"/>
      </right>
      <top style="thin">
        <color rgb="FF7F7F7F"/>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bottom/>
      <diagonal/>
    </border>
  </borders>
  <cellStyleXfs count="6">
    <xf numFmtId="0" fontId="0" fillId="0" borderId="0"/>
    <xf numFmtId="0" fontId="1" fillId="2" borderId="0" applyNumberFormat="0" applyBorder="0" applyAlignment="0" applyProtection="0"/>
    <xf numFmtId="0" fontId="2" fillId="3" borderId="1" applyNumberFormat="0" applyAlignment="0" applyProtection="0"/>
    <xf numFmtId="0" fontId="6" fillId="0" borderId="0"/>
    <xf numFmtId="0" fontId="7" fillId="0" borderId="0" applyNumberFormat="0" applyFill="0" applyBorder="0" applyAlignment="0" applyProtection="0"/>
    <xf numFmtId="0" fontId="6" fillId="0" borderId="0" applyNumberFormat="0" applyFill="0" applyBorder="0" applyAlignment="0" applyProtection="0"/>
  </cellStyleXfs>
  <cellXfs count="103">
    <xf numFmtId="0" fontId="0" fillId="0" borderId="0" xfId="0"/>
    <xf numFmtId="0" fontId="5" fillId="4" borderId="2" xfId="0" applyFont="1" applyFill="1" applyBorder="1"/>
    <xf numFmtId="0" fontId="5" fillId="4" borderId="2" xfId="0" applyFont="1" applyFill="1" applyBorder="1" applyAlignment="1">
      <alignment horizontal="left"/>
    </xf>
    <xf numFmtId="0" fontId="0" fillId="0" borderId="2" xfId="0" applyBorder="1"/>
    <xf numFmtId="0" fontId="0" fillId="0" borderId="2" xfId="0" applyBorder="1" applyAlignment="1">
      <alignment horizontal="left"/>
    </xf>
    <xf numFmtId="0" fontId="6" fillId="0" borderId="2" xfId="3" applyBorder="1"/>
    <xf numFmtId="0" fontId="7" fillId="0" borderId="2" xfId="4" applyBorder="1"/>
    <xf numFmtId="0" fontId="0" fillId="0" borderId="0" xfId="0" applyAlignment="1">
      <alignment horizontal="left"/>
    </xf>
    <xf numFmtId="0" fontId="0" fillId="0" borderId="0" xfId="0" applyAlignment="1"/>
    <xf numFmtId="0" fontId="0" fillId="0" borderId="0" xfId="0" applyAlignment="1">
      <alignment wrapText="1"/>
    </xf>
    <xf numFmtId="0" fontId="5" fillId="4" borderId="0" xfId="0" applyFont="1" applyFill="1"/>
    <xf numFmtId="0" fontId="5" fillId="4" borderId="0" xfId="1" applyFont="1" applyFill="1"/>
    <xf numFmtId="0" fontId="5" fillId="4" borderId="3" xfId="1" applyFont="1" applyFill="1" applyBorder="1"/>
    <xf numFmtId="0" fontId="5" fillId="0" borderId="0" xfId="0" applyFont="1"/>
    <xf numFmtId="0" fontId="0" fillId="0" borderId="2" xfId="0" applyBorder="1" applyAlignment="1">
      <alignment wrapText="1"/>
    </xf>
    <xf numFmtId="0" fontId="2" fillId="3" borderId="1" xfId="2" applyAlignment="1">
      <alignment wrapText="1"/>
    </xf>
    <xf numFmtId="0" fontId="0" fillId="0" borderId="2" xfId="0" applyFill="1" applyBorder="1" applyAlignment="1">
      <alignment wrapText="1"/>
    </xf>
    <xf numFmtId="0" fontId="0" fillId="0" borderId="0" xfId="0" applyFill="1" applyAlignment="1">
      <alignment wrapText="1"/>
    </xf>
    <xf numFmtId="49" fontId="0" fillId="0" borderId="2" xfId="0" applyNumberFormat="1" applyFont="1" applyBorder="1" applyAlignment="1"/>
    <xf numFmtId="0" fontId="9" fillId="0" borderId="2" xfId="0" applyFont="1" applyFill="1" applyBorder="1" applyAlignment="1">
      <alignment wrapText="1"/>
    </xf>
    <xf numFmtId="0" fontId="6" fillId="0" borderId="0" xfId="5" applyAlignment="1">
      <alignment wrapText="1"/>
    </xf>
    <xf numFmtId="0" fontId="6" fillId="0" borderId="0" xfId="3"/>
    <xf numFmtId="0" fontId="0" fillId="10" borderId="2" xfId="0" applyFill="1" applyBorder="1" applyAlignment="1">
      <alignment wrapText="1"/>
    </xf>
    <xf numFmtId="0" fontId="0" fillId="11" borderId="2" xfId="0" applyFill="1" applyBorder="1" applyAlignment="1">
      <alignment wrapText="1"/>
    </xf>
    <xf numFmtId="0" fontId="0" fillId="13" borderId="2" xfId="0" applyFill="1" applyBorder="1" applyAlignment="1">
      <alignment wrapText="1"/>
    </xf>
    <xf numFmtId="0" fontId="11" fillId="0" borderId="0" xfId="0" applyFont="1"/>
    <xf numFmtId="0" fontId="12" fillId="0" borderId="0" xfId="0" applyFont="1"/>
    <xf numFmtId="0" fontId="5" fillId="4" borderId="5" xfId="2" applyFont="1" applyFill="1" applyBorder="1" applyAlignment="1">
      <alignment wrapText="1"/>
    </xf>
    <xf numFmtId="0" fontId="5" fillId="4" borderId="5" xfId="2" applyFont="1" applyFill="1" applyBorder="1" applyAlignment="1"/>
    <xf numFmtId="0" fontId="0" fillId="0" borderId="2" xfId="0" applyBorder="1" applyAlignment="1">
      <alignment horizontal="left" vertical="center" wrapText="1"/>
    </xf>
    <xf numFmtId="0" fontId="9" fillId="7" borderId="2" xfId="0" applyFont="1" applyFill="1" applyBorder="1" applyAlignment="1">
      <alignment wrapText="1"/>
    </xf>
    <xf numFmtId="0" fontId="0" fillId="7" borderId="2" xfId="0" applyFill="1" applyBorder="1" applyAlignment="1">
      <alignment wrapText="1"/>
    </xf>
    <xf numFmtId="0" fontId="9" fillId="16" borderId="2" xfId="0" applyFont="1" applyFill="1" applyBorder="1" applyAlignment="1">
      <alignment wrapText="1"/>
    </xf>
    <xf numFmtId="0" fontId="0" fillId="16" borderId="2" xfId="0" applyFill="1" applyBorder="1" applyAlignment="1">
      <alignment wrapText="1"/>
    </xf>
    <xf numFmtId="0" fontId="0" fillId="12" borderId="0" xfId="0" applyFill="1" applyAlignment="1">
      <alignment wrapText="1"/>
    </xf>
    <xf numFmtId="0" fontId="3" fillId="4" borderId="2" xfId="0" applyFont="1" applyFill="1" applyBorder="1" applyAlignment="1">
      <alignment wrapText="1"/>
    </xf>
    <xf numFmtId="0" fontId="4" fillId="0" borderId="0" xfId="0" applyFont="1" applyAlignment="1">
      <alignment wrapText="1"/>
    </xf>
    <xf numFmtId="0" fontId="4" fillId="5" borderId="2" xfId="0" applyFont="1" applyFill="1" applyBorder="1" applyAlignment="1">
      <alignment horizontal="right" wrapText="1"/>
    </xf>
    <xf numFmtId="0" fontId="4" fillId="17" borderId="2" xfId="0" applyFont="1" applyFill="1" applyBorder="1" applyAlignment="1">
      <alignment horizontal="right" wrapText="1"/>
    </xf>
    <xf numFmtId="0" fontId="4" fillId="6" borderId="2" xfId="0" applyFont="1" applyFill="1" applyBorder="1" applyAlignment="1">
      <alignment horizontal="right" wrapText="1"/>
    </xf>
    <xf numFmtId="0" fontId="4" fillId="8" borderId="2" xfId="0" applyFont="1" applyFill="1" applyBorder="1" applyAlignment="1">
      <alignment horizontal="right" vertical="center" wrapText="1"/>
    </xf>
    <xf numFmtId="0" fontId="4" fillId="18" borderId="2" xfId="0" applyFont="1" applyFill="1" applyBorder="1" applyAlignment="1">
      <alignment horizontal="right" vertical="center" wrapText="1"/>
    </xf>
    <xf numFmtId="0" fontId="4" fillId="19" borderId="2" xfId="0" applyFont="1" applyFill="1" applyBorder="1" applyAlignment="1">
      <alignment horizontal="right" vertical="center" wrapText="1"/>
    </xf>
    <xf numFmtId="0" fontId="0" fillId="0" borderId="0" xfId="0" applyFill="1" applyAlignment="1"/>
    <xf numFmtId="0" fontId="0" fillId="6" borderId="2" xfId="0" applyFill="1" applyBorder="1" applyAlignment="1">
      <alignment wrapText="1"/>
    </xf>
    <xf numFmtId="0" fontId="0" fillId="5" borderId="2" xfId="0" applyFill="1" applyBorder="1" applyAlignment="1">
      <alignment wrapText="1"/>
    </xf>
    <xf numFmtId="0" fontId="0" fillId="20" borderId="2" xfId="0" applyFill="1" applyBorder="1" applyAlignment="1">
      <alignment wrapText="1"/>
    </xf>
    <xf numFmtId="0" fontId="9" fillId="20" borderId="2" xfId="0" applyFont="1" applyFill="1" applyBorder="1" applyAlignment="1">
      <alignment wrapText="1"/>
    </xf>
    <xf numFmtId="16" fontId="0" fillId="0" borderId="2" xfId="0" applyNumberFormat="1" applyBorder="1" applyAlignment="1">
      <alignment wrapText="1"/>
    </xf>
    <xf numFmtId="0" fontId="0" fillId="0" borderId="2" xfId="0" applyFill="1" applyBorder="1" applyAlignment="1"/>
    <xf numFmtId="0" fontId="6" fillId="0" borderId="2" xfId="5" applyBorder="1" applyAlignment="1">
      <alignment wrapText="1"/>
    </xf>
    <xf numFmtId="0" fontId="0" fillId="0" borderId="0" xfId="0" applyFill="1"/>
    <xf numFmtId="0" fontId="3" fillId="14" borderId="0" xfId="0" applyFont="1" applyFill="1" applyAlignment="1"/>
    <xf numFmtId="0" fontId="0" fillId="21" borderId="0" xfId="0" applyFill="1" applyAlignment="1"/>
    <xf numFmtId="0" fontId="5" fillId="4" borderId="2" xfId="1" applyFont="1" applyFill="1" applyBorder="1"/>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2" xfId="0" applyFill="1" applyBorder="1"/>
    <xf numFmtId="0" fontId="6" fillId="0" borderId="2" xfId="5" applyFill="1" applyBorder="1" applyAlignment="1">
      <alignment wrapText="1"/>
    </xf>
    <xf numFmtId="0" fontId="0" fillId="0" borderId="2" xfId="0" applyFill="1" applyBorder="1" applyAlignment="1">
      <alignment vertical="top" wrapText="1"/>
    </xf>
    <xf numFmtId="0" fontId="0" fillId="0" borderId="2" xfId="0" applyBorder="1" applyAlignment="1">
      <alignment vertical="top" wrapText="1"/>
    </xf>
    <xf numFmtId="0" fontId="0" fillId="16" borderId="2" xfId="0" applyFill="1" applyBorder="1" applyAlignment="1">
      <alignment vertical="top" wrapText="1"/>
    </xf>
    <xf numFmtId="0" fontId="0" fillId="0" borderId="0" xfId="0" applyAlignment="1">
      <alignment vertical="top" wrapText="1"/>
    </xf>
    <xf numFmtId="0" fontId="5" fillId="4" borderId="5" xfId="2" applyFont="1" applyFill="1" applyBorder="1" applyAlignment="1">
      <alignment vertical="top" wrapText="1"/>
    </xf>
    <xf numFmtId="0" fontId="0" fillId="7" borderId="2" xfId="0" applyFill="1" applyBorder="1" applyAlignment="1">
      <alignment vertical="top" wrapText="1"/>
    </xf>
    <xf numFmtId="0" fontId="0" fillId="0" borderId="2" xfId="0" applyBorder="1" applyAlignment="1"/>
    <xf numFmtId="0" fontId="0" fillId="22" borderId="2" xfId="0" applyFill="1" applyBorder="1" applyAlignment="1">
      <alignment wrapText="1"/>
    </xf>
    <xf numFmtId="0" fontId="0" fillId="6" borderId="0" xfId="0" applyFill="1" applyAlignment="1">
      <alignment wrapText="1"/>
    </xf>
    <xf numFmtId="0" fontId="0" fillId="5" borderId="0" xfId="0" applyFill="1" applyAlignment="1">
      <alignment wrapText="1"/>
    </xf>
    <xf numFmtId="0" fontId="0" fillId="20" borderId="9" xfId="0" applyFill="1" applyBorder="1" applyAlignment="1">
      <alignment wrapText="1"/>
    </xf>
    <xf numFmtId="0" fontId="0" fillId="20" borderId="10" xfId="0" applyFill="1" applyBorder="1" applyAlignment="1">
      <alignment wrapText="1"/>
    </xf>
    <xf numFmtId="0" fontId="9" fillId="20" borderId="11" xfId="0" applyFont="1" applyFill="1" applyBorder="1" applyAlignment="1">
      <alignment wrapText="1"/>
    </xf>
    <xf numFmtId="0" fontId="9" fillId="20" borderId="0" xfId="0" applyFont="1" applyFill="1" applyBorder="1" applyAlignment="1">
      <alignment wrapText="1"/>
    </xf>
    <xf numFmtId="0" fontId="0" fillId="20" borderId="0" xfId="0" applyFill="1" applyBorder="1" applyAlignment="1">
      <alignment wrapText="1"/>
    </xf>
    <xf numFmtId="0" fontId="13" fillId="23" borderId="0" xfId="0" applyFont="1" applyFill="1" applyAlignment="1">
      <alignment wrapText="1"/>
    </xf>
    <xf numFmtId="0" fontId="9" fillId="20" borderId="0" xfId="0" applyFont="1" applyFill="1" applyBorder="1" applyAlignment="1"/>
    <xf numFmtId="0" fontId="0" fillId="24" borderId="2" xfId="0" applyFill="1" applyBorder="1" applyAlignment="1">
      <alignment wrapText="1"/>
    </xf>
    <xf numFmtId="0" fontId="0" fillId="5" borderId="2" xfId="0" applyFill="1" applyBorder="1"/>
    <xf numFmtId="0" fontId="0" fillId="11" borderId="0" xfId="0" applyFill="1" applyAlignment="1">
      <alignment wrapText="1"/>
    </xf>
    <xf numFmtId="0" fontId="9" fillId="11" borderId="0" xfId="0" applyFont="1" applyFill="1" applyBorder="1" applyAlignment="1">
      <alignment wrapText="1"/>
    </xf>
    <xf numFmtId="0" fontId="0" fillId="11" borderId="0" xfId="0" applyFill="1" applyAlignment="1">
      <alignment vertical="top" wrapText="1"/>
    </xf>
    <xf numFmtId="0" fontId="9" fillId="11" borderId="0" xfId="0" applyFont="1" applyFill="1" applyBorder="1" applyAlignment="1">
      <alignment vertical="center" wrapText="1"/>
    </xf>
    <xf numFmtId="0" fontId="0" fillId="11" borderId="2" xfId="0" applyFill="1" applyBorder="1" applyAlignment="1">
      <alignment vertical="top" wrapText="1"/>
    </xf>
    <xf numFmtId="0" fontId="5" fillId="0" borderId="2" xfId="2" applyFont="1" applyFill="1" applyBorder="1" applyAlignment="1">
      <alignment wrapText="1"/>
    </xf>
    <xf numFmtId="0" fontId="9" fillId="0" borderId="0" xfId="0" applyFont="1" applyFill="1" applyAlignment="1">
      <alignment wrapText="1"/>
    </xf>
    <xf numFmtId="0" fontId="0" fillId="6" borderId="2" xfId="0" applyFill="1" applyBorder="1" applyAlignment="1">
      <alignment vertical="top" wrapText="1"/>
    </xf>
    <xf numFmtId="0" fontId="0" fillId="10" borderId="2" xfId="0" applyFill="1" applyBorder="1" applyAlignment="1">
      <alignment vertical="top" wrapText="1"/>
    </xf>
    <xf numFmtId="0" fontId="0" fillId="9" borderId="2" xfId="0" applyFill="1" applyBorder="1" applyAlignment="1">
      <alignment vertical="top" wrapText="1"/>
    </xf>
    <xf numFmtId="0" fontId="0" fillId="25" borderId="2" xfId="0" applyFill="1" applyBorder="1" applyAlignment="1">
      <alignment vertical="top" wrapText="1"/>
    </xf>
    <xf numFmtId="0" fontId="0" fillId="0" borderId="0" xfId="0" applyBorder="1" applyAlignment="1">
      <alignment vertical="top"/>
    </xf>
    <xf numFmtId="0" fontId="0" fillId="0" borderId="0" xfId="0" applyBorder="1"/>
    <xf numFmtId="0" fontId="5" fillId="4" borderId="0" xfId="0" applyFont="1" applyFill="1" applyBorder="1" applyAlignment="1">
      <alignment vertical="center" wrapText="1"/>
    </xf>
    <xf numFmtId="0" fontId="0" fillId="0" borderId="0" xfId="0" applyBorder="1" applyAlignment="1">
      <alignment vertical="center"/>
    </xf>
    <xf numFmtId="0" fontId="0" fillId="26" borderId="2" xfId="0" applyFill="1" applyBorder="1" applyAlignment="1">
      <alignment vertical="top" wrapText="1"/>
    </xf>
    <xf numFmtId="0" fontId="9" fillId="27" borderId="2" xfId="0" applyFont="1" applyFill="1" applyBorder="1" applyAlignment="1">
      <alignment vertical="top" wrapText="1"/>
    </xf>
    <xf numFmtId="0" fontId="5" fillId="14" borderId="4" xfId="0" applyFont="1" applyFill="1" applyBorder="1" applyAlignment="1">
      <alignment horizontal="center"/>
    </xf>
    <xf numFmtId="0" fontId="5" fillId="15" borderId="4" xfId="0" applyFont="1" applyFill="1" applyBorder="1" applyAlignment="1">
      <alignment horizontal="center"/>
    </xf>
    <xf numFmtId="0" fontId="5" fillId="14" borderId="0" xfId="0" applyFont="1" applyFill="1" applyBorder="1" applyAlignment="1">
      <alignment horizontal="center"/>
    </xf>
    <xf numFmtId="0" fontId="5" fillId="15" borderId="0" xfId="0" applyFont="1" applyFill="1" applyBorder="1" applyAlignment="1">
      <alignment horizontal="center"/>
    </xf>
    <xf numFmtId="0" fontId="3" fillId="14" borderId="0" xfId="0" applyFont="1" applyFill="1" applyAlignment="1">
      <alignment horizontal="center"/>
    </xf>
    <xf numFmtId="0" fontId="3" fillId="0" borderId="0" xfId="0" applyFont="1" applyAlignment="1">
      <alignment horizontal="center"/>
    </xf>
    <xf numFmtId="0" fontId="0" fillId="21" borderId="0" xfId="0" applyFill="1" applyAlignment="1"/>
  </cellXfs>
  <cellStyles count="6">
    <cellStyle name="Followed Hyperlink" xfId="4" builtinId="9"/>
    <cellStyle name="Hyperlink" xfId="3" builtinId="8"/>
    <cellStyle name="Hyperlink 2" xfId="5"/>
    <cellStyle name="Input" xfId="2" builtinId="20"/>
    <cellStyle name="Neutral" xfId="1" builtinId="28"/>
    <cellStyle name="Normal" xfId="0" builtinId="0"/>
  </cellStyles>
  <dxfs count="0"/>
  <tableStyles count="0" defaultTableStyle="TableStyleMedium2" defaultPivotStyle="PivotStyleLight16"/>
  <colors>
    <mruColors>
      <color rgb="FFFF66FF"/>
      <color rgb="FFFFCC00"/>
      <color rgb="FF99FF99"/>
      <color rgb="FF33CCCC"/>
      <color rgb="FFFFFF99"/>
      <color rgb="FF9966FF"/>
      <color rgb="FF00FF99"/>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 Id="rId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3" Type="http://schemas.openxmlformats.org/officeDocument/2006/relationships/image" Target="../media/image8.jpg"/><Relationship Id="rId7" Type="http://schemas.openxmlformats.org/officeDocument/2006/relationships/image" Target="../media/image12.jpeg"/><Relationship Id="rId2" Type="http://schemas.openxmlformats.org/officeDocument/2006/relationships/image" Target="../media/image7.jpeg"/><Relationship Id="rId1" Type="http://schemas.openxmlformats.org/officeDocument/2006/relationships/image" Target="../media/image6.jpg"/><Relationship Id="rId6" Type="http://schemas.openxmlformats.org/officeDocument/2006/relationships/image" Target="../media/image11.jpeg"/><Relationship Id="rId5" Type="http://schemas.openxmlformats.org/officeDocument/2006/relationships/image" Target="../media/image10.jpeg"/><Relationship Id="rId4" Type="http://schemas.openxmlformats.org/officeDocument/2006/relationships/image" Target="../media/image9.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247650</xdr:colOff>
      <xdr:row>3</xdr:row>
      <xdr:rowOff>47625</xdr:rowOff>
    </xdr:from>
    <xdr:to>
      <xdr:col>1</xdr:col>
      <xdr:colOff>2286000</xdr:colOff>
      <xdr:row>3</xdr:row>
      <xdr:rowOff>619126</xdr:rowOff>
    </xdr:to>
    <xdr:pic>
      <xdr:nvPicPr>
        <xdr:cNvPr id="5" name="Picture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85950" y="2676525"/>
          <a:ext cx="2038350" cy="5715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95250</xdr:colOff>
      <xdr:row>3</xdr:row>
      <xdr:rowOff>33619</xdr:rowOff>
    </xdr:from>
    <xdr:to>
      <xdr:col>5</xdr:col>
      <xdr:colOff>1838325</xdr:colOff>
      <xdr:row>3</xdr:row>
      <xdr:rowOff>1225364</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43375" y="795619"/>
          <a:ext cx="1743075" cy="119174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5</xdr:col>
      <xdr:colOff>209550</xdr:colOff>
      <xdr:row>4</xdr:row>
      <xdr:rowOff>33619</xdr:rowOff>
    </xdr:from>
    <xdr:to>
      <xdr:col>5</xdr:col>
      <xdr:colOff>1856814</xdr:colOff>
      <xdr:row>4</xdr:row>
      <xdr:rowOff>1371601</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57675" y="2329144"/>
          <a:ext cx="1647264" cy="1337982"/>
        </a:xfrm>
        <a:prstGeom prst="rect">
          <a:avLst/>
        </a:prstGeom>
      </xdr:spPr>
    </xdr:pic>
    <xdr:clientData/>
  </xdr:twoCellAnchor>
  <xdr:twoCellAnchor editAs="oneCell">
    <xdr:from>
      <xdr:col>5</xdr:col>
      <xdr:colOff>257175</xdr:colOff>
      <xdr:row>5</xdr:row>
      <xdr:rowOff>71717</xdr:rowOff>
    </xdr:from>
    <xdr:to>
      <xdr:col>5</xdr:col>
      <xdr:colOff>1885635</xdr:colOff>
      <xdr:row>5</xdr:row>
      <xdr:rowOff>1133474</xdr:rowOff>
    </xdr:to>
    <xdr:pic>
      <xdr:nvPicPr>
        <xdr:cNvPr id="4" name="Picture 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305300" y="3938867"/>
          <a:ext cx="1628460" cy="1061757"/>
        </a:xfrm>
        <a:prstGeom prst="rect">
          <a:avLst/>
        </a:prstGeom>
      </xdr:spPr>
    </xdr:pic>
    <xdr:clientData/>
  </xdr:twoCellAnchor>
  <xdr:twoCellAnchor editAs="oneCell">
    <xdr:from>
      <xdr:col>5</xdr:col>
      <xdr:colOff>257175</xdr:colOff>
      <xdr:row>6</xdr:row>
      <xdr:rowOff>67236</xdr:rowOff>
    </xdr:from>
    <xdr:to>
      <xdr:col>5</xdr:col>
      <xdr:colOff>1778403</xdr:colOff>
      <xdr:row>6</xdr:row>
      <xdr:rowOff>1333500</xdr:rowOff>
    </xdr:to>
    <xdr:pic>
      <xdr:nvPicPr>
        <xdr:cNvPr id="5" name="Picture 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305300" y="5506011"/>
          <a:ext cx="1521228" cy="126626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268945</xdr:colOff>
      <xdr:row>2</xdr:row>
      <xdr:rowOff>67237</xdr:rowOff>
    </xdr:from>
    <xdr:to>
      <xdr:col>1</xdr:col>
      <xdr:colOff>2513959</xdr:colOff>
      <xdr:row>2</xdr:row>
      <xdr:rowOff>1140200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73870" y="829237"/>
          <a:ext cx="2245014" cy="1311088"/>
        </a:xfrm>
        <a:prstGeom prst="rect">
          <a:avLst/>
        </a:prstGeom>
      </xdr:spPr>
    </xdr:pic>
    <xdr:clientData/>
  </xdr:twoCellAnchor>
  <xdr:twoCellAnchor editAs="oneCell">
    <xdr:from>
      <xdr:col>1</xdr:col>
      <xdr:colOff>201705</xdr:colOff>
      <xdr:row>4</xdr:row>
      <xdr:rowOff>44824</xdr:rowOff>
    </xdr:from>
    <xdr:to>
      <xdr:col>1</xdr:col>
      <xdr:colOff>2498912</xdr:colOff>
      <xdr:row>4</xdr:row>
      <xdr:rowOff>1138744</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06630" y="2797549"/>
          <a:ext cx="2297207" cy="1341570"/>
        </a:xfrm>
        <a:prstGeom prst="rect">
          <a:avLst/>
        </a:prstGeom>
      </xdr:spPr>
    </xdr:pic>
    <xdr:clientData/>
  </xdr:twoCellAnchor>
  <xdr:twoCellAnchor editAs="oneCell">
    <xdr:from>
      <xdr:col>1</xdr:col>
      <xdr:colOff>526676</xdr:colOff>
      <xdr:row>6</xdr:row>
      <xdr:rowOff>44824</xdr:rowOff>
    </xdr:from>
    <xdr:to>
      <xdr:col>1</xdr:col>
      <xdr:colOff>2319618</xdr:colOff>
      <xdr:row>6</xdr:row>
      <xdr:rowOff>1091903</xdr:rowOff>
    </xdr:to>
    <xdr:pic>
      <xdr:nvPicPr>
        <xdr:cNvPr id="4" name="Picture 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31601" y="4693024"/>
          <a:ext cx="1792942" cy="1047079"/>
        </a:xfrm>
        <a:prstGeom prst="rect">
          <a:avLst/>
        </a:prstGeom>
      </xdr:spPr>
    </xdr:pic>
    <xdr:clientData/>
  </xdr:twoCellAnchor>
  <xdr:twoCellAnchor editAs="oneCell">
    <xdr:from>
      <xdr:col>1</xdr:col>
      <xdr:colOff>123266</xdr:colOff>
      <xdr:row>8</xdr:row>
      <xdr:rowOff>78443</xdr:rowOff>
    </xdr:from>
    <xdr:to>
      <xdr:col>1</xdr:col>
      <xdr:colOff>2611679</xdr:colOff>
      <xdr:row>8</xdr:row>
      <xdr:rowOff>1815355</xdr:rowOff>
    </xdr:to>
    <xdr:pic>
      <xdr:nvPicPr>
        <xdr:cNvPr id="5" name="Picture 4"/>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28191" y="6183968"/>
          <a:ext cx="2488413" cy="1736912"/>
        </a:xfrm>
        <a:prstGeom prst="rect">
          <a:avLst/>
        </a:prstGeom>
      </xdr:spPr>
    </xdr:pic>
    <xdr:clientData/>
  </xdr:twoCellAnchor>
  <xdr:twoCellAnchor editAs="oneCell">
    <xdr:from>
      <xdr:col>1</xdr:col>
      <xdr:colOff>336180</xdr:colOff>
      <xdr:row>10</xdr:row>
      <xdr:rowOff>44824</xdr:rowOff>
    </xdr:from>
    <xdr:to>
      <xdr:col>1</xdr:col>
      <xdr:colOff>2610974</xdr:colOff>
      <xdr:row>10</xdr:row>
      <xdr:rowOff>1139594</xdr:rowOff>
    </xdr:to>
    <xdr:pic>
      <xdr:nvPicPr>
        <xdr:cNvPr id="6" name="Picture 5"/>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641105" y="8522074"/>
          <a:ext cx="2274794" cy="1437670"/>
        </a:xfrm>
        <a:prstGeom prst="rect">
          <a:avLst/>
        </a:prstGeom>
      </xdr:spPr>
    </xdr:pic>
    <xdr:clientData/>
  </xdr:twoCellAnchor>
  <xdr:twoCellAnchor editAs="oneCell">
    <xdr:from>
      <xdr:col>1</xdr:col>
      <xdr:colOff>481851</xdr:colOff>
      <xdr:row>12</xdr:row>
      <xdr:rowOff>67235</xdr:rowOff>
    </xdr:from>
    <xdr:to>
      <xdr:col>1</xdr:col>
      <xdr:colOff>2409263</xdr:colOff>
      <xdr:row>12</xdr:row>
      <xdr:rowOff>1171574</xdr:rowOff>
    </xdr:to>
    <xdr:pic>
      <xdr:nvPicPr>
        <xdr:cNvPr id="7" name="Picture 6"/>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786776" y="10411385"/>
          <a:ext cx="1927412" cy="1104339"/>
        </a:xfrm>
        <a:prstGeom prst="rect">
          <a:avLst/>
        </a:prstGeom>
      </xdr:spPr>
    </xdr:pic>
    <xdr:clientData/>
  </xdr:twoCellAnchor>
  <xdr:twoCellAnchor editAs="oneCell">
    <xdr:from>
      <xdr:col>1</xdr:col>
      <xdr:colOff>739589</xdr:colOff>
      <xdr:row>14</xdr:row>
      <xdr:rowOff>33618</xdr:rowOff>
    </xdr:from>
    <xdr:to>
      <xdr:col>1</xdr:col>
      <xdr:colOff>2095501</xdr:colOff>
      <xdr:row>14</xdr:row>
      <xdr:rowOff>1058687</xdr:rowOff>
    </xdr:to>
    <xdr:pic>
      <xdr:nvPicPr>
        <xdr:cNvPr id="8" name="Picture 7"/>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044514" y="12197043"/>
          <a:ext cx="1355912" cy="1025069"/>
        </a:xfrm>
        <a:prstGeom prst="rect">
          <a:avLst/>
        </a:prstGeom>
      </xdr:spPr>
    </xdr:pic>
    <xdr:clientData/>
  </xdr:twoCellAnchor>
  <xdr:twoCellAnchor editAs="oneCell">
    <xdr:from>
      <xdr:col>1</xdr:col>
      <xdr:colOff>268945</xdr:colOff>
      <xdr:row>2</xdr:row>
      <xdr:rowOff>67237</xdr:rowOff>
    </xdr:from>
    <xdr:to>
      <xdr:col>1</xdr:col>
      <xdr:colOff>2513959</xdr:colOff>
      <xdr:row>2</xdr:row>
      <xdr:rowOff>1378325</xdr:rowOff>
    </xdr:to>
    <xdr:pic>
      <xdr:nvPicPr>
        <xdr:cNvPr id="9" name="Picture 8"/>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73870" y="829237"/>
          <a:ext cx="2245014" cy="1311088"/>
        </a:xfrm>
        <a:prstGeom prst="rect">
          <a:avLst/>
        </a:prstGeom>
      </xdr:spPr>
    </xdr:pic>
    <xdr:clientData/>
  </xdr:twoCellAnchor>
  <xdr:twoCellAnchor editAs="oneCell">
    <xdr:from>
      <xdr:col>1</xdr:col>
      <xdr:colOff>201705</xdr:colOff>
      <xdr:row>4</xdr:row>
      <xdr:rowOff>44824</xdr:rowOff>
    </xdr:from>
    <xdr:to>
      <xdr:col>1</xdr:col>
      <xdr:colOff>2498912</xdr:colOff>
      <xdr:row>4</xdr:row>
      <xdr:rowOff>1386394</xdr:rowOff>
    </xdr:to>
    <xdr:pic>
      <xdr:nvPicPr>
        <xdr:cNvPr id="10" name="Picture 9"/>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06630" y="2797549"/>
          <a:ext cx="2297207" cy="1341570"/>
        </a:xfrm>
        <a:prstGeom prst="rect">
          <a:avLst/>
        </a:prstGeom>
      </xdr:spPr>
    </xdr:pic>
    <xdr:clientData/>
  </xdr:twoCellAnchor>
  <xdr:twoCellAnchor editAs="oneCell">
    <xdr:from>
      <xdr:col>1</xdr:col>
      <xdr:colOff>526676</xdr:colOff>
      <xdr:row>6</xdr:row>
      <xdr:rowOff>44824</xdr:rowOff>
    </xdr:from>
    <xdr:to>
      <xdr:col>1</xdr:col>
      <xdr:colOff>2319618</xdr:colOff>
      <xdr:row>6</xdr:row>
      <xdr:rowOff>1091903</xdr:rowOff>
    </xdr:to>
    <xdr:pic>
      <xdr:nvPicPr>
        <xdr:cNvPr id="11" name="Picture 10"/>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31601" y="4693024"/>
          <a:ext cx="1792942" cy="1047079"/>
        </a:xfrm>
        <a:prstGeom prst="rect">
          <a:avLst/>
        </a:prstGeom>
      </xdr:spPr>
    </xdr:pic>
    <xdr:clientData/>
  </xdr:twoCellAnchor>
  <xdr:twoCellAnchor editAs="oneCell">
    <xdr:from>
      <xdr:col>1</xdr:col>
      <xdr:colOff>123266</xdr:colOff>
      <xdr:row>8</xdr:row>
      <xdr:rowOff>78443</xdr:rowOff>
    </xdr:from>
    <xdr:to>
      <xdr:col>1</xdr:col>
      <xdr:colOff>2611679</xdr:colOff>
      <xdr:row>8</xdr:row>
      <xdr:rowOff>1815355</xdr:rowOff>
    </xdr:to>
    <xdr:pic>
      <xdr:nvPicPr>
        <xdr:cNvPr id="12" name="Picture 11"/>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28191" y="6183968"/>
          <a:ext cx="2488413" cy="1736912"/>
        </a:xfrm>
        <a:prstGeom prst="rect">
          <a:avLst/>
        </a:prstGeom>
      </xdr:spPr>
    </xdr:pic>
    <xdr:clientData/>
  </xdr:twoCellAnchor>
  <xdr:twoCellAnchor editAs="oneCell">
    <xdr:from>
      <xdr:col>1</xdr:col>
      <xdr:colOff>336180</xdr:colOff>
      <xdr:row>10</xdr:row>
      <xdr:rowOff>44824</xdr:rowOff>
    </xdr:from>
    <xdr:to>
      <xdr:col>1</xdr:col>
      <xdr:colOff>2610974</xdr:colOff>
      <xdr:row>10</xdr:row>
      <xdr:rowOff>1482494</xdr:rowOff>
    </xdr:to>
    <xdr:pic>
      <xdr:nvPicPr>
        <xdr:cNvPr id="13" name="Picture 1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641105" y="8522074"/>
          <a:ext cx="2274794" cy="1437670"/>
        </a:xfrm>
        <a:prstGeom prst="rect">
          <a:avLst/>
        </a:prstGeom>
      </xdr:spPr>
    </xdr:pic>
    <xdr:clientData/>
  </xdr:twoCellAnchor>
  <xdr:twoCellAnchor editAs="oneCell">
    <xdr:from>
      <xdr:col>1</xdr:col>
      <xdr:colOff>481851</xdr:colOff>
      <xdr:row>12</xdr:row>
      <xdr:rowOff>67236</xdr:rowOff>
    </xdr:from>
    <xdr:to>
      <xdr:col>1</xdr:col>
      <xdr:colOff>2409263</xdr:colOff>
      <xdr:row>12</xdr:row>
      <xdr:rowOff>1285360</xdr:rowOff>
    </xdr:to>
    <xdr:pic>
      <xdr:nvPicPr>
        <xdr:cNvPr id="14" name="Picture 13"/>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86776" y="10411386"/>
          <a:ext cx="1927412" cy="1218124"/>
        </a:xfrm>
        <a:prstGeom prst="rect">
          <a:avLst/>
        </a:prstGeom>
      </xdr:spPr>
    </xdr:pic>
    <xdr:clientData/>
  </xdr:twoCellAnchor>
  <xdr:twoCellAnchor editAs="oneCell">
    <xdr:from>
      <xdr:col>1</xdr:col>
      <xdr:colOff>739589</xdr:colOff>
      <xdr:row>14</xdr:row>
      <xdr:rowOff>33618</xdr:rowOff>
    </xdr:from>
    <xdr:to>
      <xdr:col>1</xdr:col>
      <xdr:colOff>2095501</xdr:colOff>
      <xdr:row>14</xdr:row>
      <xdr:rowOff>1058687</xdr:rowOff>
    </xdr:to>
    <xdr:pic>
      <xdr:nvPicPr>
        <xdr:cNvPr id="15" name="Picture 14"/>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044514" y="12197043"/>
          <a:ext cx="1355912" cy="10250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19050</xdr:colOff>
      <xdr:row>3</xdr:row>
      <xdr:rowOff>314324</xdr:rowOff>
    </xdr:from>
    <xdr:to>
      <xdr:col>6</xdr:col>
      <xdr:colOff>2057400</xdr:colOff>
      <xdr:row>3</xdr:row>
      <xdr:rowOff>885825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925175" y="885824"/>
          <a:ext cx="2038350" cy="57150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ferdous.CORP/Documents/ahmed/Proofs_doc/w_48/11.27__Holiday_BlackFriday/SA-CW-757-SDSAC-1562-Black-Friday-Matrix.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DSA/Downloads/ME%20Holiday%20Deals_FINAL%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 DATA + SL, PH - Nov27-1159PM"/>
      <sheetName val="MI DATA + SL, PH Nov29-1159PM"/>
      <sheetName val="MI DATA + SL, PH Nov30-11-59PM"/>
      <sheetName val="MI DATA + SL, PH Dec6-11PM"/>
      <sheetName val="Dynamic Banners"/>
      <sheetName val="Guidelines"/>
      <sheetName val="DD Versions"/>
      <sheetName val="CC Versions"/>
      <sheetName val="BF Offers"/>
      <sheetName val="DDOfferCopy"/>
      <sheetName val="CCModuleCopy"/>
      <sheetName val="MiscBanners"/>
      <sheetName val="TC"/>
      <sheetName val="PN Copy - For Designers"/>
    </sheetNames>
    <sheetDataSet>
      <sheetData sheetId="0"/>
      <sheetData sheetId="1"/>
      <sheetData sheetId="2"/>
      <sheetData sheetId="3"/>
      <sheetData sheetId="4">
        <row r="7">
          <cell r="M7" t="str">
            <v xml:space="preserve">Cyber Monday may be over, but shop and save all Cyber Week long. </v>
          </cell>
        </row>
      </sheetData>
      <sheetData sheetId="5"/>
      <sheetData sheetId="6"/>
      <sheetData sheetId="7"/>
      <sheetData sheetId="8"/>
      <sheetData sheetId="9">
        <row r="4">
          <cell r="G4" t="str">
            <v>Now from only $6.95/mo for 36 mos⊕ or $249.99 with eligible trade-in.ᶿ</v>
          </cell>
          <cell r="H4" t="str">
            <v xml:space="preserve">Get $200 off instantly and up to $550 trade-in creditᶿ with our best Galaxy Note20 5G series offer of the year. For a limited time. </v>
          </cell>
          <cell r="I4" t="str">
            <v>Buy now</v>
          </cell>
          <cell r="J4" t="str">
            <v>https://www.samsung.com/us/smartphones/galaxy-note20-5g/buy/</v>
          </cell>
          <cell r="K4" t="str">
            <v>https://shopsamsung.page.link?link=https%3A%2F%2Fwww.samsung.com%2Fus%2Fsmartphones%2Fgalaxy-note20-5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note20-5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note20-5g%2Fbuy%2F%3FofferCID%3DearlyAccess%26utm_source%3Dsamsung%26utm_medium%3Demail%26utm_campaign%3Dholiday_deals_t3_11172020%26marsLinkCategory%3D__MARSTRACKING__%26MKM_RID%3D__BPNUMBER__%26MKM_MID%3D__DELIVERNAME__%26cid%3D__CID____SEGMENTCODE__%26bpid%3D__BPNUMBER__&amp;efr=1</v>
          </cell>
          <cell r="P4" t="str">
            <v>https://www.samsung.com/us/smartphones/galaxy-note20-5g/buy/</v>
          </cell>
          <cell r="Q4" t="str">
            <v>https://shopsamsung.page.link?link=https%3A%2F%2Fwww.samsung.com%2Fus%2Fsmartphones%2Fgalaxy-note20-5g%2Fbuy%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note20-5g%2Findex.html%23utm_source%3Dsamsung%23utm_medium%3Demail%23utm_campaign%3Dholiday_deals_t3_11172020%23marsLinkCategory%3D__MARSTRACKING__%23MKM_RID%3D__BPNUMBER__%23MKM_MID%3D__DELIVERNAME__%23cid%3D__CID____SEGMENTCODE__%23bpid%3D__BPNUMBER__&amp;afl=https%3A%2F%2Fwww.samsung.com%2Fus%2Fsmartphones%2Fgalaxy-note20-5g%2Fbuy%2F%3Futm_source%3Dsamsung%26utm_medium%3Demail%26utm_campaign%3Dholiday_deals_t3_11172020%26marsLinkCategory%3D__MARSTRACKING__%26MKM_RID%3D__BPNUMBER__%26MKM_MID%3D__DELIVERNAME__%26cid%3D__CID____SEGMENTCODE__%26bpid%3D__BPNUMBER__&amp;efr=1</v>
          </cell>
        </row>
        <row r="5">
          <cell r="F5" t="str">
            <v>21_IM_HeadImage_MB_Galaxy-500xV.jpg</v>
          </cell>
          <cell r="G5" t="str">
            <v>Now from only $5.84/mo for 24 mos⊕ or $139.99 with eligible trade-in.ᶿ</v>
          </cell>
          <cell r="H5" t="str">
            <v xml:space="preserve">Get up to $200 off instantly and up to $460 trade-in creditᶿ with our best Galaxy S20 5G series offer of the year. For a limited time. </v>
          </cell>
          <cell r="I5" t="str">
            <v>Buy now</v>
          </cell>
          <cell r="J5" t="str">
            <v>https://www.samsung.com/us/mobile/galaxy-s20-5g/buy/</v>
          </cell>
          <cell r="K5" t="str">
            <v>https://shopsamsung.page.link?link=https%3A%2F%2Fwww.samsung.com%2Fus%2Fmobile%2Fgalaxy-s20-5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s20-5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galaxy-s20-5g%2Fbuy%2F%3FofferCID%3DearlyAccess%26utm_source%3Dsamsung%26utm_medium%3Demail%26utm_campaign%3Dholiday_deals_t3_11172020%26marsLinkCategory%3D__MARSTRACKING__%26MKM_RID%3D__BPNUMBER__%26MKM_MID%3D__DELIVERNAME__%26cid%3D__CID____SEGMENTCODE__%26bpid%3D__BPNUMBER__&amp;efr=1</v>
          </cell>
        </row>
        <row r="6">
          <cell r="F6" t="str">
            <v>23_IM_HeadImage_MB_Fold-500xV.jpg</v>
          </cell>
          <cell r="G6" t="str">
            <v>Now from only $20.84/mo for 48 mos⊕ or $999.99 with eligible trade-in.ᶿ</v>
          </cell>
          <cell r="H6" t="str">
            <v xml:space="preserve">Our best Galaxy Z Fold2 5G offer of the year. Get up to $1000 trade-in credit.ᶿ Plus, get up to $120 instant credit toward accessories.§‡ For a limited time. </v>
          </cell>
          <cell r="I6" t="str">
            <v>Buy now</v>
          </cell>
          <cell r="J6" t="str">
            <v>https://www.samsung.com/us/smartphones/galaxy-z-fold2-5g/buy/</v>
          </cell>
          <cell r="K6" t="str">
            <v>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v>
          </cell>
        </row>
        <row r="7">
          <cell r="F7" t="str">
            <v>24-IM-A71-A51-HeadImage-500xV.jpg</v>
          </cell>
          <cell r="G7" t="str">
            <v xml:space="preserve">Now from only only $8.34/mo for 36 mos⊕ or $299.99 with eligible trade-in.ᶿ </v>
          </cell>
          <cell r="H7" t="str">
            <v xml:space="preserve">Save up to $250 instantly and get $75 or more trade-in credit. Treat yourself to blazing fast 5G speeds and incredible features at an amazing value. </v>
          </cell>
          <cell r="I7" t="str">
            <v>Buy now</v>
          </cell>
          <cell r="J7" t="str">
            <v>https://www.samsung.com/us/mobile/phones/galaxy-a/buy/?link=galaxy-a71-5g</v>
          </cell>
          <cell r="K7" t="str">
            <v>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v>
          </cell>
        </row>
      </sheetData>
      <sheetData sheetId="10">
        <row r="3">
          <cell r="C3" t="str">
            <v>Save up to $1000 instantly on the latest and greatest Galaxy smartphones</v>
          </cell>
          <cell r="D3" t="str">
            <v>NULL</v>
          </cell>
          <cell r="E3" t="str">
            <v>Black Friday prices and trade-in values are in full effect, giving you access to some of our best offers of the year on  Galaxy Note20 5G, S20 FE 5G, Z Fold2 5G and select A series devices.
Plus, get $50 or more instant credit toward accessories with any smartphone purchase to complete your Galaxy Ecosystem.‡†</v>
          </cell>
          <cell r="F3" t="str">
            <v>Shop all</v>
          </cell>
          <cell r="G3" t="str">
            <v>https://www.samsung.com/us/shop/all-deals/cell-phone-deals/</v>
          </cell>
          <cell r="H3" t="str">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ell>
        </row>
        <row r="5">
          <cell r="C5" t="str">
            <v>Save up to $1000 instantly on the latest and greatest Galaxy smartphones</v>
          </cell>
          <cell r="D5" t="str">
            <v>NULL</v>
          </cell>
          <cell r="E5" t="str">
            <v>Black Friday prices and trade-in values are in full effect, giving you access to some of our best offers of the year on  Galaxy Note20 5G, S20 FE 5G, Z Fold2 5G and select A series devices.
Plus, get $30 or more instant credit toward accessories with any smartphone purchase to complete your Galaxy Ecosystem.†</v>
          </cell>
          <cell r="L5" t="str">
            <v>Shop all</v>
          </cell>
          <cell r="M5" t="str">
            <v>https://www.samsung.com/us/shop/all-deals/cell-phone-deals/</v>
          </cell>
          <cell r="N5" t="str">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ell>
        </row>
        <row r="7">
          <cell r="C7" t="str">
            <v>Get up to $3000 off select 8K, 4K and Lifestyle TVs</v>
          </cell>
          <cell r="D7" t="str">
            <v>NULL</v>
          </cell>
          <cell r="E7" t="str">
            <v xml:space="preserve">Discover the mind-blowing, true-to-live resolution of QLED technology.
Save up to $3000 on 8K TVs, up to $1800 on select 4K TVs, up to $1300 on Lifestyle TVs and up to $400 on select soundbars and more. 
Plus, buy and try select Lifestyle TVs, soundbars and The Premiere Projector with our new 100-day, risk-free trial. </v>
          </cell>
          <cell r="F7" t="str">
            <v>Shop all</v>
          </cell>
          <cell r="G7" t="str">
            <v>https://www.samsung.com/us/shop/all-deals/tv-and-home-theater-deals/</v>
          </cell>
          <cell r="H7" t="str">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ell>
          <cell r="L7" t="str">
            <v>Shop all</v>
          </cell>
          <cell r="M7" t="str">
            <v>https://www.samsung.com/us/shop/all-deals/tv-and-home-theater-deals/</v>
          </cell>
          <cell r="N7" t="str">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ell>
        </row>
        <row r="9">
          <cell r="B9" t="str">
            <v>HA_HeadImage_Shop_HA_500xV.jpg</v>
          </cell>
          <cell r="C9" t="str">
            <v>Save up to 50% on everything you need to upgrade your home and home care</v>
          </cell>
          <cell r="D9" t="str">
            <v>NULL</v>
          </cell>
          <cell r="E9" t="str">
            <v xml:space="preserve">Complete your domestic oasis or prepare for holiday festivities, and even the clean up that comes after, today. 
Get an additional 10% off when you buy 4 or more eligible kitchen appliances. Save even more with early Black Friday prices for select categories.α 
Plus, buy and try a Jet Stick Cordless Vacuum with our new 100-day, risk-free trial. </v>
          </cell>
          <cell r="F9" t="str">
            <v>Shop all</v>
          </cell>
          <cell r="G9" t="str">
            <v>https://www.samsung.com/us/shop/all-deals/home-appliance-and-smart-home-sales/</v>
          </cell>
          <cell r="H9" t="str">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ell>
          <cell r="I9" t="str">
            <v>NULL</v>
          </cell>
          <cell r="J9" t="str">
            <v>NULL</v>
          </cell>
          <cell r="K9" t="str">
            <v>NULL</v>
          </cell>
          <cell r="L9" t="str">
            <v>Shop all</v>
          </cell>
          <cell r="M9" t="str">
            <v>https://www.samsung.com/us/shop/all-deals/home-appliance-and-smart-home-sales/</v>
          </cell>
          <cell r="N9" t="str">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ell>
          <cell r="O9" t="str">
            <v>NULL</v>
          </cell>
          <cell r="P9" t="str">
            <v>NULL</v>
          </cell>
          <cell r="Q9" t="str">
            <v>NULL</v>
          </cell>
        </row>
        <row r="11">
          <cell r="B11" t="str">
            <v>ME_HeadImage_Wearables_500xV.jpg</v>
          </cell>
          <cell r="C11" t="str">
            <v>Get up to $100 off select watches and earbuds</v>
          </cell>
          <cell r="D11" t="str">
            <v>NULL</v>
          </cell>
          <cell r="E11" t="str">
            <v>Shop our exclusive Black Friday offers on Galaxy Watch3 Titanium, Watch3, Buds+ and more, suited for every lifestyle and every holiday shopping budget. 
Plus, now you can flex your fashion muscles with the new Samsung Design Studio. Create a Galaxy Watch as unique as you, today.</v>
          </cell>
          <cell r="F11" t="str">
            <v>Shop all</v>
          </cell>
          <cell r="G11" t="str">
            <v>https://www.samsung.com/us/shop/all-deals/tablets-wearables-cell-phone-accessories-deals/</v>
          </cell>
          <cell r="H11" t="str">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ell>
          <cell r="I11" t="str">
            <v>NULL</v>
          </cell>
          <cell r="J11" t="str">
            <v>NULL</v>
          </cell>
          <cell r="K11" t="str">
            <v>NULL</v>
          </cell>
          <cell r="L11" t="str">
            <v>Shop all</v>
          </cell>
          <cell r="M11" t="str">
            <v>https://www.samsung.com/us/shop/all-deals/tablets-wearables-cell-phone-accessories-deals/</v>
          </cell>
          <cell r="N11" t="str">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ell>
          <cell r="O11" t="str">
            <v>NULL</v>
          </cell>
          <cell r="P11" t="str">
            <v>NULL</v>
          </cell>
          <cell r="Q11" t="str">
            <v>NULL</v>
          </cell>
        </row>
        <row r="13">
          <cell r="B13" t="str">
            <v>CE_HeadImage_Computing_500xV.jpg</v>
          </cell>
          <cell r="C13" t="str">
            <v>Get up to 60% off memory cards, SSD, monitors and more</v>
          </cell>
          <cell r="D13" t="str">
            <v>NULL</v>
          </cell>
          <cell r="E13" t="str">
            <v xml:space="preserve">Work and game smarter, not harder with these must-have computing offers. Expand the way you play, store and create and get up to 30% off monitors, up to 60% off memory cards, up to 35% off SSD and more. </v>
          </cell>
          <cell r="F13" t="str">
            <v>Shop all</v>
          </cell>
          <cell r="G13" t="str">
            <v>https://www.samsung.com/us/shop/all-deals/laptop-and-computer-deals/</v>
          </cell>
          <cell r="H13" t="str">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ell>
          <cell r="I13" t="str">
            <v>NULL</v>
          </cell>
          <cell r="J13" t="str">
            <v>NULL</v>
          </cell>
          <cell r="K13" t="str">
            <v>NULL</v>
          </cell>
          <cell r="L13" t="str">
            <v>Shop all</v>
          </cell>
          <cell r="M13" t="str">
            <v>https://www.samsung.com/us/shop/all-deals/laptop-and-computer-deals/</v>
          </cell>
          <cell r="N13" t="str">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ell>
          <cell r="O13" t="str">
            <v>NULL</v>
          </cell>
          <cell r="P13" t="str">
            <v>NULL</v>
          </cell>
          <cell r="Q13" t="str">
            <v>NULL</v>
          </cell>
        </row>
        <row r="15">
          <cell r="C15" t="str">
            <v>Save up to $150 on select tablets</v>
          </cell>
          <cell r="D15" t="str">
            <v>NULL</v>
          </cell>
          <cell r="E15" t="str">
            <v xml:space="preserve">Empower how you create, work, learn, game and more with our powerful line of tablets. Shop our offers on great products from the new Galaxy Tab S7+ to the Galaxy Tab S6 Lite. </v>
          </cell>
          <cell r="F15" t="str">
            <v>Shop all</v>
          </cell>
          <cell r="G15" t="str">
            <v>https://www.samsung.com/us/shop/all-deals/tablets-wearables-cell-phone-accessories-deals/</v>
          </cell>
          <cell r="H15" t="str">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ell>
          <cell r="L15" t="str">
            <v>Shop all</v>
          </cell>
          <cell r="M15" t="str">
            <v>https://www.samsung.com/us/shop/all-deals/tablets-wearables-cell-phone-accessories-deals/</v>
          </cell>
          <cell r="N15" t="str">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ell>
        </row>
      </sheetData>
      <sheetData sheetId="11">
        <row r="4">
          <cell r="B4" t="str">
            <v>https://www.samsung.com/us/shop/all-deals/</v>
          </cell>
          <cell r="C4" t="str">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ell>
          <cell r="I4" t="str">
            <v>Give-wonder-500xV.jpg</v>
          </cell>
          <cell r="J4" t="str">
            <v>The gift that keeps on giving</v>
          </cell>
          <cell r="K4" t="str">
            <v>NULL</v>
          </cell>
          <cell r="L4" t="str">
            <v>Discover even more exclusive offers on your favorite products and unlock the power of smart and savvy gifting.</v>
          </cell>
          <cell r="M4" t="str">
            <v>Shop now</v>
          </cell>
          <cell r="N4" t="str">
            <v>https://www.samsung.com/us/gift-ideas/</v>
          </cell>
          <cell r="O4" t="str">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ell>
          <cell r="P4" t="str">
            <v>NULL</v>
          </cell>
          <cell r="Q4" t="str">
            <v>NULL</v>
          </cell>
          <cell r="R4" t="str">
            <v>NULL</v>
          </cell>
          <cell r="U4" t="str">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ell>
        </row>
      </sheetData>
      <sheetData sheetId="12">
        <row r="2">
          <cell r="B2" t="str">
            <v>NULL</v>
          </cell>
          <cell r="C2" t="str">
            <v>NULL</v>
          </cell>
          <cell r="D2" t="str">
            <v>NULL</v>
          </cell>
          <cell r="E2" t="str">
            <v>ᶿFor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ell>
          <cell r="F2" t="str">
            <v>NULL</v>
          </cell>
          <cell r="G2" t="str">
            <v>https://www.samsung.com/us/trade-in/terms-and-conditions/</v>
          </cell>
          <cell r="H2" t="str">
            <v>https://www.samsung.com/us/trade-in/terms-and-conditions/</v>
          </cell>
          <cell r="I2" t="str">
            <v>NULL</v>
          </cell>
          <cell r="J2" t="str">
            <v>NULL</v>
          </cell>
          <cell r="K2" t="str">
            <v>NULL</v>
          </cell>
        </row>
        <row r="3">
          <cell r="B3" t="str">
            <v>NULL</v>
          </cell>
          <cell r="C3" t="str">
            <v>NULL</v>
          </cell>
          <cell r="D3" t="str">
            <v>NULL</v>
          </cell>
          <cell r="E3" t="str">
            <v>⊕0%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v>
          </cell>
          <cell r="F3" t="str">
            <v>NULL</v>
          </cell>
          <cell r="G3" t="str">
            <v xml:space="preserve"> </v>
          </cell>
          <cell r="I3" t="str">
            <v>NULL</v>
          </cell>
          <cell r="J3" t="str">
            <v>NULL</v>
          </cell>
          <cell r="K3" t="str">
            <v>NULL</v>
          </cell>
        </row>
        <row r="4">
          <cell r="B4" t="str">
            <v>NULL</v>
          </cell>
          <cell r="C4" t="str">
            <v>NULL</v>
          </cell>
          <cell r="D4" t="str">
            <v>NULL</v>
          </cell>
          <cell r="E4" t="str">
            <v>§18+ &amp; 50 US/DC only. By 11/29/2020 11:59 PM EST, purchase a qualifying device on device installment plan, 2-year contract plan, lease or outright purchase at full retail price (“Qualifying Purchase”), &amp; receive a Samsung Credit of $100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ell>
          <cell r="F4" t="str">
            <v>NULL</v>
          </cell>
          <cell r="G4" t="str">
            <v>https://www.samsung.com/us/</v>
          </cell>
          <cell r="H4" t="str">
            <v>https://www.samsung.com/us/</v>
          </cell>
          <cell r="I4" t="str">
            <v>NULL</v>
          </cell>
          <cell r="J4" t="str">
            <v>NULL</v>
          </cell>
          <cell r="K4" t="str">
            <v>NULL</v>
          </cell>
        </row>
        <row r="5">
          <cell r="B5" t="str">
            <v>NULL</v>
          </cell>
          <cell r="C5" t="str">
            <v>NULL</v>
          </cell>
          <cell r="D5" t="str">
            <v>NULL</v>
          </cell>
          <cell r="E5" t="str">
            <v>†18+ &amp; 50 US/DC only. By 11/29/2020 11:59 PM EST, purchase a qualifying device on device installment plan, 2-year contract plan, lease or outright purchase at full retail price (“Qualifying Purchase”), &amp; receive a Samsung Credit of $30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ell>
          <cell r="F5" t="str">
            <v>NULL</v>
          </cell>
          <cell r="G5" t="str">
            <v>https://www.samsung.com/us/</v>
          </cell>
          <cell r="H5" t="str">
            <v>https://www.samsung.com/us/</v>
          </cell>
          <cell r="I5" t="str">
            <v>NULL</v>
          </cell>
          <cell r="J5" t="str">
            <v>NULL</v>
          </cell>
          <cell r="K5" t="str">
            <v>NULL</v>
          </cell>
        </row>
        <row r="6">
          <cell r="B6" t="str">
            <v>NULL</v>
          </cell>
          <cell r="C6" t="str">
            <v>NULL</v>
          </cell>
          <cell r="D6" t="str">
            <v>NULL</v>
          </cell>
          <cell r="E6" t="str">
            <v>‡18+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ell>
          <cell r="F6" t="str">
            <v>NULL</v>
          </cell>
          <cell r="G6" t="str">
            <v>https://www.samsung.com/us/</v>
          </cell>
          <cell r="H6" t="str">
            <v>https://www.samsung.com/us/</v>
          </cell>
          <cell r="I6" t="str">
            <v>NULL</v>
          </cell>
          <cell r="J6" t="str">
            <v>NULL</v>
          </cell>
          <cell r="K6" t="str">
            <v>NULL</v>
          </cell>
        </row>
        <row r="7">
          <cell r="B7" t="str">
            <v>NULL</v>
          </cell>
          <cell r="C7" t="str">
            <v>NULL</v>
          </cell>
          <cell r="D7" t="str">
            <v>NULL</v>
          </cell>
          <cell r="E7" t="str">
            <v>αMust be an eligible legal resident of the 50 US/DC &amp; at least 18 years old to participate. Purchase at least 4 eligible Samsung Home Appliance products in the same transaction (Refrigerators, Ranges, Countertop Microwaves, Over-the-Range Microwave Ovens, Dishwashers, Wall Ovens, Cooktops, or Range Hoods) (“a Qualifying Purchase”) between 11/04/20 and 12/02/20 on Samsung.com, and you will receive a 10% instant rebate off of the pre-tax purchase price of your Qualifying Purchase (“Gift”). Purchases must include products from different product categories. If more than 4 eligible products are purchased, the additional products purchased are eligible for the discount as long as the eligibility requirements listed above and below are met. Eligible categories are Refrigerators, Ranges, Countertop Microwaves, Over-the-Range Microwave Ovens, Dishwashers, Wall Ovens, Cooktops, or Range Hoods. Samsung Chef Collection, Washers, Dryers, Pedestals, Vacuums, Air Purifiers, AirDresser, Wine Cooler, and all accessories are not eligible. Quantities limited; offer valid while supplies last. One claim per household. This Offer and instant rebate Gift redemption applies to Samsung.com only. Offer cannot be combined with other Samsung offers, rebates, programs, or promotions unless otherwise stated.</v>
          </cell>
          <cell r="F7" t="str">
            <v>NULL</v>
          </cell>
          <cell r="G7" t="str">
            <v xml:space="preserve"> </v>
          </cell>
          <cell r="I7" t="str">
            <v>NULL</v>
          </cell>
          <cell r="J7" t="str">
            <v>NULL</v>
          </cell>
          <cell r="K7" t="str">
            <v>NULL</v>
          </cell>
        </row>
      </sheetData>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27 BF"/>
      <sheetName val="11.30 Cyber Monday"/>
      <sheetName val="12.1-12.5 Cyber Week"/>
      <sheetName val="Sources Pricing"/>
    </sheetNames>
    <sheetDataSet>
      <sheetData sheetId="0"/>
      <sheetData sheetId="1"/>
      <sheetData sheetId="2"/>
      <sheetData sheetId="3">
        <row r="1">
          <cell r="B1" t="str">
            <v>Product Breakout</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samsung.com/us/shop/all-deals/"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samsung.com/us/televisions-home-theater/tvs/all-tvs/?technology=Crystal+UHD+TVs" TargetMode="External"/><Relationship Id="rId2" Type="http://schemas.openxmlformats.org/officeDocument/2006/relationships/hyperlink" Target="https://www.samsung.com/us/mobile/audio/headphones/galaxy-buds-plus-white-sm-r175nzwaxar/" TargetMode="External"/><Relationship Id="rId1" Type="http://schemas.openxmlformats.org/officeDocument/2006/relationships/hyperlink" Target="https://www.samsung.com/us/mobile/audio/headphones/galaxy-buds-plus-white-sm-r175nzwaxar/" TargetMode="External"/><Relationship Id="rId5" Type="http://schemas.openxmlformats.org/officeDocument/2006/relationships/drawing" Target="../drawings/drawing2.xml"/><Relationship Id="rId4" Type="http://schemas.openxmlformats.org/officeDocument/2006/relationships/hyperlink" Target="https://www.samsung.com/us/televisions-home-theater/tvs/all-tvs/?technology=Crystal+UHD+TVs"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samsung.com/us/shop/all-deals/tablets-wearables-cell-phone-accessories-deals/"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samsung.com/us/shop/all-deals/"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www.samsung.com/us/shop/all-deals/" TargetMode="External"/><Relationship Id="rId1" Type="http://schemas.openxmlformats.org/officeDocument/2006/relationships/hyperlink" Target="https://www.samsung.com/us/shop/all-dea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N40"/>
  <sheetViews>
    <sheetView tabSelected="1" workbookViewId="0">
      <selection activeCell="F3" sqref="F3"/>
    </sheetView>
  </sheetViews>
  <sheetFormatPr defaultColWidth="9" defaultRowHeight="15" x14ac:dyDescent="0.25"/>
  <cols>
    <col min="1" max="1" width="15.85546875" style="17" bestFit="1" customWidth="1"/>
    <col min="2" max="2" width="21.42578125" style="17" customWidth="1"/>
    <col min="3" max="3" width="25.7109375" style="17" bestFit="1" customWidth="1"/>
    <col min="4" max="4" width="20.5703125" style="17" customWidth="1"/>
    <col min="5" max="5" width="28.5703125" style="17" customWidth="1"/>
    <col min="6" max="6" width="13.28515625" style="17" customWidth="1"/>
    <col min="7" max="7" width="28.5703125" style="17" customWidth="1"/>
    <col min="8" max="8" width="33" style="17" customWidth="1"/>
    <col min="9" max="9" width="31.28515625" style="17" bestFit="1" customWidth="1"/>
    <col min="10" max="10" width="26.42578125" style="90" customWidth="1"/>
    <col min="11" max="11" width="25" style="91" customWidth="1"/>
    <col min="12" max="14" width="27" style="17" customWidth="1"/>
    <col min="15" max="16384" width="9" style="17"/>
  </cols>
  <sheetData>
    <row r="1" spans="1:14" ht="88.5" customHeight="1" x14ac:dyDescent="0.25">
      <c r="A1" s="67" t="s">
        <v>369</v>
      </c>
      <c r="B1" s="61" t="s">
        <v>344</v>
      </c>
      <c r="C1" s="61" t="s">
        <v>29</v>
      </c>
      <c r="D1" s="86" t="s">
        <v>401</v>
      </c>
      <c r="E1" s="87" t="s">
        <v>347</v>
      </c>
      <c r="F1" s="61" t="s">
        <v>390</v>
      </c>
      <c r="G1" s="88" t="s">
        <v>361</v>
      </c>
      <c r="H1" s="61" t="s">
        <v>392</v>
      </c>
      <c r="I1" s="87" t="s">
        <v>347</v>
      </c>
      <c r="J1" s="94" t="s">
        <v>394</v>
      </c>
      <c r="K1" s="95" t="s">
        <v>397</v>
      </c>
      <c r="L1" s="84"/>
      <c r="M1" s="84"/>
      <c r="N1" s="84"/>
    </row>
    <row r="2" spans="1:14" ht="72.75" customHeight="1" x14ac:dyDescent="0.25">
      <c r="A2" s="67" t="s">
        <v>369</v>
      </c>
      <c r="B2" s="61" t="s">
        <v>377</v>
      </c>
      <c r="C2" s="61" t="s">
        <v>29</v>
      </c>
      <c r="D2" s="86" t="s">
        <v>346</v>
      </c>
      <c r="E2" s="89" t="s">
        <v>378</v>
      </c>
      <c r="F2" s="89" t="s">
        <v>390</v>
      </c>
      <c r="G2" s="89" t="s">
        <v>378</v>
      </c>
      <c r="H2" s="89" t="s">
        <v>392</v>
      </c>
      <c r="I2" s="89" t="s">
        <v>378</v>
      </c>
      <c r="J2" s="83" t="s">
        <v>379</v>
      </c>
      <c r="K2" s="83" t="s">
        <v>379</v>
      </c>
      <c r="L2" s="16"/>
      <c r="M2" s="16"/>
      <c r="N2" s="16"/>
    </row>
    <row r="3" spans="1:14" ht="65.25" customHeight="1" x14ac:dyDescent="0.25">
      <c r="A3" s="67" t="s">
        <v>369</v>
      </c>
      <c r="B3" s="60" t="s">
        <v>380</v>
      </c>
      <c r="C3" s="61" t="s">
        <v>29</v>
      </c>
      <c r="D3" s="86" t="s">
        <v>346</v>
      </c>
      <c r="E3" s="89" t="s">
        <v>381</v>
      </c>
      <c r="F3" s="89" t="s">
        <v>390</v>
      </c>
      <c r="G3" s="89" t="s">
        <v>381</v>
      </c>
      <c r="H3" s="89" t="s">
        <v>392</v>
      </c>
      <c r="I3" s="89" t="s">
        <v>381</v>
      </c>
      <c r="J3" s="83" t="s">
        <v>379</v>
      </c>
      <c r="K3" s="83" t="s">
        <v>379</v>
      </c>
      <c r="L3" s="16"/>
      <c r="M3" s="16"/>
      <c r="N3" s="16"/>
    </row>
    <row r="4" spans="1:14" ht="60" customHeight="1" x14ac:dyDescent="0.25">
      <c r="A4" s="67" t="s">
        <v>369</v>
      </c>
      <c r="B4" s="61" t="s">
        <v>384</v>
      </c>
      <c r="C4" s="61" t="s">
        <v>29</v>
      </c>
      <c r="D4" s="86" t="s">
        <v>346</v>
      </c>
      <c r="E4" s="89" t="s">
        <v>385</v>
      </c>
      <c r="F4" s="89" t="s">
        <v>390</v>
      </c>
      <c r="G4" s="89" t="s">
        <v>385</v>
      </c>
      <c r="H4" s="89" t="s">
        <v>392</v>
      </c>
      <c r="I4" s="89" t="s">
        <v>385</v>
      </c>
      <c r="J4" s="83" t="s">
        <v>379</v>
      </c>
      <c r="K4" s="83" t="s">
        <v>379</v>
      </c>
      <c r="L4" s="16"/>
      <c r="M4" s="16"/>
      <c r="N4" s="16"/>
    </row>
    <row r="5" spans="1:14" ht="63.75" customHeight="1" x14ac:dyDescent="0.25">
      <c r="A5" s="67" t="s">
        <v>369</v>
      </c>
      <c r="B5" s="61" t="s">
        <v>386</v>
      </c>
      <c r="C5" s="61" t="s">
        <v>29</v>
      </c>
      <c r="D5" s="86" t="s">
        <v>346</v>
      </c>
      <c r="E5" s="89" t="s">
        <v>385</v>
      </c>
      <c r="F5" s="89" t="s">
        <v>390</v>
      </c>
      <c r="G5" s="89" t="s">
        <v>387</v>
      </c>
      <c r="H5" s="89" t="s">
        <v>392</v>
      </c>
      <c r="I5" s="89" t="s">
        <v>387</v>
      </c>
      <c r="J5" s="83" t="s">
        <v>379</v>
      </c>
      <c r="K5" s="83" t="s">
        <v>379</v>
      </c>
      <c r="L5" s="16"/>
      <c r="M5" s="16"/>
      <c r="N5" s="16"/>
    </row>
    <row r="6" spans="1:14" ht="81.75" customHeight="1" x14ac:dyDescent="0.25">
      <c r="A6" s="67" t="s">
        <v>369</v>
      </c>
      <c r="B6" s="61" t="s">
        <v>388</v>
      </c>
      <c r="C6" s="61" t="s">
        <v>29</v>
      </c>
      <c r="D6" s="86" t="s">
        <v>346</v>
      </c>
      <c r="E6" s="89" t="s">
        <v>389</v>
      </c>
      <c r="F6" s="89" t="s">
        <v>390</v>
      </c>
      <c r="G6" s="89" t="s">
        <v>389</v>
      </c>
      <c r="H6" s="89" t="s">
        <v>392</v>
      </c>
      <c r="I6" s="89" t="s">
        <v>389</v>
      </c>
      <c r="J6" s="83" t="s">
        <v>379</v>
      </c>
      <c r="K6" s="83" t="s">
        <v>379</v>
      </c>
      <c r="L6" s="16"/>
      <c r="M6" s="16"/>
      <c r="N6" s="16"/>
    </row>
    <row r="7" spans="1:14" x14ac:dyDescent="0.25">
      <c r="A7" s="16"/>
      <c r="B7" s="16"/>
      <c r="C7" s="16"/>
      <c r="D7" s="16"/>
      <c r="E7" s="16"/>
      <c r="F7" s="16"/>
      <c r="G7" s="16"/>
      <c r="H7" s="16"/>
      <c r="I7" s="16"/>
      <c r="L7" s="16"/>
      <c r="M7" s="16"/>
      <c r="N7" s="16"/>
    </row>
    <row r="8" spans="1:14" x14ac:dyDescent="0.25">
      <c r="A8" s="16"/>
      <c r="B8" s="16"/>
      <c r="C8" s="16"/>
      <c r="D8" s="16"/>
      <c r="E8" s="16"/>
      <c r="F8" s="16"/>
      <c r="G8" s="16"/>
      <c r="H8" s="16"/>
      <c r="I8" s="16"/>
      <c r="L8" s="16"/>
      <c r="M8" s="16"/>
      <c r="N8" s="16"/>
    </row>
    <row r="9" spans="1:14" x14ac:dyDescent="0.25">
      <c r="A9" s="16"/>
      <c r="B9" s="16"/>
      <c r="C9" s="16"/>
      <c r="D9" s="16"/>
      <c r="E9" s="16"/>
      <c r="F9" s="16"/>
      <c r="G9" s="16"/>
      <c r="H9" s="16"/>
      <c r="I9" s="16"/>
      <c r="L9" s="16"/>
      <c r="M9" s="16"/>
      <c r="N9" s="16"/>
    </row>
    <row r="10" spans="1:14" x14ac:dyDescent="0.25">
      <c r="A10" s="16"/>
      <c r="B10" s="16"/>
      <c r="C10" s="16"/>
      <c r="D10" s="16"/>
      <c r="E10" s="16"/>
      <c r="F10" s="16"/>
      <c r="G10" s="16"/>
      <c r="H10" s="16"/>
      <c r="I10" s="16"/>
      <c r="L10" s="16"/>
      <c r="M10" s="16"/>
      <c r="N10" s="16"/>
    </row>
    <row r="11" spans="1:14" x14ac:dyDescent="0.25">
      <c r="A11" s="16"/>
      <c r="B11" s="16"/>
      <c r="C11" s="16"/>
      <c r="D11" s="16"/>
      <c r="E11" s="16"/>
      <c r="F11" s="16"/>
      <c r="G11" s="16"/>
      <c r="H11" s="16"/>
      <c r="I11" s="16"/>
      <c r="L11" s="16"/>
      <c r="M11" s="16"/>
      <c r="N11" s="16"/>
    </row>
    <row r="12" spans="1:14" x14ac:dyDescent="0.25">
      <c r="A12" s="16"/>
      <c r="B12" s="16"/>
      <c r="C12" s="16"/>
      <c r="D12" s="16"/>
      <c r="E12" s="16"/>
      <c r="F12" s="16"/>
      <c r="G12" s="16"/>
      <c r="H12" s="16"/>
      <c r="I12" s="16"/>
      <c r="L12" s="16"/>
      <c r="M12" s="16"/>
      <c r="N12" s="16"/>
    </row>
    <row r="13" spans="1:14" x14ac:dyDescent="0.25">
      <c r="A13" s="16"/>
      <c r="B13" s="16"/>
      <c r="C13" s="16"/>
      <c r="D13" s="16"/>
      <c r="E13" s="16"/>
      <c r="F13" s="16"/>
      <c r="G13" s="16"/>
      <c r="H13" s="16"/>
      <c r="I13" s="16"/>
      <c r="L13" s="16"/>
      <c r="M13" s="16"/>
      <c r="N13" s="16"/>
    </row>
    <row r="14" spans="1:14" x14ac:dyDescent="0.25">
      <c r="A14" s="16"/>
      <c r="B14" s="16"/>
      <c r="C14" s="16"/>
      <c r="D14" s="16"/>
      <c r="E14" s="16"/>
      <c r="F14" s="16"/>
      <c r="G14" s="16"/>
      <c r="H14" s="16"/>
      <c r="I14" s="16"/>
      <c r="L14" s="16"/>
      <c r="M14" s="16"/>
      <c r="N14" s="16"/>
    </row>
    <row r="15" spans="1:14" x14ac:dyDescent="0.25">
      <c r="A15" s="16"/>
      <c r="B15" s="16"/>
      <c r="C15" s="16"/>
      <c r="D15" s="16"/>
      <c r="E15" s="16"/>
      <c r="F15" s="16"/>
      <c r="G15" s="16"/>
      <c r="H15" s="16"/>
      <c r="I15" s="16"/>
      <c r="L15" s="16"/>
      <c r="M15" s="16"/>
      <c r="N15" s="16"/>
    </row>
    <row r="16" spans="1:14" x14ac:dyDescent="0.25">
      <c r="A16" s="16"/>
      <c r="B16" s="16"/>
      <c r="C16" s="16"/>
      <c r="D16" s="16"/>
      <c r="E16" s="16"/>
      <c r="F16" s="16"/>
      <c r="G16" s="16"/>
      <c r="H16" s="16"/>
      <c r="I16" s="16"/>
      <c r="L16" s="16"/>
      <c r="M16" s="16"/>
      <c r="N16" s="16"/>
    </row>
    <row r="17" spans="1:14" x14ac:dyDescent="0.25">
      <c r="A17" s="16"/>
      <c r="B17" s="16"/>
      <c r="C17" s="16"/>
      <c r="D17" s="16"/>
      <c r="E17" s="16"/>
      <c r="F17" s="16"/>
      <c r="G17" s="16"/>
      <c r="H17" s="16"/>
      <c r="I17" s="16"/>
      <c r="L17" s="16"/>
      <c r="M17" s="16"/>
      <c r="N17" s="16"/>
    </row>
    <row r="18" spans="1:14" x14ac:dyDescent="0.25">
      <c r="A18" s="16"/>
      <c r="B18" s="16"/>
      <c r="C18" s="16"/>
      <c r="D18" s="16"/>
      <c r="E18" s="16"/>
      <c r="F18" s="16"/>
      <c r="G18" s="16"/>
      <c r="H18" s="16"/>
      <c r="I18" s="16"/>
      <c r="L18" s="16"/>
      <c r="M18" s="16"/>
      <c r="N18" s="16"/>
    </row>
    <row r="19" spans="1:14" x14ac:dyDescent="0.25">
      <c r="A19" s="16"/>
      <c r="B19" s="16"/>
      <c r="C19" s="16"/>
      <c r="D19" s="16"/>
      <c r="E19" s="16"/>
      <c r="F19" s="16"/>
      <c r="G19" s="16"/>
      <c r="H19" s="16"/>
      <c r="I19" s="16"/>
      <c r="L19" s="16"/>
      <c r="M19" s="16"/>
      <c r="N19" s="16"/>
    </row>
    <row r="20" spans="1:14" x14ac:dyDescent="0.25">
      <c r="A20" s="16"/>
      <c r="B20" s="16"/>
      <c r="C20" s="16"/>
      <c r="D20" s="16"/>
      <c r="E20" s="16"/>
      <c r="F20" s="16"/>
      <c r="G20" s="16"/>
      <c r="H20" s="16"/>
      <c r="I20" s="16"/>
      <c r="J20" s="92" t="s">
        <v>226</v>
      </c>
      <c r="K20" s="93"/>
      <c r="L20" s="16"/>
      <c r="M20" s="16"/>
      <c r="N20" s="16"/>
    </row>
    <row r="21" spans="1:14" ht="169.5" x14ac:dyDescent="0.25">
      <c r="A21" s="16"/>
      <c r="B21" s="16"/>
      <c r="C21" s="16"/>
      <c r="D21" s="16"/>
      <c r="E21" s="16"/>
      <c r="F21" s="16"/>
      <c r="G21" s="16"/>
      <c r="H21" s="16"/>
      <c r="I21" s="16"/>
      <c r="J21" s="94" t="s">
        <v>394</v>
      </c>
      <c r="L21" s="16"/>
      <c r="M21" s="16"/>
      <c r="N21" s="16"/>
    </row>
    <row r="22" spans="1:14" ht="169.5" x14ac:dyDescent="0.25">
      <c r="A22" s="16"/>
      <c r="B22" s="16"/>
      <c r="C22" s="16"/>
      <c r="D22" s="16"/>
      <c r="E22" s="16"/>
      <c r="F22" s="16"/>
      <c r="G22" s="16"/>
      <c r="H22" s="16"/>
      <c r="I22" s="16"/>
      <c r="J22" s="94" t="s">
        <v>348</v>
      </c>
      <c r="K22" s="95" t="s">
        <v>396</v>
      </c>
      <c r="L22" s="16"/>
      <c r="M22" s="16"/>
      <c r="N22" s="16"/>
    </row>
    <row r="23" spans="1:14" ht="75" x14ac:dyDescent="0.25">
      <c r="A23" s="16"/>
      <c r="B23" s="16"/>
      <c r="C23" s="16"/>
      <c r="D23" s="16"/>
      <c r="E23" s="16"/>
      <c r="F23" s="16"/>
      <c r="G23" s="16"/>
      <c r="H23" s="16"/>
      <c r="I23" s="16"/>
      <c r="J23" s="83" t="s">
        <v>379</v>
      </c>
      <c r="K23" s="83" t="s">
        <v>379</v>
      </c>
      <c r="L23" s="16"/>
      <c r="M23" s="16"/>
      <c r="N23" s="16"/>
    </row>
    <row r="24" spans="1:14" ht="75" x14ac:dyDescent="0.25">
      <c r="A24" s="16"/>
      <c r="B24" s="16"/>
      <c r="C24" s="16"/>
      <c r="D24" s="16"/>
      <c r="E24" s="16"/>
      <c r="F24" s="16"/>
      <c r="G24" s="16"/>
      <c r="H24" s="16"/>
      <c r="I24" s="16"/>
      <c r="J24" s="83" t="s">
        <v>379</v>
      </c>
      <c r="K24" s="83" t="s">
        <v>379</v>
      </c>
      <c r="L24" s="16"/>
      <c r="M24" s="16"/>
      <c r="N24" s="16"/>
    </row>
    <row r="25" spans="1:14" ht="75" x14ac:dyDescent="0.25">
      <c r="A25" s="16"/>
      <c r="B25" s="16"/>
      <c r="C25" s="16"/>
      <c r="D25" s="16"/>
      <c r="E25" s="16"/>
      <c r="F25" s="16"/>
      <c r="G25" s="16"/>
      <c r="H25" s="16"/>
      <c r="I25" s="16"/>
      <c r="J25" s="83" t="s">
        <v>379</v>
      </c>
      <c r="K25" s="83" t="s">
        <v>379</v>
      </c>
      <c r="L25" s="16"/>
      <c r="M25" s="16"/>
      <c r="N25" s="16"/>
    </row>
    <row r="26" spans="1:14" ht="75" x14ac:dyDescent="0.25">
      <c r="A26" s="16"/>
      <c r="B26" s="16"/>
      <c r="C26" s="16"/>
      <c r="D26" s="16"/>
      <c r="E26" s="16"/>
      <c r="F26" s="16"/>
      <c r="G26" s="16"/>
      <c r="H26" s="16"/>
      <c r="I26" s="16"/>
      <c r="J26" s="83" t="s">
        <v>379</v>
      </c>
      <c r="K26" s="83" t="s">
        <v>379</v>
      </c>
      <c r="L26" s="16"/>
      <c r="M26" s="16"/>
      <c r="N26" s="16"/>
    </row>
    <row r="27" spans="1:14" ht="75" x14ac:dyDescent="0.25">
      <c r="A27" s="16"/>
      <c r="B27" s="16"/>
      <c r="C27" s="16"/>
      <c r="D27" s="16"/>
      <c r="E27" s="16"/>
      <c r="F27" s="16"/>
      <c r="G27" s="16"/>
      <c r="H27" s="16"/>
      <c r="I27" s="16"/>
      <c r="J27" s="83" t="s">
        <v>379</v>
      </c>
      <c r="K27" s="83" t="s">
        <v>379</v>
      </c>
      <c r="L27" s="16"/>
      <c r="M27" s="16"/>
      <c r="N27" s="16"/>
    </row>
    <row r="28" spans="1:14" s="85" customFormat="1" x14ac:dyDescent="0.25">
      <c r="A28" s="19"/>
      <c r="B28" s="19"/>
      <c r="C28" s="19"/>
      <c r="D28" s="19"/>
      <c r="E28" s="19"/>
      <c r="F28" s="19"/>
      <c r="G28" s="19"/>
      <c r="H28" s="19"/>
      <c r="I28" s="19"/>
      <c r="J28" s="90"/>
      <c r="K28" s="91"/>
      <c r="L28" s="19"/>
      <c r="M28" s="19"/>
      <c r="N28" s="19"/>
    </row>
    <row r="29" spans="1:14" s="85" customFormat="1" x14ac:dyDescent="0.25">
      <c r="A29" s="19"/>
      <c r="B29" s="19"/>
      <c r="C29" s="19"/>
      <c r="D29" s="19"/>
      <c r="E29" s="19"/>
      <c r="F29" s="19"/>
      <c r="G29" s="19"/>
      <c r="H29" s="19"/>
      <c r="I29" s="19"/>
      <c r="J29" s="90"/>
      <c r="K29" s="91"/>
      <c r="L29" s="19"/>
      <c r="M29" s="19"/>
      <c r="N29" s="19"/>
    </row>
    <row r="30" spans="1:14" s="85" customFormat="1" x14ac:dyDescent="0.25">
      <c r="A30" s="19"/>
      <c r="B30" s="19"/>
      <c r="C30" s="19"/>
      <c r="D30" s="19"/>
      <c r="E30" s="19"/>
      <c r="F30" s="19"/>
      <c r="G30" s="19"/>
      <c r="H30" s="19"/>
      <c r="I30" s="19"/>
      <c r="J30" s="90"/>
      <c r="K30" s="91"/>
      <c r="L30" s="19"/>
      <c r="M30" s="19"/>
      <c r="N30" s="19"/>
    </row>
    <row r="31" spans="1:14" s="85" customFormat="1" x14ac:dyDescent="0.25">
      <c r="A31" s="19"/>
      <c r="B31" s="19"/>
      <c r="C31" s="19"/>
      <c r="D31" s="19"/>
      <c r="E31" s="19"/>
      <c r="F31" s="19"/>
      <c r="G31" s="19"/>
      <c r="H31" s="19"/>
      <c r="I31" s="19"/>
      <c r="J31" s="90"/>
      <c r="K31" s="91"/>
      <c r="L31" s="19"/>
      <c r="M31" s="19"/>
      <c r="N31" s="19"/>
    </row>
    <row r="32" spans="1:14" s="85" customFormat="1" x14ac:dyDescent="0.25">
      <c r="A32" s="19"/>
      <c r="B32" s="19"/>
      <c r="C32" s="19"/>
      <c r="D32" s="19"/>
      <c r="E32" s="19"/>
      <c r="F32" s="19"/>
      <c r="G32" s="19"/>
      <c r="H32" s="19"/>
      <c r="I32" s="19"/>
      <c r="J32" s="90"/>
      <c r="K32" s="91"/>
      <c r="L32" s="19"/>
      <c r="M32" s="19"/>
      <c r="N32" s="19"/>
    </row>
    <row r="33" spans="1:14" s="85" customFormat="1" x14ac:dyDescent="0.25">
      <c r="A33" s="19"/>
      <c r="B33" s="19"/>
      <c r="C33" s="19"/>
      <c r="D33" s="19"/>
      <c r="E33" s="19"/>
      <c r="F33" s="19"/>
      <c r="G33" s="19"/>
      <c r="H33" s="19"/>
      <c r="I33" s="19"/>
      <c r="J33" s="90"/>
      <c r="K33" s="91"/>
      <c r="L33" s="19"/>
      <c r="M33" s="19"/>
      <c r="N33" s="19"/>
    </row>
    <row r="34" spans="1:14" s="85" customFormat="1" x14ac:dyDescent="0.25">
      <c r="A34" s="19"/>
      <c r="B34" s="19"/>
      <c r="C34" s="19"/>
      <c r="D34" s="19"/>
      <c r="E34" s="19"/>
      <c r="F34" s="19"/>
      <c r="G34" s="19"/>
      <c r="H34" s="19"/>
      <c r="I34" s="19"/>
      <c r="J34" s="90"/>
      <c r="K34" s="91"/>
      <c r="L34" s="19"/>
      <c r="M34" s="19"/>
      <c r="N34" s="19"/>
    </row>
    <row r="35" spans="1:14" s="85" customFormat="1" x14ac:dyDescent="0.25">
      <c r="A35" s="19"/>
      <c r="B35" s="19"/>
      <c r="C35" s="19"/>
      <c r="D35" s="19"/>
      <c r="E35" s="19"/>
      <c r="F35" s="19"/>
      <c r="G35" s="19"/>
      <c r="H35" s="19"/>
      <c r="I35" s="19"/>
      <c r="J35" s="90"/>
      <c r="K35" s="91"/>
      <c r="L35" s="19"/>
      <c r="M35" s="19"/>
      <c r="N35" s="19"/>
    </row>
    <row r="36" spans="1:14" s="85" customFormat="1" x14ac:dyDescent="0.25">
      <c r="A36" s="19"/>
      <c r="B36" s="19"/>
      <c r="C36" s="19"/>
      <c r="D36" s="19"/>
      <c r="E36" s="19"/>
      <c r="F36" s="19"/>
      <c r="G36" s="19"/>
      <c r="H36" s="19"/>
      <c r="I36" s="19"/>
      <c r="J36" s="90"/>
      <c r="K36" s="91"/>
      <c r="L36" s="19"/>
      <c r="M36" s="19"/>
      <c r="N36" s="19"/>
    </row>
    <row r="37" spans="1:14" x14ac:dyDescent="0.25">
      <c r="A37" s="16"/>
      <c r="B37" s="16"/>
      <c r="C37" s="16"/>
      <c r="D37" s="16"/>
      <c r="E37" s="16"/>
      <c r="F37" s="16"/>
      <c r="G37" s="16"/>
      <c r="H37" s="16"/>
      <c r="I37" s="16"/>
      <c r="L37" s="16"/>
      <c r="M37" s="16"/>
      <c r="N37" s="16"/>
    </row>
    <row r="38" spans="1:14" x14ac:dyDescent="0.25">
      <c r="A38" s="16"/>
      <c r="B38" s="16"/>
      <c r="C38" s="16"/>
      <c r="D38" s="16"/>
      <c r="E38" s="16"/>
      <c r="F38" s="16"/>
      <c r="G38" s="16"/>
      <c r="H38" s="16"/>
      <c r="I38" s="16"/>
      <c r="L38" s="16"/>
      <c r="M38" s="16"/>
      <c r="N38" s="16"/>
    </row>
    <row r="39" spans="1:14" x14ac:dyDescent="0.25">
      <c r="A39" s="16"/>
      <c r="B39" s="16"/>
      <c r="C39" s="16"/>
      <c r="D39" s="16"/>
      <c r="E39" s="16"/>
      <c r="F39" s="16"/>
      <c r="G39" s="16"/>
      <c r="H39" s="16"/>
      <c r="I39" s="16"/>
      <c r="L39" s="16"/>
      <c r="M39" s="16"/>
      <c r="N39" s="16"/>
    </row>
    <row r="40" spans="1:14" x14ac:dyDescent="0.25">
      <c r="A40" s="16"/>
      <c r="B40" s="16"/>
      <c r="C40" s="16"/>
      <c r="D40" s="16"/>
      <c r="E40" s="16"/>
      <c r="F40" s="16"/>
      <c r="G40" s="16"/>
      <c r="H40" s="16"/>
      <c r="I40" s="16"/>
      <c r="L40" s="16"/>
      <c r="M40" s="16"/>
      <c r="N40" s="1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V29"/>
  <sheetViews>
    <sheetView workbookViewId="0">
      <selection activeCell="I4" sqref="I4"/>
    </sheetView>
  </sheetViews>
  <sheetFormatPr defaultColWidth="8.85546875" defaultRowHeight="15" x14ac:dyDescent="0.25"/>
  <cols>
    <col min="1" max="1" width="7.85546875" style="9" bestFit="1" customWidth="1"/>
    <col min="2" max="2" width="18.7109375" style="9" bestFit="1" customWidth="1"/>
    <col min="3" max="3" width="14.5703125" style="9" bestFit="1" customWidth="1"/>
    <col min="4" max="4" width="20" style="9" customWidth="1"/>
    <col min="5" max="5" width="15.85546875" style="9" customWidth="1"/>
    <col min="6" max="6" width="15.7109375" style="9" customWidth="1"/>
    <col min="7" max="7" width="10.28515625" style="9" customWidth="1"/>
    <col min="8" max="8" width="13" style="79" customWidth="1"/>
    <col min="9" max="9" width="47.5703125" style="81" customWidth="1"/>
    <col min="10" max="10" width="8.28515625" style="79" customWidth="1"/>
    <col min="11" max="11" width="10.28515625" style="9" customWidth="1"/>
    <col min="12" max="12" width="11.28515625" style="9" customWidth="1"/>
    <col min="13" max="13" width="10.42578125" style="79" customWidth="1"/>
    <col min="14" max="14" width="37.140625" style="79" customWidth="1"/>
    <col min="15" max="15" width="9.85546875" style="9" customWidth="1"/>
    <col min="16" max="16" width="21.5703125" style="79" customWidth="1"/>
    <col min="17" max="17" width="10.28515625" style="9" customWidth="1"/>
    <col min="18" max="18" width="9.5703125" style="9" customWidth="1"/>
    <col min="19" max="19" width="10.42578125" style="9" customWidth="1"/>
    <col min="20" max="20" width="10.42578125" style="79" customWidth="1"/>
    <col min="21" max="21" width="32.140625" style="79" customWidth="1"/>
    <col min="22" max="22" width="9.28515625" style="9" customWidth="1"/>
    <col min="23" max="23" width="9.7109375" style="79" customWidth="1"/>
    <col min="24" max="24" width="10.28515625" style="9" customWidth="1"/>
    <col min="25" max="25" width="9.140625" style="9" customWidth="1"/>
    <col min="26" max="26" width="13.42578125" style="9" customWidth="1"/>
    <col min="27" max="27" width="10.42578125" style="79" customWidth="1"/>
    <col min="28" max="28" width="32.7109375" style="79" customWidth="1"/>
    <col min="29" max="29" width="9.85546875" style="9" customWidth="1"/>
    <col min="30" max="30" width="10" style="79" customWidth="1"/>
    <col min="31" max="31" width="10.28515625" style="9" customWidth="1"/>
    <col min="32" max="32" width="7" style="9" customWidth="1"/>
    <col min="33" max="33" width="10.7109375" style="9" customWidth="1"/>
    <col min="34" max="34" width="10.42578125" style="79" customWidth="1"/>
    <col min="35" max="35" width="33.5703125" style="79" customWidth="1"/>
    <col min="36" max="36" width="9.85546875" style="9" customWidth="1"/>
    <col min="37" max="37" width="10" style="79" customWidth="1"/>
    <col min="38" max="38" width="10.28515625" style="8" customWidth="1"/>
    <col min="39" max="39" width="6.5703125" style="9" customWidth="1"/>
    <col min="40" max="40" width="9.85546875" style="9" customWidth="1"/>
    <col min="41" max="41" width="10.7109375" style="9" customWidth="1"/>
    <col min="42" max="42" width="10.42578125" style="9" customWidth="1"/>
    <col min="43" max="43" width="33.140625" style="9" customWidth="1"/>
    <col min="44" max="44" width="9.85546875" style="9" customWidth="1"/>
    <col min="45" max="45" width="9.140625" style="9" customWidth="1"/>
    <col min="46" max="47" width="9.5703125" style="9" customWidth="1"/>
    <col min="48" max="48" width="9.7109375" style="9" customWidth="1"/>
    <col min="49" max="49" width="10.85546875" style="9" customWidth="1"/>
    <col min="50" max="50" width="17.42578125" style="9" customWidth="1"/>
    <col min="51" max="51" width="9.85546875" style="9" customWidth="1"/>
    <col min="52" max="52" width="11" style="9" customWidth="1"/>
    <col min="53" max="53" width="10.42578125" style="9" customWidth="1"/>
    <col min="54" max="54" width="31.5703125" style="9" customWidth="1"/>
    <col min="55" max="55" width="9.85546875" style="9" customWidth="1"/>
    <col min="56" max="56" width="10" style="9" customWidth="1"/>
    <col min="57" max="57" width="10.28515625" style="9" customWidth="1"/>
    <col min="58" max="58" width="9.5703125" style="9" customWidth="1"/>
    <col min="59" max="59" width="9.7109375" style="9" customWidth="1"/>
    <col min="60" max="60" width="10.85546875" style="9" customWidth="1"/>
    <col min="61" max="61" width="17.85546875" style="9" customWidth="1"/>
    <col min="62" max="62" width="17.28515625" style="9" customWidth="1"/>
    <col min="63" max="64" width="20" style="9" customWidth="1"/>
    <col min="65" max="65" width="47.28515625" style="8" customWidth="1"/>
    <col min="66" max="66" width="15.85546875" style="9" customWidth="1"/>
    <col min="67" max="71" width="15.7109375" style="9" customWidth="1"/>
    <col min="72" max="72" width="17.5703125" style="9" customWidth="1"/>
    <col min="73" max="73" width="17.28515625" style="9" customWidth="1"/>
    <col min="74" max="75" width="20" style="9" customWidth="1"/>
    <col min="76" max="76" width="47.42578125" style="8" customWidth="1"/>
    <col min="77" max="77" width="15.85546875" style="9" customWidth="1"/>
    <col min="78" max="82" width="15.7109375" style="9" customWidth="1"/>
    <col min="83" max="83" width="17.5703125" style="9" customWidth="1"/>
    <col min="84" max="84" width="17.28515625" style="9" bestFit="1" customWidth="1"/>
    <col min="85" max="85" width="20" style="9" bestFit="1" customWidth="1"/>
    <col min="86" max="86" width="20" style="9" customWidth="1"/>
    <col min="87" max="87" width="47.42578125" style="8" customWidth="1"/>
    <col min="88" max="88" width="15.85546875" style="9" bestFit="1" customWidth="1"/>
    <col min="89" max="89" width="15.7109375" style="9" bestFit="1" customWidth="1"/>
    <col min="90" max="93" width="15.7109375" style="9" customWidth="1"/>
    <col min="94" max="94" width="17.5703125" style="9" customWidth="1"/>
    <col min="95" max="95" width="17.28515625" style="9" bestFit="1" customWidth="1"/>
    <col min="96" max="96" width="20" style="9" bestFit="1" customWidth="1"/>
    <col min="97" max="97" width="20" style="9" customWidth="1"/>
    <col min="98" max="98" width="48" style="8" customWidth="1"/>
    <col min="99" max="99" width="15.85546875" style="9" bestFit="1" customWidth="1"/>
    <col min="100" max="100" width="15.7109375" style="9" bestFit="1" customWidth="1"/>
    <col min="101" max="104" width="15.7109375" style="9" customWidth="1"/>
    <col min="105" max="105" width="17.5703125" style="9" customWidth="1"/>
    <col min="106" max="106" width="17.28515625" style="9" bestFit="1" customWidth="1"/>
    <col min="107" max="107" width="20" style="9" bestFit="1" customWidth="1"/>
    <col min="108" max="108" width="20" style="9" customWidth="1"/>
    <col min="109" max="109" width="48" style="8" customWidth="1"/>
    <col min="110" max="110" width="15.85546875" style="9" bestFit="1" customWidth="1"/>
    <col min="111" max="111" width="15.7109375" style="9" bestFit="1" customWidth="1"/>
    <col min="112" max="115" width="15.7109375" style="9" customWidth="1"/>
    <col min="116" max="116" width="17.5703125" style="9" customWidth="1"/>
    <col min="117" max="117" width="17.28515625" style="9" bestFit="1" customWidth="1"/>
    <col min="118" max="118" width="20" style="9" bestFit="1" customWidth="1"/>
    <col min="119" max="119" width="20" style="9" customWidth="1"/>
    <col min="120" max="120" width="47.140625" style="8" customWidth="1"/>
    <col min="121" max="121" width="15.85546875" style="9" bestFit="1" customWidth="1"/>
    <col min="122" max="122" width="15.7109375" style="9" bestFit="1" customWidth="1"/>
    <col min="123" max="126" width="15.7109375" style="9" customWidth="1"/>
    <col min="127" max="16384" width="8.85546875" style="9"/>
  </cols>
  <sheetData>
    <row r="1" spans="1:126" ht="30" x14ac:dyDescent="0.25">
      <c r="A1" s="68" t="s">
        <v>220</v>
      </c>
      <c r="B1" s="69" t="s">
        <v>164</v>
      </c>
    </row>
    <row r="2" spans="1:126" ht="15.75" thickBot="1" x14ac:dyDescent="0.3"/>
    <row r="3" spans="1:126" ht="70.5" customHeight="1" x14ac:dyDescent="0.25">
      <c r="A3" s="70" t="s">
        <v>165</v>
      </c>
      <c r="B3" s="71" t="s">
        <v>166</v>
      </c>
      <c r="C3" s="71" t="s">
        <v>169</v>
      </c>
      <c r="D3" s="73" t="s">
        <v>221</v>
      </c>
      <c r="E3" s="73" t="s">
        <v>222</v>
      </c>
      <c r="F3" s="73" t="s">
        <v>223</v>
      </c>
      <c r="G3" s="73" t="s">
        <v>224</v>
      </c>
      <c r="H3" s="80" t="s">
        <v>225</v>
      </c>
      <c r="I3" s="82" t="s">
        <v>226</v>
      </c>
      <c r="J3" s="80" t="s">
        <v>227</v>
      </c>
      <c r="K3" s="73" t="s">
        <v>228</v>
      </c>
      <c r="L3" s="74" t="s">
        <v>229</v>
      </c>
      <c r="M3" s="80" t="s">
        <v>230</v>
      </c>
      <c r="N3" s="80" t="s">
        <v>231</v>
      </c>
      <c r="O3" s="73" t="s">
        <v>232</v>
      </c>
      <c r="P3" s="80" t="s">
        <v>233</v>
      </c>
      <c r="Q3" s="73" t="s">
        <v>234</v>
      </c>
      <c r="R3" s="75" t="s">
        <v>235</v>
      </c>
      <c r="S3" s="73" t="s">
        <v>236</v>
      </c>
      <c r="T3" s="80" t="s">
        <v>237</v>
      </c>
      <c r="U3" s="80" t="s">
        <v>238</v>
      </c>
      <c r="V3" s="73" t="s">
        <v>239</v>
      </c>
      <c r="W3" s="80" t="s">
        <v>240</v>
      </c>
      <c r="X3" s="73" t="s">
        <v>241</v>
      </c>
      <c r="Y3" s="75" t="s">
        <v>242</v>
      </c>
      <c r="Z3" s="73" t="s">
        <v>243</v>
      </c>
      <c r="AA3" s="80" t="s">
        <v>244</v>
      </c>
      <c r="AB3" s="80" t="s">
        <v>245</v>
      </c>
      <c r="AC3" s="73" t="s">
        <v>246</v>
      </c>
      <c r="AD3" s="80" t="s">
        <v>247</v>
      </c>
      <c r="AE3" s="73" t="s">
        <v>248</v>
      </c>
      <c r="AF3" s="75" t="s">
        <v>249</v>
      </c>
      <c r="AG3" s="73" t="s">
        <v>250</v>
      </c>
      <c r="AH3" s="80" t="s">
        <v>251</v>
      </c>
      <c r="AI3" s="80" t="s">
        <v>252</v>
      </c>
      <c r="AJ3" s="73" t="s">
        <v>253</v>
      </c>
      <c r="AK3" s="80" t="s">
        <v>254</v>
      </c>
      <c r="AL3" s="76" t="s">
        <v>255</v>
      </c>
      <c r="AM3" s="75" t="s">
        <v>256</v>
      </c>
      <c r="AN3" s="72" t="s">
        <v>257</v>
      </c>
      <c r="AO3" s="73" t="s">
        <v>258</v>
      </c>
      <c r="AP3" s="73" t="s">
        <v>259</v>
      </c>
      <c r="AQ3" s="73" t="s">
        <v>260</v>
      </c>
      <c r="AR3" s="73" t="s">
        <v>261</v>
      </c>
      <c r="AS3" s="73" t="s">
        <v>262</v>
      </c>
      <c r="AT3" s="73" t="s">
        <v>263</v>
      </c>
      <c r="AU3" s="73" t="s">
        <v>264</v>
      </c>
      <c r="AV3" s="73" t="s">
        <v>265</v>
      </c>
      <c r="AW3" s="73" t="s">
        <v>266</v>
      </c>
      <c r="AX3" s="75" t="s">
        <v>267</v>
      </c>
      <c r="AY3" s="72" t="s">
        <v>268</v>
      </c>
      <c r="AZ3" s="73" t="s">
        <v>269</v>
      </c>
      <c r="BA3" s="73" t="s">
        <v>270</v>
      </c>
      <c r="BB3" s="73" t="s">
        <v>271</v>
      </c>
      <c r="BC3" s="73" t="s">
        <v>272</v>
      </c>
      <c r="BD3" s="73" t="s">
        <v>273</v>
      </c>
      <c r="BE3" s="73" t="s">
        <v>274</v>
      </c>
      <c r="BF3" s="73" t="s">
        <v>275</v>
      </c>
      <c r="BG3" s="73" t="s">
        <v>276</v>
      </c>
      <c r="BH3" s="73" t="s">
        <v>277</v>
      </c>
      <c r="BI3" s="75" t="s">
        <v>278</v>
      </c>
      <c r="BJ3" s="72" t="s">
        <v>279</v>
      </c>
      <c r="BK3" s="73" t="s">
        <v>280</v>
      </c>
      <c r="BL3" s="73" t="s">
        <v>281</v>
      </c>
      <c r="BM3" s="76" t="s">
        <v>282</v>
      </c>
      <c r="BN3" s="73" t="s">
        <v>283</v>
      </c>
      <c r="BO3" s="73" t="s">
        <v>284</v>
      </c>
      <c r="BP3" s="73" t="s">
        <v>285</v>
      </c>
      <c r="BQ3" s="73" t="s">
        <v>286</v>
      </c>
      <c r="BR3" s="73" t="s">
        <v>287</v>
      </c>
      <c r="BS3" s="73" t="s">
        <v>288</v>
      </c>
      <c r="BT3" s="75" t="s">
        <v>289</v>
      </c>
      <c r="BU3" s="72" t="s">
        <v>290</v>
      </c>
      <c r="BV3" s="73" t="s">
        <v>291</v>
      </c>
      <c r="BW3" s="73" t="s">
        <v>292</v>
      </c>
      <c r="BX3" s="76" t="s">
        <v>293</v>
      </c>
      <c r="BY3" s="73" t="s">
        <v>294</v>
      </c>
      <c r="BZ3" s="73" t="s">
        <v>295</v>
      </c>
      <c r="CA3" s="73" t="s">
        <v>296</v>
      </c>
      <c r="CB3" s="73" t="s">
        <v>297</v>
      </c>
      <c r="CC3" s="73" t="s">
        <v>298</v>
      </c>
      <c r="CD3" s="73" t="s">
        <v>299</v>
      </c>
      <c r="CE3" s="75" t="s">
        <v>300</v>
      </c>
      <c r="CF3" s="72" t="s">
        <v>301</v>
      </c>
      <c r="CG3" s="73" t="s">
        <v>302</v>
      </c>
      <c r="CH3" s="73" t="s">
        <v>303</v>
      </c>
      <c r="CI3" s="76" t="s">
        <v>304</v>
      </c>
      <c r="CJ3" s="73" t="s">
        <v>305</v>
      </c>
      <c r="CK3" s="73" t="s">
        <v>306</v>
      </c>
      <c r="CL3" s="73" t="s">
        <v>307</v>
      </c>
      <c r="CM3" s="73" t="s">
        <v>308</v>
      </c>
      <c r="CN3" s="73" t="s">
        <v>309</v>
      </c>
      <c r="CO3" s="73" t="s">
        <v>310</v>
      </c>
      <c r="CP3" s="75" t="s">
        <v>311</v>
      </c>
      <c r="CQ3" s="72" t="s">
        <v>312</v>
      </c>
      <c r="CR3" s="73" t="s">
        <v>313</v>
      </c>
      <c r="CS3" s="73" t="s">
        <v>314</v>
      </c>
      <c r="CT3" s="76" t="s">
        <v>315</v>
      </c>
      <c r="CU3" s="73" t="s">
        <v>316</v>
      </c>
      <c r="CV3" s="73" t="s">
        <v>317</v>
      </c>
      <c r="CW3" s="73" t="s">
        <v>318</v>
      </c>
      <c r="CX3" s="73" t="s">
        <v>319</v>
      </c>
      <c r="CY3" s="73" t="s">
        <v>320</v>
      </c>
      <c r="CZ3" s="73" t="s">
        <v>321</v>
      </c>
      <c r="DA3" s="75" t="s">
        <v>322</v>
      </c>
      <c r="DB3" s="72" t="s">
        <v>323</v>
      </c>
      <c r="DC3" s="73" t="s">
        <v>324</v>
      </c>
      <c r="DD3" s="73" t="s">
        <v>325</v>
      </c>
      <c r="DE3" s="76" t="s">
        <v>326</v>
      </c>
      <c r="DF3" s="73" t="s">
        <v>327</v>
      </c>
      <c r="DG3" s="73" t="s">
        <v>328</v>
      </c>
      <c r="DH3" s="73" t="s">
        <v>329</v>
      </c>
      <c r="DI3" s="73" t="s">
        <v>330</v>
      </c>
      <c r="DJ3" s="73" t="s">
        <v>331</v>
      </c>
      <c r="DK3" s="73" t="s">
        <v>332</v>
      </c>
      <c r="DL3" s="75" t="s">
        <v>333</v>
      </c>
      <c r="DM3" s="72" t="s">
        <v>334</v>
      </c>
      <c r="DN3" s="73" t="s">
        <v>335</v>
      </c>
      <c r="DO3" s="73" t="s">
        <v>336</v>
      </c>
      <c r="DP3" s="76" t="s">
        <v>337</v>
      </c>
      <c r="DQ3" s="73" t="s">
        <v>338</v>
      </c>
      <c r="DR3" s="73" t="s">
        <v>339</v>
      </c>
      <c r="DS3" s="73" t="s">
        <v>340</v>
      </c>
      <c r="DT3" s="73" t="s">
        <v>341</v>
      </c>
      <c r="DU3" s="73" t="s">
        <v>342</v>
      </c>
      <c r="DV3" s="73" t="s">
        <v>343</v>
      </c>
    </row>
    <row r="4" spans="1:126" s="14" customFormat="1" ht="78.75" customHeight="1" x14ac:dyDescent="0.25">
      <c r="A4" s="77" t="s">
        <v>30</v>
      </c>
      <c r="B4" s="22" t="s">
        <v>344</v>
      </c>
      <c r="C4" s="14" t="s">
        <v>345</v>
      </c>
      <c r="D4" s="14" t="str">
        <f>'[1]Dynamic Banners'!$M$7</f>
        <v xml:space="preserve">Cyber Monday may be over, but shop and save all Cyber Week long. </v>
      </c>
      <c r="E4" s="14" t="str">
        <f>'[1]Dynamic Banners'!$M$7</f>
        <v xml:space="preserve">Cyber Monday may be over, but shop and save all Cyber Week long. </v>
      </c>
      <c r="F4" s="14" t="str">
        <f>[1]MiscBanners!$B$4</f>
        <v>https://www.samsung.com/us/shop/all-deals/</v>
      </c>
      <c r="G4"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H4" s="23" t="s">
        <v>191</v>
      </c>
      <c r="I4" s="83" t="s">
        <v>394</v>
      </c>
      <c r="J4" s="23" t="str">
        <f>[1]MiscBanners!$B$4</f>
        <v>https://www.samsung.com/us/shop/all-deals/</v>
      </c>
      <c r="K4"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L4" s="45" t="s">
        <v>349</v>
      </c>
      <c r="M4" s="23" t="str">
        <f>[1]DDOfferCopy!G4</f>
        <v>Now from only $6.95/mo for 36 mos⊕ or $249.99 with eligible trade-in.ᶿ</v>
      </c>
      <c r="N4" s="23" t="str">
        <f>[1]DDOfferCopy!H4</f>
        <v xml:space="preserve">Get $200 off instantly and up to $550 trade-in creditᶿ with our best Galaxy Note20 5G series offer of the year. For a limited time. </v>
      </c>
      <c r="O4" s="14" t="str">
        <f>[1]DDOfferCopy!I4</f>
        <v>Buy now</v>
      </c>
      <c r="P4" s="23" t="str">
        <f>[1]DDOfferCopy!J4</f>
        <v>https://www.samsung.com/us/smartphones/galaxy-note20-5g/buy/</v>
      </c>
      <c r="Q4" s="14" t="str">
        <f>[1]DDOfferCopy!K4</f>
        <v>https://shopsamsung.page.link?link=https%3A%2F%2Fwww.samsung.com%2Fus%2Fsmartphones%2Fgalaxy-note20-5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note20-5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note20-5g%2Fbuy%2F%3FofferCID%3DearlyAccess%26utm_source%3Dsamsung%26utm_medium%3Demail%26utm_campaign%3Dholiday_deals_t3_11172020%26marsLinkCategory%3D__MARSTRACKING__%26MKM_RID%3D__BPNUMBER__%26MKM_MID%3D__DELIVERNAME__%26cid%3D__CID____SEGMENTCODE__%26bpid%3D__BPNUMBER__&amp;efr=1</v>
      </c>
      <c r="R4" s="45" t="s">
        <v>350</v>
      </c>
      <c r="S4" s="14" t="str">
        <f>[1]DDOfferCopy!F5</f>
        <v>21_IM_HeadImage_MB_Galaxy-500xV.jpg</v>
      </c>
      <c r="T4" s="23" t="str">
        <f>[1]DDOfferCopy!G5</f>
        <v>Now from only $5.84/mo for 24 mos⊕ or $139.99 with eligible trade-in.ᶿ</v>
      </c>
      <c r="U4" s="23" t="str">
        <f>[1]DDOfferCopy!H5</f>
        <v xml:space="preserve">Get up to $200 off instantly and up to $460 trade-in creditᶿ with our best Galaxy S20 5G series offer of the year. For a limited time. </v>
      </c>
      <c r="V4" s="14" t="str">
        <f>[1]DDOfferCopy!I5</f>
        <v>Buy now</v>
      </c>
      <c r="W4" s="23" t="str">
        <f>[1]DDOfferCopy!J5</f>
        <v>https://www.samsung.com/us/mobile/galaxy-s20-5g/buy/</v>
      </c>
      <c r="X4" s="14" t="str">
        <f>[1]DDOfferCopy!K5</f>
        <v>https://shopsamsung.page.link?link=https%3A%2F%2Fwww.samsung.com%2Fus%2Fmobile%2Fgalaxy-s20-5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s20-5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galaxy-s20-5g%2Fbuy%2F%3FofferCID%3DearlyAccess%26utm_source%3Dsamsung%26utm_medium%3Demail%26utm_campaign%3Dholiday_deals_t3_11172020%26marsLinkCategory%3D__MARSTRACKING__%26MKM_RID%3D__BPNUMBER__%26MKM_MID%3D__DELIVERNAME__%26cid%3D__CID____SEGMENTCODE__%26bpid%3D__BPNUMBER__&amp;efr=1</v>
      </c>
      <c r="Y4" s="45" t="s">
        <v>351</v>
      </c>
      <c r="Z4" s="14" t="str">
        <f>[1]DDOfferCopy!F6</f>
        <v>23_IM_HeadImage_MB_Fold-500xV.jpg</v>
      </c>
      <c r="AA4" s="23" t="str">
        <f>[1]DDOfferCopy!G6</f>
        <v>Now from only $20.84/mo for 48 mos⊕ or $999.99 with eligible trade-in.ᶿ</v>
      </c>
      <c r="AB4" s="23" t="str">
        <f>[1]DDOfferCopy!H6</f>
        <v xml:space="preserve">Our best Galaxy Z Fold2 5G offer of the year. Get up to $1000 trade-in credit.ᶿ Plus, get up to $120 instant credit toward accessories.§‡ For a limited time. </v>
      </c>
      <c r="AC4" s="14" t="str">
        <f>[1]DDOfferCopy!I6</f>
        <v>Buy now</v>
      </c>
      <c r="AD4" s="23" t="str">
        <f>[1]DDOfferCopy!J6</f>
        <v>https://www.samsung.com/us/smartphones/galaxy-z-fold2-5g/buy/</v>
      </c>
      <c r="AE4" s="14" t="str">
        <f>[1]DDOfferCopy!K6</f>
        <v>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v>
      </c>
      <c r="AF4" s="78" t="s">
        <v>352</v>
      </c>
      <c r="AG4" s="14" t="str">
        <f>[1]DDOfferCopy!F7</f>
        <v>24-IM-A71-A51-HeadImage-500xV.jpg</v>
      </c>
      <c r="AH4" s="23" t="str">
        <f>[1]DDOfferCopy!G7</f>
        <v xml:space="preserve">Now from only only $8.34/mo for 36 mos⊕ or $299.99 with eligible trade-in.ᶿ </v>
      </c>
      <c r="AI4" s="23" t="str">
        <f>[1]DDOfferCopy!H7</f>
        <v xml:space="preserve">Save up to $250 instantly and get $75 or more trade-in credit. Treat yourself to blazing fast 5G speeds and incredible features at an amazing value. </v>
      </c>
      <c r="AJ4" s="14" t="str">
        <f>[1]DDOfferCopy!I7</f>
        <v>Buy now</v>
      </c>
      <c r="AK4" s="23" t="str">
        <f>[1]DDOfferCopy!J7</f>
        <v>https://www.samsung.com/us/mobile/phones/galaxy-a/buy/?link=galaxy-a71-5g</v>
      </c>
      <c r="AL4" s="66" t="str">
        <f>[1]DDOfferCopy!K7</f>
        <v>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v>
      </c>
      <c r="AM4" s="45" t="s">
        <v>353</v>
      </c>
      <c r="AN4" s="14" t="str">
        <f>[1]MiscBanners!$I$4</f>
        <v>Give-wonder-500xV.jpg</v>
      </c>
      <c r="AO4" s="14" t="str">
        <f>[1]MiscBanners!$J$4</f>
        <v>The gift that keeps on giving</v>
      </c>
      <c r="AP4" s="14" t="str">
        <f>[1]MiscBanners!$K$4</f>
        <v>NULL</v>
      </c>
      <c r="AQ4" s="14" t="str">
        <f>[1]MiscBanners!$L$4</f>
        <v>Discover even more exclusive offers on your favorite products and unlock the power of smart and savvy gifting.</v>
      </c>
      <c r="AR4" s="14" t="str">
        <f>[1]MiscBanners!$M$4</f>
        <v>Shop now</v>
      </c>
      <c r="AS4" s="14" t="str">
        <f>[1]MiscBanners!$N$4</f>
        <v>https://www.samsung.com/us/gift-ideas/</v>
      </c>
      <c r="AT4" s="14" t="str">
        <f>[1]MiscBanners!$O$4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AU4" s="14" t="str">
        <f>[1]MiscBanners!$P$4</f>
        <v>NULL</v>
      </c>
      <c r="AV4" s="14" t="str">
        <f>[1]MiscBanners!$Q$4</f>
        <v>NULL</v>
      </c>
      <c r="AW4" s="14" t="str">
        <f>[1]MiscBanners!$R$4</f>
        <v>NULL</v>
      </c>
      <c r="AX4" s="45" t="s">
        <v>354</v>
      </c>
      <c r="BI4" s="45" t="s">
        <v>355</v>
      </c>
      <c r="BJ4" s="14" t="str">
        <f>[1]TC!B2</f>
        <v>NULL</v>
      </c>
      <c r="BK4" s="14" t="str">
        <f>[1]TC!C2</f>
        <v>NULL</v>
      </c>
      <c r="BL4" s="14" t="str">
        <f>[1]TC!D2</f>
        <v>NULL</v>
      </c>
      <c r="BM4" s="66" t="str">
        <f>[1]TC!E2</f>
        <v>ᶿFor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BN4" s="14" t="str">
        <f>[1]TC!F2</f>
        <v>NULL</v>
      </c>
      <c r="BO4" s="14" t="str">
        <f>[1]TC!G2</f>
        <v>https://www.samsung.com/us/trade-in/terms-and-conditions/</v>
      </c>
      <c r="BP4" s="14" t="str">
        <f>[1]TC!H2</f>
        <v>https://www.samsung.com/us/trade-in/terms-and-conditions/</v>
      </c>
      <c r="BQ4" s="14" t="str">
        <f>[1]TC!I2</f>
        <v>NULL</v>
      </c>
      <c r="BR4" s="14" t="str">
        <f>[1]TC!J2</f>
        <v>NULL</v>
      </c>
      <c r="BS4" s="14" t="str">
        <f>[1]TC!K2</f>
        <v>NULL</v>
      </c>
      <c r="BT4" s="45" t="s">
        <v>356</v>
      </c>
      <c r="BU4" s="14" t="str">
        <f>[1]TC!B3</f>
        <v>NULL</v>
      </c>
      <c r="BV4" s="14" t="str">
        <f>[1]TC!C3</f>
        <v>NULL</v>
      </c>
      <c r="BW4" s="14" t="str">
        <f>[1]TC!D3</f>
        <v>NULL</v>
      </c>
      <c r="BX4" s="66" t="str">
        <f>[1]TC!E3</f>
        <v>⊕0%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v>
      </c>
      <c r="BY4" s="14" t="str">
        <f>[1]TC!F3</f>
        <v>NULL</v>
      </c>
      <c r="BZ4" s="14" t="str">
        <f>[1]TC!G3</f>
        <v xml:space="preserve"> </v>
      </c>
      <c r="CA4" s="14">
        <f>[1]TC!H3</f>
        <v>0</v>
      </c>
      <c r="CB4" s="14" t="str">
        <f>[1]TC!I3</f>
        <v>NULL</v>
      </c>
      <c r="CC4" s="14" t="str">
        <f>[1]TC!J3</f>
        <v>NULL</v>
      </c>
      <c r="CD4" s="14" t="str">
        <f>[1]TC!K3</f>
        <v>NULL</v>
      </c>
      <c r="CE4" s="45" t="s">
        <v>357</v>
      </c>
      <c r="CF4" s="14" t="str">
        <f>[1]TC!B4</f>
        <v>NULL</v>
      </c>
      <c r="CG4" s="14" t="str">
        <f>[1]TC!C4</f>
        <v>NULL</v>
      </c>
      <c r="CH4" s="14" t="str">
        <f>[1]TC!D4</f>
        <v>NULL</v>
      </c>
      <c r="CI4" s="66" t="str">
        <f>[1]TC!E4</f>
        <v>§18+ &amp; 50 US/DC only. By 11/29/2020 11:59 PM EST, purchase a qualifying device on device installment plan, 2-year contract plan, lease or outright purchase at full retail price (“Qualifying Purchase”), &amp; receive a Samsung Credit of $100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CJ4" s="14" t="str">
        <f>[1]TC!F4</f>
        <v>NULL</v>
      </c>
      <c r="CK4" s="14" t="str">
        <f>[1]TC!G4</f>
        <v>https://www.samsung.com/us/</v>
      </c>
      <c r="CL4" s="14" t="str">
        <f>[1]TC!H4</f>
        <v>https://www.samsung.com/us/</v>
      </c>
      <c r="CM4" s="14" t="str">
        <f>[1]TC!I4</f>
        <v>NULL</v>
      </c>
      <c r="CN4" s="14" t="str">
        <f>[1]TC!J4</f>
        <v>NULL</v>
      </c>
      <c r="CO4" s="14" t="str">
        <f>[1]TC!K4</f>
        <v>NULL</v>
      </c>
      <c r="CP4" s="45" t="s">
        <v>358</v>
      </c>
      <c r="CQ4" s="14" t="str">
        <f>[1]TC!B5</f>
        <v>NULL</v>
      </c>
      <c r="CR4" s="14" t="str">
        <f>[1]TC!C5</f>
        <v>NULL</v>
      </c>
      <c r="CS4" s="14" t="str">
        <f>[1]TC!D5</f>
        <v>NULL</v>
      </c>
      <c r="CT4" s="66" t="str">
        <f>[1]TC!E5</f>
        <v>†18+ &amp; 50 US/DC only. By 11/29/2020 11:59 PM EST, purchase a qualifying device on device installment plan, 2-year contract plan, lease or outright purchase at full retail price (“Qualifying Purchase”), &amp; receive a Samsung Credit of $30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CU4" s="14" t="str">
        <f>[1]TC!F5</f>
        <v>NULL</v>
      </c>
      <c r="CV4" s="14" t="str">
        <f>[1]TC!G5</f>
        <v>https://www.samsung.com/us/</v>
      </c>
      <c r="CW4" s="14" t="str">
        <f>[1]TC!H5</f>
        <v>https://www.samsung.com/us/</v>
      </c>
      <c r="CX4" s="14" t="str">
        <f>[1]TC!I5</f>
        <v>NULL</v>
      </c>
      <c r="CY4" s="14" t="str">
        <f>[1]TC!J5</f>
        <v>NULL</v>
      </c>
      <c r="CZ4" s="14" t="str">
        <f>[1]TC!K5</f>
        <v>NULL</v>
      </c>
      <c r="DA4" s="45" t="s">
        <v>359</v>
      </c>
      <c r="DB4" s="14" t="str">
        <f>[1]TC!B6</f>
        <v>NULL</v>
      </c>
      <c r="DC4" s="14" t="str">
        <f>[1]TC!C6</f>
        <v>NULL</v>
      </c>
      <c r="DD4" s="14" t="str">
        <f>[1]TC!D6</f>
        <v>NULL</v>
      </c>
      <c r="DE4" s="66" t="str">
        <f>[1]TC!E6</f>
        <v>‡18+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DF4" s="14" t="str">
        <f>[1]TC!F6</f>
        <v>NULL</v>
      </c>
      <c r="DG4" s="14" t="str">
        <f>[1]TC!G6</f>
        <v>https://www.samsung.com/us/</v>
      </c>
      <c r="DH4" s="14" t="str">
        <f>[1]TC!H6</f>
        <v>https://www.samsung.com/us/</v>
      </c>
      <c r="DI4" s="14" t="str">
        <f>[1]TC!I6</f>
        <v>NULL</v>
      </c>
      <c r="DJ4" s="14" t="str">
        <f>[1]TC!J6</f>
        <v>NULL</v>
      </c>
      <c r="DK4" s="14" t="str">
        <f>[1]TC!K6</f>
        <v>NULL</v>
      </c>
      <c r="DL4" s="45"/>
      <c r="DP4" s="66"/>
    </row>
    <row r="5" spans="1:126" s="14" customFormat="1" ht="92.25" customHeight="1" x14ac:dyDescent="0.25">
      <c r="A5" s="77" t="s">
        <v>30</v>
      </c>
      <c r="B5" s="24" t="s">
        <v>344</v>
      </c>
      <c r="C5" s="14" t="s">
        <v>360</v>
      </c>
      <c r="D5" s="14" t="str">
        <f>'[1]Dynamic Banners'!$M$7</f>
        <v xml:space="preserve">Cyber Monday may be over, but shop and save all Cyber Week long. </v>
      </c>
      <c r="E5" s="14" t="str">
        <f>'[1]Dynamic Banners'!$M$7</f>
        <v xml:space="preserve">Cyber Monday may be over, but shop and save all Cyber Week long. </v>
      </c>
      <c r="F5" s="14" t="str">
        <f>[1]MiscBanners!$B$4</f>
        <v>https://www.samsung.com/us/shop/all-deals/</v>
      </c>
      <c r="G5"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H5" s="23" t="s">
        <v>191</v>
      </c>
      <c r="I5" s="83" t="s">
        <v>395</v>
      </c>
      <c r="J5" s="23" t="str">
        <f>[1]MiscBanners!$B$4</f>
        <v>https://www.samsung.com/us/shop/all-deals/</v>
      </c>
      <c r="K5"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L5" s="45" t="s">
        <v>349</v>
      </c>
      <c r="M5" s="23" t="str">
        <f>[1]DDOfferCopy!G4</f>
        <v>Now from only $6.95/mo for 36 mos⊕ or $249.99 with eligible trade-in.ᶿ</v>
      </c>
      <c r="N5" s="23" t="str">
        <f>[1]DDOfferCopy!H4</f>
        <v xml:space="preserve">Get $200 off instantly and up to $550 trade-in creditᶿ with our best Galaxy Note20 5G series offer of the year. For a limited time. </v>
      </c>
      <c r="O5" s="14" t="str">
        <f>[1]DDOfferCopy!I4</f>
        <v>Buy now</v>
      </c>
      <c r="P5" s="23" t="str">
        <f>[1]DDOfferCopy!P4</f>
        <v>https://www.samsung.com/us/smartphones/galaxy-note20-5g/buy/</v>
      </c>
      <c r="Q5" s="14" t="str">
        <f>[1]DDOfferCopy!$Q$4</f>
        <v>https://shopsamsung.page.link?link=https%3A%2F%2Fwww.samsung.com%2Fus%2Fsmartphones%2Fgalaxy-note20-5g%2Fbuy%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note20-5g%2Findex.html%23utm_source%3Dsamsung%23utm_medium%3Demail%23utm_campaign%3Dholiday_deals_t3_11172020%23marsLinkCategory%3D__MARSTRACKING__%23MKM_RID%3D__BPNUMBER__%23MKM_MID%3D__DELIVERNAME__%23cid%3D__CID____SEGMENTCODE__%23bpid%3D__BPNUMBER__&amp;afl=https%3A%2F%2Fwww.samsung.com%2Fus%2Fsmartphones%2Fgalaxy-note20-5g%2Fbuy%2F%3Futm_source%3Dsamsung%26utm_medium%3Demail%26utm_campaign%3Dholiday_deals_t3_11172020%26marsLinkCategory%3D__MARSTRACKING__%26MKM_RID%3D__BPNUMBER__%26MKM_MID%3D__DELIVERNAME__%26cid%3D__CID____SEGMENTCODE__%26bpid%3D__BPNUMBER__&amp;efr=1</v>
      </c>
      <c r="R5" s="45" t="s">
        <v>350</v>
      </c>
      <c r="S5" s="14" t="str">
        <f>[1]DDOfferCopy!F5</f>
        <v>21_IM_HeadImage_MB_Galaxy-500xV.jpg</v>
      </c>
      <c r="T5" s="23" t="str">
        <f>[1]DDOfferCopy!G5</f>
        <v>Now from only $5.84/mo for 24 mos⊕ or $139.99 with eligible trade-in.ᶿ</v>
      </c>
      <c r="U5" s="23" t="str">
        <f>[1]DDOfferCopy!H5</f>
        <v xml:space="preserve">Get up to $200 off instantly and up to $460 trade-in creditᶿ with our best Galaxy S20 5G series offer of the year. For a limited time. </v>
      </c>
      <c r="V5" s="14" t="str">
        <f>[1]DDOfferCopy!I5</f>
        <v>Buy now</v>
      </c>
      <c r="W5" s="23" t="str">
        <f>[1]DDOfferCopy!J5</f>
        <v>https://www.samsung.com/us/mobile/galaxy-s20-5g/buy/</v>
      </c>
      <c r="X5" s="14" t="str">
        <f>[1]DDOfferCopy!K5</f>
        <v>https://shopsamsung.page.link?link=https%3A%2F%2Fwww.samsung.com%2Fus%2Fmobile%2Fgalaxy-s20-5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s20-5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galaxy-s20-5g%2Fbuy%2F%3FofferCID%3DearlyAccess%26utm_source%3Dsamsung%26utm_medium%3Demail%26utm_campaign%3Dholiday_deals_t3_11172020%26marsLinkCategory%3D__MARSTRACKING__%26MKM_RID%3D__BPNUMBER__%26MKM_MID%3D__DELIVERNAME__%26cid%3D__CID____SEGMENTCODE__%26bpid%3D__BPNUMBER__&amp;efr=1</v>
      </c>
      <c r="Y5" s="45" t="s">
        <v>351</v>
      </c>
      <c r="Z5" s="14" t="str">
        <f>[1]DDOfferCopy!F6</f>
        <v>23_IM_HeadImage_MB_Fold-500xV.jpg</v>
      </c>
      <c r="AA5" s="23" t="str">
        <f>[1]DDOfferCopy!G6</f>
        <v>Now from only $20.84/mo for 48 mos⊕ or $999.99 with eligible trade-in.ᶿ</v>
      </c>
      <c r="AB5" s="23" t="str">
        <f>[1]DDOfferCopy!H6</f>
        <v xml:space="preserve">Our best Galaxy Z Fold2 5G offer of the year. Get up to $1000 trade-in credit.ᶿ Plus, get up to $120 instant credit toward accessories.§‡ For a limited time. </v>
      </c>
      <c r="AC5" s="14" t="str">
        <f>[1]DDOfferCopy!I6</f>
        <v>Buy now</v>
      </c>
      <c r="AD5" s="23" t="str">
        <f>[1]DDOfferCopy!J6</f>
        <v>https://www.samsung.com/us/smartphones/galaxy-z-fold2-5g/buy/</v>
      </c>
      <c r="AE5" s="14" t="str">
        <f>[1]DDOfferCopy!K6</f>
        <v>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v>
      </c>
      <c r="AF5" s="78" t="s">
        <v>352</v>
      </c>
      <c r="AG5" s="14" t="str">
        <f>[1]DDOfferCopy!F7</f>
        <v>24-IM-A71-A51-HeadImage-500xV.jpg</v>
      </c>
      <c r="AH5" s="23" t="str">
        <f>[1]DDOfferCopy!G7</f>
        <v xml:space="preserve">Now from only only $8.34/mo for 36 mos⊕ or $299.99 with eligible trade-in.ᶿ </v>
      </c>
      <c r="AI5" s="23" t="str">
        <f>[1]DDOfferCopy!H7</f>
        <v xml:space="preserve">Save up to $250 instantly and get $75 or more trade-in credit. Treat yourself to blazing fast 5G speeds and incredible features at an amazing value. </v>
      </c>
      <c r="AJ5" s="14" t="str">
        <f>[1]DDOfferCopy!I7</f>
        <v>Buy now</v>
      </c>
      <c r="AK5" s="23" t="str">
        <f>[1]DDOfferCopy!J7</f>
        <v>https://www.samsung.com/us/mobile/phones/galaxy-a/buy/?link=galaxy-a71-5g</v>
      </c>
      <c r="AL5" s="66" t="str">
        <f>[1]DDOfferCopy!K7</f>
        <v>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v>
      </c>
      <c r="AM5" s="45" t="s">
        <v>353</v>
      </c>
      <c r="AN5" s="14" t="str">
        <f>[1]MiscBanners!$I$4</f>
        <v>Give-wonder-500xV.jpg</v>
      </c>
      <c r="AO5" s="14" t="str">
        <f>[1]MiscBanners!$J$4</f>
        <v>The gift that keeps on giving</v>
      </c>
      <c r="AP5" s="14" t="str">
        <f>[1]MiscBanners!$K$4</f>
        <v>NULL</v>
      </c>
      <c r="AQ5" s="14" t="str">
        <f>[1]MiscBanners!$L$4</f>
        <v>Discover even more exclusive offers on your favorite products and unlock the power of smart and savvy gifting.</v>
      </c>
      <c r="AR5" s="14" t="str">
        <f>[1]MiscBanners!$M$4</f>
        <v>Shop now</v>
      </c>
      <c r="AS5" s="14" t="str">
        <f>[1]MiscBanners!$N$4</f>
        <v>https://www.samsung.com/us/gift-ideas/</v>
      </c>
      <c r="AT5" s="14" t="str">
        <f>[1]MiscBanners!$O$4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AU5" s="14" t="str">
        <f>[1]MiscBanners!$P$4</f>
        <v>NULL</v>
      </c>
      <c r="AV5" s="14" t="str">
        <f>[1]MiscBanners!$Q$4</f>
        <v>NULL</v>
      </c>
      <c r="AW5" s="14" t="str">
        <f>[1]MiscBanners!$R$4</f>
        <v>NULL</v>
      </c>
      <c r="AX5" s="45" t="s">
        <v>354</v>
      </c>
      <c r="BI5" s="45" t="s">
        <v>355</v>
      </c>
      <c r="BJ5" s="14" t="s">
        <v>122</v>
      </c>
      <c r="BK5" s="14" t="s">
        <v>122</v>
      </c>
      <c r="BL5" s="14" t="s">
        <v>122</v>
      </c>
      <c r="BM5" s="66" t="s">
        <v>363</v>
      </c>
      <c r="BN5" s="14" t="s">
        <v>122</v>
      </c>
      <c r="BO5" s="14" t="s">
        <v>364</v>
      </c>
      <c r="BP5" s="14">
        <v>0</v>
      </c>
      <c r="BQ5" s="14" t="s">
        <v>122</v>
      </c>
      <c r="BR5" s="14" t="s">
        <v>122</v>
      </c>
      <c r="BS5" s="14" t="s">
        <v>122</v>
      </c>
      <c r="BT5" s="45" t="s">
        <v>356</v>
      </c>
      <c r="BU5" s="14" t="s">
        <v>122</v>
      </c>
      <c r="BV5" s="14" t="s">
        <v>122</v>
      </c>
      <c r="BW5" s="14" t="s">
        <v>122</v>
      </c>
      <c r="BX5" s="66" t="s">
        <v>365</v>
      </c>
      <c r="BY5" s="14" t="s">
        <v>122</v>
      </c>
      <c r="BZ5" s="14">
        <v>0</v>
      </c>
      <c r="CA5" s="14">
        <v>0</v>
      </c>
      <c r="CB5" s="14" t="s">
        <v>122</v>
      </c>
      <c r="CC5" s="14" t="s">
        <v>122</v>
      </c>
      <c r="CD5" s="14" t="s">
        <v>122</v>
      </c>
      <c r="CE5" s="45" t="s">
        <v>357</v>
      </c>
      <c r="CF5" s="14" t="s">
        <v>122</v>
      </c>
      <c r="CG5" s="14" t="s">
        <v>122</v>
      </c>
      <c r="CH5" s="14" t="s">
        <v>122</v>
      </c>
      <c r="CI5" s="66" t="s">
        <v>366</v>
      </c>
      <c r="CJ5" s="14" t="s">
        <v>122</v>
      </c>
      <c r="CK5" s="14" t="s">
        <v>367</v>
      </c>
      <c r="CL5" s="14">
        <v>0</v>
      </c>
      <c r="CM5" s="14" t="s">
        <v>122</v>
      </c>
      <c r="CN5" s="14" t="s">
        <v>122</v>
      </c>
      <c r="CO5" s="14" t="s">
        <v>122</v>
      </c>
      <c r="CP5" s="45" t="s">
        <v>358</v>
      </c>
      <c r="CQ5" s="14" t="s">
        <v>122</v>
      </c>
      <c r="CR5" s="14" t="s">
        <v>122</v>
      </c>
      <c r="CS5" s="14" t="s">
        <v>122</v>
      </c>
      <c r="CT5" s="66" t="s">
        <v>368</v>
      </c>
      <c r="CU5" s="14" t="s">
        <v>122</v>
      </c>
      <c r="CV5" s="14" t="s">
        <v>367</v>
      </c>
      <c r="CW5" s="14">
        <v>0</v>
      </c>
      <c r="CX5" s="14" t="s">
        <v>122</v>
      </c>
      <c r="CY5" s="14" t="s">
        <v>122</v>
      </c>
      <c r="CZ5" s="14" t="s">
        <v>122</v>
      </c>
      <c r="DA5" s="45"/>
      <c r="DE5" s="66"/>
      <c r="DL5" s="45"/>
      <c r="DP5" s="66"/>
    </row>
    <row r="6" spans="1:126" s="14" customFormat="1" ht="87.75" customHeight="1" x14ac:dyDescent="0.25">
      <c r="A6" s="67" t="s">
        <v>369</v>
      </c>
      <c r="B6" s="14" t="s">
        <v>344</v>
      </c>
      <c r="C6" s="14" t="s">
        <v>29</v>
      </c>
      <c r="D6" s="14" t="str">
        <f>'[1]Dynamic Banners'!$M$7</f>
        <v xml:space="preserve">Cyber Monday may be over, but shop and save all Cyber Week long. </v>
      </c>
      <c r="E6" s="14" t="str">
        <f>'[1]Dynamic Banners'!$M$7</f>
        <v xml:space="preserve">Cyber Monday may be over, but shop and save all Cyber Week long. </v>
      </c>
      <c r="F6" s="14" t="str">
        <f>[1]MiscBanners!$B$4</f>
        <v>https://www.samsung.com/us/shop/all-deals/</v>
      </c>
      <c r="G6"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H6" s="23" t="s">
        <v>191</v>
      </c>
      <c r="I6" s="83" t="s">
        <v>348</v>
      </c>
      <c r="J6" s="23" t="str">
        <f>[1]MiscBanners!$B$4</f>
        <v>https://www.samsung.com/us/shop/all-deals/</v>
      </c>
      <c r="K6"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L6" s="45" t="s">
        <v>370</v>
      </c>
      <c r="M6" s="23" t="str">
        <f>[1]CCModuleCopy!$D$3</f>
        <v>NULL</v>
      </c>
      <c r="N6" s="23" t="str">
        <f>[1]CCModuleCopy!$E$3</f>
        <v>Black Friday prices and trade-in values are in full effect, giving you access to some of our best offers of the year on  Galaxy Note20 5G, S20 FE 5G, Z Fold2 5G and select A series devices.
Plus, get $50 or more instant credit toward accessories with any smartphone purchase to complete your Galaxy Ecosystem.‡†</v>
      </c>
      <c r="O6" s="14" t="str">
        <f>[1]CCModuleCopy!$F$3</f>
        <v>Shop all</v>
      </c>
      <c r="P6" s="23" t="str">
        <f>[1]CCModuleCopy!$G$3</f>
        <v>https://www.samsung.com/us/shop/all-deals/cell-phone-deals/</v>
      </c>
      <c r="Q6" s="14" t="str">
        <f>[1]CCModuleCopy!$H$3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R6" s="45" t="s">
        <v>371</v>
      </c>
      <c r="S6" s="14" t="str">
        <f>[1]CCModuleCopy!$C$7</f>
        <v>Get up to $3000 off select 8K, 4K and Lifestyle TVs</v>
      </c>
      <c r="T6" s="23" t="str">
        <f>[1]CCModuleCopy!$D$7</f>
        <v>NULL</v>
      </c>
      <c r="U6" s="23" t="str">
        <f>[1]CCModuleCopy!$E$7</f>
        <v xml:space="preserve">Discover the mind-blowing, true-to-live resolution of QLED technology.
Save up to $3000 on 8K TVs, up to $1800 on select 4K TVs, up to $1300 on Lifestyle TVs and up to $400 on select soundbars and more. 
Plus, buy and try select Lifestyle TVs, soundbars and The Premiere Projector with our new 100-day, risk-free trial. </v>
      </c>
      <c r="V6" s="14" t="str">
        <f>[1]CCModuleCopy!$F$7</f>
        <v>Shop all</v>
      </c>
      <c r="W6" s="23" t="str">
        <f>[1]CCModuleCopy!$G$7</f>
        <v>https://www.samsung.com/us/shop/all-deals/tv-and-home-theater-deals/</v>
      </c>
      <c r="X6" s="14" t="str">
        <f>[1]CCModuleCopy!$H$7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Y6" s="45" t="s">
        <v>372</v>
      </c>
      <c r="Z6" s="14" t="str">
        <f>[1]CCModuleCopy!$C$15</f>
        <v>Save up to $150 on select tablets</v>
      </c>
      <c r="AA6" s="23" t="str">
        <f>[1]CCModuleCopy!$D$15</f>
        <v>NULL</v>
      </c>
      <c r="AB6" s="23" t="str">
        <f>[1]CCModuleCopy!$E$15</f>
        <v xml:space="preserve">Empower how you create, work, learn, game and more with our powerful line of tablets. Shop our offers on great products from the new Galaxy Tab S7+ to the Galaxy Tab S6 Lite. </v>
      </c>
      <c r="AC6" s="14" t="str">
        <f>[1]CCModuleCopy!$F$15</f>
        <v>Shop all</v>
      </c>
      <c r="AD6" s="23" t="str">
        <f>[1]CCModuleCopy!$G$15</f>
        <v>https://www.samsung.com/us/shop/all-deals/tablets-wearables-cell-phone-accessories-deals/</v>
      </c>
      <c r="AE6" s="14" t="str">
        <f>[1]CCModuleCopy!$H$15</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AF6" s="45" t="s">
        <v>373</v>
      </c>
      <c r="AG6" s="14" t="str">
        <f>[1]CCModuleCopy!$C$11</f>
        <v>Get up to $100 off select watches and earbuds</v>
      </c>
      <c r="AH6" s="23" t="str">
        <f>[1]CCModuleCopy!$D$11</f>
        <v>NULL</v>
      </c>
      <c r="AI6" s="23" t="str">
        <f>[1]CCModuleCopy!$E$11</f>
        <v>Shop our exclusive Black Friday offers on Galaxy Watch3 Titanium, Watch3, Buds+ and more, suited for every lifestyle and every holiday shopping budget. 
Plus, now you can flex your fashion muscles with the new Samsung Design Studio. Create a Galaxy Watch as unique as you, today.</v>
      </c>
      <c r="AJ6" s="14" t="str">
        <f>[1]CCModuleCopy!$F$11</f>
        <v>Shop all</v>
      </c>
      <c r="AK6" s="23" t="str">
        <f>[1]CCModuleCopy!$G$11</f>
        <v>https://www.samsung.com/us/shop/all-deals/tablets-wearables-cell-phone-accessories-deals/</v>
      </c>
      <c r="AL6" s="14" t="str">
        <f>[1]CCModuleCopy!$H$11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AM6" s="45" t="s">
        <v>374</v>
      </c>
      <c r="AN6" s="14" t="str">
        <f>[1]CCModuleCopy!$B$13</f>
        <v>CE_HeadImage_Computing_500xV.jpg</v>
      </c>
      <c r="AO6" s="14" t="str">
        <f>[1]CCModuleCopy!$C$13</f>
        <v>Get up to 60% off memory cards, SSD, monitors and more</v>
      </c>
      <c r="AP6" s="14" t="str">
        <f>[1]CCModuleCopy!$D$13</f>
        <v>NULL</v>
      </c>
      <c r="AQ6" s="14" t="str">
        <f>[1]CCModuleCopy!$E$13</f>
        <v xml:space="preserve">Work and game smarter, not harder with these must-have computing offers. Expand the way you play, store and create and get up to 30% off monitors, up to 60% off memory cards, up to 35% off SSD and more. </v>
      </c>
      <c r="AR6" s="14" t="str">
        <f>[1]CCModuleCopy!$F$13</f>
        <v>Shop all</v>
      </c>
      <c r="AS6" s="14" t="str">
        <f>[1]CCModuleCopy!$G$13</f>
        <v>https://www.samsung.com/us/shop/all-deals/laptop-and-computer-deals/</v>
      </c>
      <c r="AT6" s="14" t="str">
        <f>[1]CCModuleCopy!$H$13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AU6" s="14" t="str">
        <f>[1]CCModuleCopy!$I$13</f>
        <v>NULL</v>
      </c>
      <c r="AV6" s="14" t="str">
        <f>[1]CCModuleCopy!$J$13</f>
        <v>NULL</v>
      </c>
      <c r="AW6" s="14" t="str">
        <f>[1]CCModuleCopy!$K$13</f>
        <v>NULL</v>
      </c>
      <c r="AX6" s="45" t="s">
        <v>375</v>
      </c>
      <c r="AY6" s="14" t="str">
        <f>[1]CCModuleCopy!$B$9</f>
        <v>HA_HeadImage_Shop_HA_500xV.jpg</v>
      </c>
      <c r="AZ6" s="14" t="str">
        <f>[1]CCModuleCopy!$C$9</f>
        <v>Save up to 50% on everything you need to upgrade your home and home care</v>
      </c>
      <c r="BA6" s="14" t="str">
        <f>[1]CCModuleCopy!$D$9</f>
        <v>NULL</v>
      </c>
      <c r="BB6" s="14" t="str">
        <f>[1]CCModuleCopy!$E$9</f>
        <v xml:space="preserve">Complete your domestic oasis or prepare for holiday festivities, and even the clean up that comes after, today. 
Get an additional 10% off when you buy 4 or more eligible kitchen appliances. Save even more with early Black Friday prices for select categories.α 
Plus, buy and try a Jet Stick Cordless Vacuum with our new 100-day, risk-free trial. </v>
      </c>
      <c r="BC6" s="14" t="str">
        <f>[1]CCModuleCopy!$F$9</f>
        <v>Shop all</v>
      </c>
      <c r="BD6" s="14" t="str">
        <f>[1]CCModuleCopy!$G$9</f>
        <v>https://www.samsung.com/us/shop/all-deals/home-appliance-and-smart-home-sales/</v>
      </c>
      <c r="BE6" s="14" t="str">
        <f>[1]CCModuleCopy!$H$9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BF6" s="14" t="str">
        <f>[1]CCModuleCopy!$I$9</f>
        <v>NULL</v>
      </c>
      <c r="BG6" s="14" t="str">
        <f>[1]CCModuleCopy!$J$9</f>
        <v>NULL</v>
      </c>
      <c r="BH6" s="14" t="str">
        <f>[1]CCModuleCopy!$K$9</f>
        <v>NULL</v>
      </c>
      <c r="BI6" s="45" t="s">
        <v>353</v>
      </c>
      <c r="BJ6" s="14" t="str">
        <f>[1]MiscBanners!$I$4</f>
        <v>Give-wonder-500xV.jpg</v>
      </c>
      <c r="BK6" s="14" t="str">
        <f>[1]MiscBanners!$J$4</f>
        <v>The gift that keeps on giving</v>
      </c>
      <c r="BL6" s="14" t="str">
        <f>[1]MiscBanners!$K$4</f>
        <v>NULL</v>
      </c>
      <c r="BM6" s="66" t="str">
        <f>[1]MiscBanners!$L$4</f>
        <v>Discover even more exclusive offers on your favorite products and unlock the power of smart and savvy gifting.</v>
      </c>
      <c r="BN6" s="14" t="str">
        <f>[1]MiscBanners!$M$4</f>
        <v>Shop now</v>
      </c>
      <c r="BO6" s="14" t="str">
        <f>[1]MiscBanners!$N$4</f>
        <v>https://www.samsung.com/us/gift-ideas/</v>
      </c>
      <c r="BP6" s="14" t="str">
        <f>[1]MiscBanners!$O$4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BQ6" s="14" t="str">
        <f>[1]MiscBanners!$P$4</f>
        <v>NULL</v>
      </c>
      <c r="BR6" s="14" t="str">
        <f>[1]MiscBanners!$Q$4</f>
        <v>NULL</v>
      </c>
      <c r="BS6" s="14" t="str">
        <f>[1]MiscBanners!$R$4</f>
        <v>NULL</v>
      </c>
      <c r="BT6" s="45" t="s">
        <v>354</v>
      </c>
      <c r="BX6" s="66"/>
      <c r="CE6" s="45" t="s">
        <v>376</v>
      </c>
      <c r="CF6" s="14" t="str">
        <f>[1]TC!B4</f>
        <v>NULL</v>
      </c>
      <c r="CG6" s="14" t="str">
        <f>[1]TC!C4</f>
        <v>NULL</v>
      </c>
      <c r="CH6" s="14" t="str">
        <f>[1]TC!D4</f>
        <v>NULL</v>
      </c>
      <c r="CI6" s="66" t="str">
        <f>[1]TC!E4</f>
        <v>§18+ &amp; 50 US/DC only. By 11/29/2020 11:59 PM EST, purchase a qualifying device on device installment plan, 2-year contract plan, lease or outright purchase at full retail price (“Qualifying Purchase”), &amp; receive a Samsung Credit of $100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CJ6" s="14" t="str">
        <f>[1]TC!F4</f>
        <v>NULL</v>
      </c>
      <c r="CK6" s="14" t="str">
        <f>[1]TC!G4</f>
        <v>https://www.samsung.com/us/</v>
      </c>
      <c r="CL6" s="14" t="str">
        <f>[1]TC!H4</f>
        <v>https://www.samsung.com/us/</v>
      </c>
      <c r="CM6" s="14" t="str">
        <f>[1]TC!I4</f>
        <v>NULL</v>
      </c>
      <c r="CN6" s="14" t="str">
        <f>[1]TC!J4</f>
        <v>NULL</v>
      </c>
      <c r="CO6" s="14" t="str">
        <f>[1]TC!K4</f>
        <v>NULL</v>
      </c>
      <c r="CP6" s="45" t="s">
        <v>356</v>
      </c>
      <c r="CQ6" s="14" t="str">
        <f>[1]TC!B5</f>
        <v>NULL</v>
      </c>
      <c r="CR6" s="14" t="str">
        <f>[1]TC!C5</f>
        <v>NULL</v>
      </c>
      <c r="CS6" s="14" t="str">
        <f>[1]TC!D5</f>
        <v>NULL</v>
      </c>
      <c r="CT6" s="66" t="str">
        <f>[1]TC!E5</f>
        <v>†18+ &amp; 50 US/DC only. By 11/29/2020 11:59 PM EST, purchase a qualifying device on device installment plan, 2-year contract plan, lease or outright purchase at full retail price (“Qualifying Purchase”), &amp; receive a Samsung Credit of $30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CU6" s="14" t="str">
        <f>[1]TC!F5</f>
        <v>NULL</v>
      </c>
      <c r="CV6" s="14" t="str">
        <f>[1]TC!G5</f>
        <v>https://www.samsung.com/us/</v>
      </c>
      <c r="CW6" s="14" t="str">
        <f>[1]TC!H5</f>
        <v>https://www.samsung.com/us/</v>
      </c>
      <c r="CX6" s="14" t="str">
        <f>[1]TC!I5</f>
        <v>NULL</v>
      </c>
      <c r="CY6" s="14" t="str">
        <f>[1]TC!J5</f>
        <v>NULL</v>
      </c>
      <c r="CZ6" s="14" t="str">
        <f>[1]TC!K5</f>
        <v>NULL</v>
      </c>
      <c r="DA6" s="45" t="s">
        <v>357</v>
      </c>
      <c r="DB6" s="14" t="str">
        <f>[1]TC!B6</f>
        <v>NULL</v>
      </c>
      <c r="DC6" s="14" t="str">
        <f>[1]TC!C6</f>
        <v>NULL</v>
      </c>
      <c r="DD6" s="14" t="str">
        <f>[1]TC!D6</f>
        <v>NULL</v>
      </c>
      <c r="DE6" s="66" t="str">
        <f>[1]TC!E6</f>
        <v>‡18+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DF6" s="14" t="str">
        <f>[1]TC!F6</f>
        <v>NULL</v>
      </c>
      <c r="DG6" s="14" t="str">
        <f>[1]TC!G6</f>
        <v>https://www.samsung.com/us/</v>
      </c>
      <c r="DH6" s="14" t="str">
        <f>[1]TC!H6</f>
        <v>https://www.samsung.com/us/</v>
      </c>
      <c r="DI6" s="14" t="str">
        <f>[1]TC!I6</f>
        <v>NULL</v>
      </c>
      <c r="DJ6" s="14" t="str">
        <f>[1]TC!J6</f>
        <v>NULL</v>
      </c>
      <c r="DK6" s="14" t="str">
        <f>[1]TC!K6</f>
        <v>NULL</v>
      </c>
      <c r="DL6" s="45" t="s">
        <v>358</v>
      </c>
      <c r="DM6" s="14" t="str">
        <f>[1]TC!B7</f>
        <v>NULL</v>
      </c>
      <c r="DN6" s="14" t="str">
        <f>[1]TC!C7</f>
        <v>NULL</v>
      </c>
      <c r="DO6" s="14" t="str">
        <f>[1]TC!D7</f>
        <v>NULL</v>
      </c>
      <c r="DP6" s="66" t="str">
        <f>[1]TC!E7</f>
        <v>αMust be an eligible legal resident of the 50 US/DC &amp; at least 18 years old to participate. Purchase at least 4 eligible Samsung Home Appliance products in the same transaction (Refrigerators, Ranges, Countertop Microwaves, Over-the-Range Microwave Ovens, Dishwashers, Wall Ovens, Cooktops, or Range Hoods) (“a Qualifying Purchase”) between 11/04/20 and 12/02/20 on Samsung.com, and you will receive a 10% instant rebate off of the pre-tax purchase price of your Qualifying Purchase (“Gift”). Purchases must include products from different product categories. If more than 4 eligible products are purchased, the additional products purchased are eligible for the discount as long as the eligibility requirements listed above and below are met. Eligible categories are Refrigerators, Ranges, Countertop Microwaves, Over-the-Range Microwave Ovens, Dishwashers, Wall Ovens, Cooktops, or Range Hoods. Samsung Chef Collection, Washers, Dryers, Pedestals, Vacuums, Air Purifiers, AirDresser, Wine Cooler, and all accessories are not eligible. Quantities limited; offer valid while supplies last. One claim per household. This Offer and instant rebate Gift redemption applies to Samsung.com only. Offer cannot be combined with other Samsung offers, rebates, programs, or promotions unless otherwise stated.</v>
      </c>
      <c r="DQ6" s="14" t="str">
        <f>[1]TC!F7</f>
        <v>NULL</v>
      </c>
      <c r="DR6" s="14" t="str">
        <f>[1]TC!G7</f>
        <v xml:space="preserve"> </v>
      </c>
      <c r="DS6" s="14">
        <f>[1]TC!H7</f>
        <v>0</v>
      </c>
      <c r="DT6" s="14" t="str">
        <f>[1]TC!I7</f>
        <v>NULL</v>
      </c>
      <c r="DU6" s="14" t="str">
        <f>[1]TC!J7</f>
        <v>NULL</v>
      </c>
      <c r="DV6" s="14" t="str">
        <f>[1]TC!K7</f>
        <v>NULL</v>
      </c>
    </row>
    <row r="7" spans="1:126" s="14" customFormat="1" ht="87" customHeight="1" x14ac:dyDescent="0.25">
      <c r="A7" s="67" t="s">
        <v>369</v>
      </c>
      <c r="B7" s="14" t="s">
        <v>377</v>
      </c>
      <c r="C7" s="14" t="s">
        <v>29</v>
      </c>
      <c r="D7" s="14" t="str">
        <f>'[1]Dynamic Banners'!$M$7</f>
        <v xml:space="preserve">Cyber Monday may be over, but shop and save all Cyber Week long. </v>
      </c>
      <c r="E7" s="14" t="str">
        <f>'[1]Dynamic Banners'!$M$7</f>
        <v xml:space="preserve">Cyber Monday may be over, but shop and save all Cyber Week long. </v>
      </c>
      <c r="F7" s="14" t="str">
        <f>[1]MiscBanners!$B$4</f>
        <v>https://www.samsung.com/us/shop/all-deals/</v>
      </c>
      <c r="G7"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H7" s="23" t="s">
        <v>191</v>
      </c>
      <c r="I7" s="83" t="s">
        <v>379</v>
      </c>
      <c r="J7" s="23" t="str">
        <f>[1]MiscBanners!$B$4</f>
        <v>https://www.samsung.com/us/shop/all-deals/</v>
      </c>
      <c r="K7"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L7" s="45" t="s">
        <v>371</v>
      </c>
      <c r="M7" s="23" t="str">
        <f>[1]CCModuleCopy!$D$7</f>
        <v>NULL</v>
      </c>
      <c r="N7" s="23" t="str">
        <f>[1]CCModuleCopy!$E$7</f>
        <v xml:space="preserve">Discover the mind-blowing, true-to-live resolution of QLED technology.
Save up to $3000 on 8K TVs, up to $1800 on select 4K TVs, up to $1300 on Lifestyle TVs and up to $400 on select soundbars and more. 
Plus, buy and try select Lifestyle TVs, soundbars and The Premiere Projector with our new 100-day, risk-free trial. </v>
      </c>
      <c r="O7" s="14" t="str">
        <f>[1]CCModuleCopy!$F$7</f>
        <v>Shop all</v>
      </c>
      <c r="P7" s="23" t="str">
        <f>[1]CCModuleCopy!$G$7</f>
        <v>https://www.samsung.com/us/shop/all-deals/tv-and-home-theater-deals/</v>
      </c>
      <c r="Q7" s="14" t="str">
        <f>[1]CCModuleCopy!$H$7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R7" s="45" t="s">
        <v>370</v>
      </c>
      <c r="S7" s="14" t="str">
        <f>[1]CCModuleCopy!$C$3</f>
        <v>Save up to $1000 instantly on the latest and greatest Galaxy smartphones</v>
      </c>
      <c r="T7" s="23" t="str">
        <f>[1]CCModuleCopy!$D$3</f>
        <v>NULL</v>
      </c>
      <c r="U7" s="23" t="str">
        <f>[1]CCModuleCopy!$E$3</f>
        <v>Black Friday prices and trade-in values are in full effect, giving you access to some of our best offers of the year on  Galaxy Note20 5G, S20 FE 5G, Z Fold2 5G and select A series devices.
Plus, get $50 or more instant credit toward accessories with any smartphone purchase to complete your Galaxy Ecosystem.‡†</v>
      </c>
      <c r="V7" s="14" t="str">
        <f>[1]CCModuleCopy!$F$3</f>
        <v>Shop all</v>
      </c>
      <c r="W7" s="23" t="str">
        <f>[1]CCModuleCopy!$G$3</f>
        <v>https://www.samsung.com/us/shop/all-deals/cell-phone-deals/</v>
      </c>
      <c r="X7" s="14" t="str">
        <f>[1]CCModuleCopy!$H$3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Y7" s="45" t="s">
        <v>372</v>
      </c>
      <c r="Z7" s="14" t="s">
        <v>161</v>
      </c>
      <c r="AA7" s="23" t="s">
        <v>122</v>
      </c>
      <c r="AB7" s="23" t="s">
        <v>162</v>
      </c>
      <c r="AC7" s="14" t="s">
        <v>73</v>
      </c>
      <c r="AD7" s="23">
        <v>0</v>
      </c>
      <c r="AE7" s="14">
        <v>0</v>
      </c>
      <c r="AF7" s="45" t="s">
        <v>373</v>
      </c>
      <c r="AG7" s="14" t="str">
        <f>[1]CCModuleCopy!$C$11</f>
        <v>Get up to $100 off select watches and earbuds</v>
      </c>
      <c r="AH7" s="23" t="str">
        <f>[1]CCModuleCopy!$D$11</f>
        <v>NULL</v>
      </c>
      <c r="AI7" s="23" t="str">
        <f>[1]CCModuleCopy!$E$11</f>
        <v>Shop our exclusive Black Friday offers on Galaxy Watch3 Titanium, Watch3, Buds+ and more, suited for every lifestyle and every holiday shopping budget. 
Plus, now you can flex your fashion muscles with the new Samsung Design Studio. Create a Galaxy Watch as unique as you, today.</v>
      </c>
      <c r="AJ7" s="14" t="str">
        <f>[1]CCModuleCopy!$F$11</f>
        <v>Shop all</v>
      </c>
      <c r="AK7" s="23" t="str">
        <f>[1]CCModuleCopy!$G$11</f>
        <v>https://www.samsung.com/us/shop/all-deals/tablets-wearables-cell-phone-accessories-deals/</v>
      </c>
      <c r="AL7" s="66" t="str">
        <f>[1]CCModuleCopy!$H$11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AM7" s="45" t="s">
        <v>374</v>
      </c>
      <c r="AN7" s="14" t="str">
        <f>[1]CCModuleCopy!$B$13</f>
        <v>CE_HeadImage_Computing_500xV.jpg</v>
      </c>
      <c r="AO7" s="14" t="str">
        <f>[1]CCModuleCopy!$C$13</f>
        <v>Get up to 60% off memory cards, SSD, monitors and more</v>
      </c>
      <c r="AP7" s="14" t="str">
        <f>[1]CCModuleCopy!$D$13</f>
        <v>NULL</v>
      </c>
      <c r="AQ7" s="14" t="str">
        <f>[1]CCModuleCopy!$E$13</f>
        <v xml:space="preserve">Work and game smarter, not harder with these must-have computing offers. Expand the way you play, store and create and get up to 30% off monitors, up to 60% off memory cards, up to 35% off SSD and more. </v>
      </c>
      <c r="AR7" s="14" t="str">
        <f>[1]CCModuleCopy!$F$13</f>
        <v>Shop all</v>
      </c>
      <c r="AS7" s="14" t="str">
        <f>[1]CCModuleCopy!$G$13</f>
        <v>https://www.samsung.com/us/shop/all-deals/laptop-and-computer-deals/</v>
      </c>
      <c r="AT7" s="14" t="str">
        <f>[1]CCModuleCopy!$H$13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AU7" s="14" t="str">
        <f>[1]CCModuleCopy!$I$13</f>
        <v>NULL</v>
      </c>
      <c r="AV7" s="14" t="str">
        <f>[1]CCModuleCopy!$J$13</f>
        <v>NULL</v>
      </c>
      <c r="AW7" s="14" t="str">
        <f>[1]CCModuleCopy!$K$13</f>
        <v>NULL</v>
      </c>
      <c r="AX7" s="45" t="s">
        <v>375</v>
      </c>
      <c r="AY7" s="14" t="str">
        <f>[1]CCModuleCopy!$B$9</f>
        <v>HA_HeadImage_Shop_HA_500xV.jpg</v>
      </c>
      <c r="AZ7" s="14" t="str">
        <f>[1]CCModuleCopy!$C$9</f>
        <v>Save up to 50% on everything you need to upgrade your home and home care</v>
      </c>
      <c r="BA7" s="14" t="str">
        <f>[1]CCModuleCopy!$D$9</f>
        <v>NULL</v>
      </c>
      <c r="BB7" s="14" t="str">
        <f>[1]CCModuleCopy!$E$9</f>
        <v xml:space="preserve">Complete your domestic oasis or prepare for holiday festivities, and even the clean up that comes after, today. 
Get an additional 10% off when you buy 4 or more eligible kitchen appliances. Save even more with early Black Friday prices for select categories.α 
Plus, buy and try a Jet Stick Cordless Vacuum with our new 100-day, risk-free trial. </v>
      </c>
      <c r="BC7" s="14" t="str">
        <f>[1]CCModuleCopy!$F$9</f>
        <v>Shop all</v>
      </c>
      <c r="BD7" s="14" t="str">
        <f>[1]CCModuleCopy!$G$9</f>
        <v>https://www.samsung.com/us/shop/all-deals/home-appliance-and-smart-home-sales/</v>
      </c>
      <c r="BE7" s="14" t="str">
        <f>[1]CCModuleCopy!$H$9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BF7" s="14" t="str">
        <f>[1]CCModuleCopy!$I$9</f>
        <v>NULL</v>
      </c>
      <c r="BG7" s="14" t="str">
        <f>[1]CCModuleCopy!$J$9</f>
        <v>NULL</v>
      </c>
      <c r="BH7" s="14" t="str">
        <f>[1]CCModuleCopy!$K$9</f>
        <v>NULL</v>
      </c>
      <c r="BI7" s="45" t="s">
        <v>353</v>
      </c>
      <c r="BJ7" s="14" t="str">
        <f>[1]MiscBanners!$I$4</f>
        <v>Give-wonder-500xV.jpg</v>
      </c>
      <c r="BK7" s="14" t="str">
        <f>[1]MiscBanners!$J$4</f>
        <v>The gift that keeps on giving</v>
      </c>
      <c r="BL7" s="14" t="str">
        <f>[1]MiscBanners!$K$4</f>
        <v>NULL</v>
      </c>
      <c r="BM7" s="66" t="str">
        <f>[1]MiscBanners!$L$4</f>
        <v>Discover even more exclusive offers on your favorite products and unlock the power of smart and savvy gifting.</v>
      </c>
      <c r="BN7" s="14" t="str">
        <f>[1]MiscBanners!$M$4</f>
        <v>Shop now</v>
      </c>
      <c r="BO7" s="14" t="str">
        <f>[1]MiscBanners!$N$4</f>
        <v>https://www.samsung.com/us/gift-ideas/</v>
      </c>
      <c r="BP7" s="14" t="str">
        <f>[1]MiscBanners!$O$4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BQ7" s="14" t="str">
        <f>[1]MiscBanners!$P$4</f>
        <v>NULL</v>
      </c>
      <c r="BR7" s="14" t="str">
        <f>[1]MiscBanners!$Q$4</f>
        <v>NULL</v>
      </c>
      <c r="BS7" s="14" t="str">
        <f>[1]MiscBanners!$R$4</f>
        <v>NULL</v>
      </c>
      <c r="BT7" s="45" t="s">
        <v>354</v>
      </c>
      <c r="BX7" s="66"/>
      <c r="CE7" s="45" t="s">
        <v>376</v>
      </c>
      <c r="CF7" s="14" t="str">
        <f>[1]TC!B5</f>
        <v>NULL</v>
      </c>
      <c r="CG7" s="14" t="str">
        <f>[1]TC!C5</f>
        <v>NULL</v>
      </c>
      <c r="CH7" s="14" t="str">
        <f>[1]TC!D5</f>
        <v>NULL</v>
      </c>
      <c r="CI7" s="66" t="str">
        <f>[1]TC!E5</f>
        <v>†18+ &amp; 50 US/DC only. By 11/29/2020 11:59 PM EST, purchase a qualifying device on device installment plan, 2-year contract plan, lease or outright purchase at full retail price (“Qualifying Purchase”), &amp; receive a Samsung Credit of $30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CJ7" s="14" t="str">
        <f>[1]TC!F5</f>
        <v>NULL</v>
      </c>
      <c r="CK7" s="14" t="str">
        <f>[1]TC!G5</f>
        <v>https://www.samsung.com/us/</v>
      </c>
      <c r="CL7" s="14" t="str">
        <f>[1]TC!H5</f>
        <v>https://www.samsung.com/us/</v>
      </c>
      <c r="CM7" s="14" t="str">
        <f>[1]TC!I5</f>
        <v>NULL</v>
      </c>
      <c r="CN7" s="14" t="str">
        <f>[1]TC!J5</f>
        <v>NULL</v>
      </c>
      <c r="CO7" s="14" t="str">
        <f>[1]TC!K5</f>
        <v>NULL</v>
      </c>
      <c r="CP7" s="45" t="s">
        <v>356</v>
      </c>
      <c r="CQ7" s="14" t="str">
        <f>[1]TC!B6</f>
        <v>NULL</v>
      </c>
      <c r="CR7" s="14" t="str">
        <f>[1]TC!C6</f>
        <v>NULL</v>
      </c>
      <c r="CS7" s="14" t="str">
        <f>[1]TC!D6</f>
        <v>NULL</v>
      </c>
      <c r="CT7" s="66" t="str">
        <f>[1]TC!E6</f>
        <v>‡18+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CU7" s="14" t="str">
        <f>[1]TC!F6</f>
        <v>NULL</v>
      </c>
      <c r="CV7" s="14" t="str">
        <f>[1]TC!G6</f>
        <v>https://www.samsung.com/us/</v>
      </c>
      <c r="CW7" s="14" t="str">
        <f>[1]TC!H6</f>
        <v>https://www.samsung.com/us/</v>
      </c>
      <c r="CX7" s="14" t="str">
        <f>[1]TC!I6</f>
        <v>NULL</v>
      </c>
      <c r="CY7" s="14" t="str">
        <f>[1]TC!J6</f>
        <v>NULL</v>
      </c>
      <c r="CZ7" s="14" t="str">
        <f>[1]TC!K6</f>
        <v>NULL</v>
      </c>
      <c r="DA7" s="45" t="s">
        <v>357</v>
      </c>
      <c r="DB7" s="14" t="str">
        <f>[1]TC!B7</f>
        <v>NULL</v>
      </c>
      <c r="DC7" s="14" t="str">
        <f>[1]TC!C7</f>
        <v>NULL</v>
      </c>
      <c r="DD7" s="14" t="str">
        <f>[1]TC!D7</f>
        <v>NULL</v>
      </c>
      <c r="DE7" s="66" t="str">
        <f>[1]TC!E7</f>
        <v>αMust be an eligible legal resident of the 50 US/DC &amp; at least 18 years old to participate. Purchase at least 4 eligible Samsung Home Appliance products in the same transaction (Refrigerators, Ranges, Countertop Microwaves, Over-the-Range Microwave Ovens, Dishwashers, Wall Ovens, Cooktops, or Range Hoods) (“a Qualifying Purchase”) between 11/04/20 and 12/02/20 on Samsung.com, and you will receive a 10% instant rebate off of the pre-tax purchase price of your Qualifying Purchase (“Gift”). Purchases must include products from different product categories. If more than 4 eligible products are purchased, the additional products purchased are eligible for the discount as long as the eligibility requirements listed above and below are met. Eligible categories are Refrigerators, Ranges, Countertop Microwaves, Over-the-Range Microwave Ovens, Dishwashers, Wall Ovens, Cooktops, or Range Hoods. Samsung Chef Collection, Washers, Dryers, Pedestals, Vacuums, Air Purifiers, AirDresser, Wine Cooler, and all accessories are not eligible. Quantities limited; offer valid while supplies last. One claim per household. This Offer and instant rebate Gift redemption applies to Samsung.com only. Offer cannot be combined with other Samsung offers, rebates, programs, or promotions unless otherwise stated.</v>
      </c>
      <c r="DF7" s="14" t="str">
        <f>[1]TC!F7</f>
        <v>NULL</v>
      </c>
      <c r="DG7" s="14" t="str">
        <f>[1]TC!G7</f>
        <v xml:space="preserve"> </v>
      </c>
      <c r="DH7" s="14">
        <f>[1]TC!H7</f>
        <v>0</v>
      </c>
      <c r="DI7" s="14" t="str">
        <f>[1]TC!I7</f>
        <v>NULL</v>
      </c>
      <c r="DJ7" s="14" t="str">
        <f>[1]TC!J7</f>
        <v>NULL</v>
      </c>
      <c r="DK7" s="14" t="str">
        <f>[1]TC!K7</f>
        <v>NULL</v>
      </c>
      <c r="DL7" s="45" t="s">
        <v>358</v>
      </c>
      <c r="DM7" s="14">
        <f>[1]TC!B8</f>
        <v>0</v>
      </c>
      <c r="DN7" s="14">
        <f>[1]TC!C8</f>
        <v>0</v>
      </c>
      <c r="DO7" s="14">
        <f>[1]TC!D8</f>
        <v>0</v>
      </c>
      <c r="DP7" s="66">
        <f>[1]TC!E8</f>
        <v>0</v>
      </c>
      <c r="DQ7" s="14">
        <f>[1]TC!F8</f>
        <v>0</v>
      </c>
      <c r="DR7" s="14">
        <f>[1]TC!G8</f>
        <v>0</v>
      </c>
      <c r="DS7" s="14">
        <f>[1]TC!H8</f>
        <v>0</v>
      </c>
      <c r="DT7" s="14">
        <f>[1]TC!I8</f>
        <v>0</v>
      </c>
      <c r="DU7" s="14">
        <f>[1]TC!J8</f>
        <v>0</v>
      </c>
      <c r="DV7" s="14">
        <f>[1]TC!K8</f>
        <v>0</v>
      </c>
    </row>
    <row r="8" spans="1:126" s="14" customFormat="1" ht="75.75" customHeight="1" x14ac:dyDescent="0.25">
      <c r="A8" s="67" t="s">
        <v>369</v>
      </c>
      <c r="B8" s="16" t="s">
        <v>380</v>
      </c>
      <c r="C8" s="14" t="s">
        <v>29</v>
      </c>
      <c r="D8" s="14" t="str">
        <f>'[1]Dynamic Banners'!$M$7</f>
        <v xml:space="preserve">Cyber Monday may be over, but shop and save all Cyber Week long. </v>
      </c>
      <c r="E8" s="14" t="str">
        <f>'[1]Dynamic Banners'!$M$7</f>
        <v xml:space="preserve">Cyber Monday may be over, but shop and save all Cyber Week long. </v>
      </c>
      <c r="F8" s="14" t="str">
        <f>[1]MiscBanners!$B$4</f>
        <v>https://www.samsung.com/us/shop/all-deals/</v>
      </c>
      <c r="G8"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H8" s="23" t="s">
        <v>191</v>
      </c>
      <c r="I8" s="83" t="s">
        <v>379</v>
      </c>
      <c r="J8" s="23" t="str">
        <f>[1]MiscBanners!$B$4</f>
        <v>https://www.samsung.com/us/shop/all-deals/</v>
      </c>
      <c r="K8"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L8" s="45" t="s">
        <v>372</v>
      </c>
      <c r="M8" s="23" t="str">
        <f>[1]CCModuleCopy!$D$15</f>
        <v>NULL</v>
      </c>
      <c r="N8" s="23" t="str">
        <f>[1]CCModuleCopy!$E$15</f>
        <v xml:space="preserve">Empower how you create, work, learn, game and more with our powerful line of tablets. Shop our offers on great products from the new Galaxy Tab S7+ to the Galaxy Tab S6 Lite. </v>
      </c>
      <c r="O8" s="14" t="str">
        <f>[1]CCModuleCopy!$F$15</f>
        <v>Shop all</v>
      </c>
      <c r="P8" s="23" t="str">
        <f>[1]CCModuleCopy!$G$15</f>
        <v>https://www.samsung.com/us/shop/all-deals/tablets-wearables-cell-phone-accessories-deals/</v>
      </c>
      <c r="Q8" s="14" t="str">
        <f>[1]CCModuleCopy!$H$15</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R8" s="45" t="s">
        <v>370</v>
      </c>
      <c r="S8" s="14" t="str">
        <f>[1]CCModuleCopy!$C$3</f>
        <v>Save up to $1000 instantly on the latest and greatest Galaxy smartphones</v>
      </c>
      <c r="T8" s="23" t="str">
        <f>[1]CCModuleCopy!$D$3</f>
        <v>NULL</v>
      </c>
      <c r="U8" s="23" t="str">
        <f>[1]CCModuleCopy!$E$3</f>
        <v>Black Friday prices and trade-in values are in full effect, giving you access to some of our best offers of the year on  Galaxy Note20 5G, S20 FE 5G, Z Fold2 5G and select A series devices.
Plus, get $50 or more instant credit toward accessories with any smartphone purchase to complete your Galaxy Ecosystem.‡†</v>
      </c>
      <c r="V8" s="14" t="str">
        <f>[1]CCModuleCopy!$F$3</f>
        <v>Shop all</v>
      </c>
      <c r="W8" s="23" t="str">
        <f>[1]CCModuleCopy!$G$3</f>
        <v>https://www.samsung.com/us/shop/all-deals/cell-phone-deals/</v>
      </c>
      <c r="X8" s="14" t="str">
        <f>[1]CCModuleCopy!$H$3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Y8" s="45" t="s">
        <v>371</v>
      </c>
      <c r="Z8" s="14" t="str">
        <f>[1]CCModuleCopy!$C$7</f>
        <v>Get up to $3000 off select 8K, 4K and Lifestyle TVs</v>
      </c>
      <c r="AA8" s="23" t="str">
        <f>[1]CCModuleCopy!$D$7</f>
        <v>NULL</v>
      </c>
      <c r="AB8" s="23" t="str">
        <f>[1]CCModuleCopy!$E$7</f>
        <v xml:space="preserve">Discover the mind-blowing, true-to-live resolution of QLED technology.
Save up to $3000 on 8K TVs, up to $1800 on select 4K TVs, up to $1300 on Lifestyle TVs and up to $400 on select soundbars and more. 
Plus, buy and try select Lifestyle TVs, soundbars and The Premiere Projector with our new 100-day, risk-free trial. </v>
      </c>
      <c r="AC8" s="14" t="str">
        <f>[1]CCModuleCopy!$F$7</f>
        <v>Shop all</v>
      </c>
      <c r="AD8" s="23" t="str">
        <f>[1]CCModuleCopy!$G$7</f>
        <v>https://www.samsung.com/us/shop/all-deals/tv-and-home-theater-deals/</v>
      </c>
      <c r="AE8" s="14" t="str">
        <f>[1]CCModuleCopy!$H$7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AF8" s="45" t="s">
        <v>373</v>
      </c>
      <c r="AG8" s="14" t="str">
        <f>[1]CCModuleCopy!$C$11</f>
        <v>Get up to $100 off select watches and earbuds</v>
      </c>
      <c r="AH8" s="23" t="str">
        <f>[1]CCModuleCopy!$D$11</f>
        <v>NULL</v>
      </c>
      <c r="AI8" s="23" t="str">
        <f>[1]CCModuleCopy!$E$11</f>
        <v>Shop our exclusive Black Friday offers on Galaxy Watch3 Titanium, Watch3, Buds+ and more, suited for every lifestyle and every holiday shopping budget. 
Plus, now you can flex your fashion muscles with the new Samsung Design Studio. Create a Galaxy Watch as unique as you, today.</v>
      </c>
      <c r="AJ8" s="14" t="str">
        <f>[1]CCModuleCopy!$F$11</f>
        <v>Shop all</v>
      </c>
      <c r="AK8" s="23" t="str">
        <f>[1]CCModuleCopy!$G$11</f>
        <v>https://www.samsung.com/us/shop/all-deals/tablets-wearables-cell-phone-accessories-deals/</v>
      </c>
      <c r="AL8" s="66" t="str">
        <f>[1]CCModuleCopy!$H$11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AM8" s="45" t="s">
        <v>374</v>
      </c>
      <c r="AN8" s="14" t="str">
        <f>[1]CCModuleCopy!$B$13</f>
        <v>CE_HeadImage_Computing_500xV.jpg</v>
      </c>
      <c r="AO8" s="14" t="str">
        <f>[1]CCModuleCopy!$C$13</f>
        <v>Get up to 60% off memory cards, SSD, monitors and more</v>
      </c>
      <c r="AP8" s="14" t="str">
        <f>[1]CCModuleCopy!$D$13</f>
        <v>NULL</v>
      </c>
      <c r="AQ8" s="14" t="str">
        <f>[1]CCModuleCopy!$E$13</f>
        <v xml:space="preserve">Work and game smarter, not harder with these must-have computing offers. Expand the way you play, store and create and get up to 30% off monitors, up to 60% off memory cards, up to 35% off SSD and more. </v>
      </c>
      <c r="AR8" s="14" t="str">
        <f>[1]CCModuleCopy!$F$13</f>
        <v>Shop all</v>
      </c>
      <c r="AS8" s="14" t="str">
        <f>[1]CCModuleCopy!$G$13</f>
        <v>https://www.samsung.com/us/shop/all-deals/laptop-and-computer-deals/</v>
      </c>
      <c r="AT8" s="14" t="str">
        <f>[1]CCModuleCopy!$H$13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AU8" s="14" t="str">
        <f>[1]CCModuleCopy!$I$13</f>
        <v>NULL</v>
      </c>
      <c r="AV8" s="14" t="str">
        <f>[1]CCModuleCopy!$J$13</f>
        <v>NULL</v>
      </c>
      <c r="AW8" s="14" t="str">
        <f>[1]CCModuleCopy!$K$13</f>
        <v>NULL</v>
      </c>
      <c r="AX8" s="45" t="s">
        <v>375</v>
      </c>
      <c r="AY8" s="14" t="str">
        <f>[1]CCModuleCopy!$B$9</f>
        <v>HA_HeadImage_Shop_HA_500xV.jpg</v>
      </c>
      <c r="AZ8" s="14" t="str">
        <f>[1]CCModuleCopy!$C$9</f>
        <v>Save up to 50% on everything you need to upgrade your home and home care</v>
      </c>
      <c r="BA8" s="14" t="str">
        <f>[1]CCModuleCopy!$D$9</f>
        <v>NULL</v>
      </c>
      <c r="BB8" s="14" t="str">
        <f>[1]CCModuleCopy!$E$9</f>
        <v xml:space="preserve">Complete your domestic oasis or prepare for holiday festivities, and even the clean up that comes after, today. 
Get an additional 10% off when you buy 4 or more eligible kitchen appliances. Save even more with early Black Friday prices for select categories.α 
Plus, buy and try a Jet Stick Cordless Vacuum with our new 100-day, risk-free trial. </v>
      </c>
      <c r="BC8" s="14" t="str">
        <f>[1]CCModuleCopy!$F$9</f>
        <v>Shop all</v>
      </c>
      <c r="BD8" s="14" t="str">
        <f>[1]CCModuleCopy!$G$9</f>
        <v>https://www.samsung.com/us/shop/all-deals/home-appliance-and-smart-home-sales/</v>
      </c>
      <c r="BE8" s="14" t="str">
        <f>[1]CCModuleCopy!$H$9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BF8" s="14" t="str">
        <f>[1]CCModuleCopy!$I$9</f>
        <v>NULL</v>
      </c>
      <c r="BG8" s="14" t="str">
        <f>[1]CCModuleCopy!$J$9</f>
        <v>NULL</v>
      </c>
      <c r="BH8" s="14" t="str">
        <f>[1]CCModuleCopy!$K$9</f>
        <v>NULL</v>
      </c>
      <c r="BI8" s="45" t="s">
        <v>353</v>
      </c>
      <c r="BJ8" s="14" t="str">
        <f>[1]MiscBanners!$I$4</f>
        <v>Give-wonder-500xV.jpg</v>
      </c>
      <c r="BK8" s="14" t="str">
        <f>[1]MiscBanners!$J$4</f>
        <v>The gift that keeps on giving</v>
      </c>
      <c r="BL8" s="14" t="str">
        <f>[1]MiscBanners!$K$4</f>
        <v>NULL</v>
      </c>
      <c r="BM8" s="66" t="str">
        <f>[1]MiscBanners!$L$4</f>
        <v>Discover even more exclusive offers on your favorite products and unlock the power of smart and savvy gifting.</v>
      </c>
      <c r="BN8" s="14" t="str">
        <f>[1]MiscBanners!$M$4</f>
        <v>Shop now</v>
      </c>
      <c r="BO8" s="14" t="str">
        <f>[1]MiscBanners!$N$4</f>
        <v>https://www.samsung.com/us/gift-ideas/</v>
      </c>
      <c r="BP8" s="14" t="str">
        <f>[1]MiscBanners!$O$4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BQ8" s="14" t="str">
        <f>[1]MiscBanners!$P$4</f>
        <v>NULL</v>
      </c>
      <c r="BR8" s="14" t="str">
        <f>[1]MiscBanners!$Q$4</f>
        <v>NULL</v>
      </c>
      <c r="BS8" s="14" t="str">
        <f>[1]MiscBanners!$R$4</f>
        <v>NULL</v>
      </c>
      <c r="BT8" s="45" t="s">
        <v>354</v>
      </c>
      <c r="BX8" s="66"/>
      <c r="CE8" s="45" t="s">
        <v>376</v>
      </c>
      <c r="CF8" s="14" t="s">
        <v>122</v>
      </c>
      <c r="CG8" s="14" t="s">
        <v>122</v>
      </c>
      <c r="CH8" s="14" t="s">
        <v>122</v>
      </c>
      <c r="CI8" s="66" t="s">
        <v>366</v>
      </c>
      <c r="CJ8" s="14" t="s">
        <v>122</v>
      </c>
      <c r="CK8" s="14" t="s">
        <v>367</v>
      </c>
      <c r="CL8" s="14">
        <v>0</v>
      </c>
      <c r="CM8" s="14" t="s">
        <v>122</v>
      </c>
      <c r="CN8" s="14" t="s">
        <v>122</v>
      </c>
      <c r="CO8" s="14" t="s">
        <v>122</v>
      </c>
      <c r="CP8" s="45" t="s">
        <v>356</v>
      </c>
      <c r="CQ8" s="14" t="s">
        <v>122</v>
      </c>
      <c r="CR8" s="14" t="s">
        <v>122</v>
      </c>
      <c r="CS8" s="14" t="s">
        <v>122</v>
      </c>
      <c r="CT8" s="66" t="s">
        <v>368</v>
      </c>
      <c r="CU8" s="14" t="s">
        <v>122</v>
      </c>
      <c r="CV8" s="14" t="s">
        <v>367</v>
      </c>
      <c r="CW8" s="14">
        <v>0</v>
      </c>
      <c r="CX8" s="14" t="s">
        <v>122</v>
      </c>
      <c r="CY8" s="14" t="s">
        <v>122</v>
      </c>
      <c r="CZ8" s="14" t="s">
        <v>122</v>
      </c>
      <c r="DA8" s="45" t="s">
        <v>357</v>
      </c>
      <c r="DB8" s="14" t="s">
        <v>122</v>
      </c>
      <c r="DC8" s="14" t="s">
        <v>122</v>
      </c>
      <c r="DD8" s="14" t="s">
        <v>122</v>
      </c>
      <c r="DE8" s="66" t="s">
        <v>382</v>
      </c>
      <c r="DF8" s="14" t="s">
        <v>122</v>
      </c>
      <c r="DG8" s="14" t="s">
        <v>367</v>
      </c>
      <c r="DH8" s="14">
        <v>0</v>
      </c>
      <c r="DI8" s="14" t="s">
        <v>122</v>
      </c>
      <c r="DJ8" s="14" t="s">
        <v>122</v>
      </c>
      <c r="DK8" s="14" t="s">
        <v>122</v>
      </c>
      <c r="DL8" s="45" t="s">
        <v>358</v>
      </c>
      <c r="DM8" s="14" t="s">
        <v>122</v>
      </c>
      <c r="DN8" s="14" t="s">
        <v>122</v>
      </c>
      <c r="DO8" s="14" t="s">
        <v>122</v>
      </c>
      <c r="DP8" s="66" t="s">
        <v>383</v>
      </c>
      <c r="DQ8" s="14" t="s">
        <v>122</v>
      </c>
      <c r="DR8" s="14">
        <v>0</v>
      </c>
      <c r="DS8" s="14">
        <v>0</v>
      </c>
      <c r="DT8" s="14" t="s">
        <v>122</v>
      </c>
      <c r="DU8" s="14" t="s">
        <v>122</v>
      </c>
      <c r="DV8" s="14" t="s">
        <v>122</v>
      </c>
    </row>
    <row r="9" spans="1:126" s="14" customFormat="1" ht="96" customHeight="1" x14ac:dyDescent="0.25">
      <c r="A9" s="67" t="s">
        <v>369</v>
      </c>
      <c r="B9" s="14" t="s">
        <v>384</v>
      </c>
      <c r="C9" s="14" t="s">
        <v>29</v>
      </c>
      <c r="D9" s="14" t="str">
        <f>'[1]Dynamic Banners'!$M$7</f>
        <v xml:space="preserve">Cyber Monday may be over, but shop and save all Cyber Week long. </v>
      </c>
      <c r="E9" s="14" t="str">
        <f>'[1]Dynamic Banners'!$M$7</f>
        <v xml:space="preserve">Cyber Monday may be over, but shop and save all Cyber Week long. </v>
      </c>
      <c r="F9" s="14" t="str">
        <f>[1]MiscBanners!$B$4</f>
        <v>https://www.samsung.com/us/shop/all-deals/</v>
      </c>
      <c r="G9"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H9" s="23" t="s">
        <v>191</v>
      </c>
      <c r="I9" s="83" t="s">
        <v>379</v>
      </c>
      <c r="J9" s="23" t="str">
        <f>[1]MiscBanners!$B$4</f>
        <v>https://www.samsung.com/us/shop/all-deals/</v>
      </c>
      <c r="K9"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L9" s="45" t="s">
        <v>373</v>
      </c>
      <c r="M9" s="23" t="str">
        <f>[1]CCModuleCopy!$D$11</f>
        <v>NULL</v>
      </c>
      <c r="N9" s="23" t="str">
        <f>[1]CCModuleCopy!$E$11</f>
        <v>Shop our exclusive Black Friday offers on Galaxy Watch3 Titanium, Watch3, Buds+ and more, suited for every lifestyle and every holiday shopping budget. 
Plus, now you can flex your fashion muscles with the new Samsung Design Studio. Create a Galaxy Watch as unique as you, today.</v>
      </c>
      <c r="O9" s="14" t="str">
        <f>[1]CCModuleCopy!$F$11</f>
        <v>Shop all</v>
      </c>
      <c r="P9" s="23" t="str">
        <f>[1]CCModuleCopy!$G$11</f>
        <v>https://www.samsung.com/us/shop/all-deals/tablets-wearables-cell-phone-accessories-deals/</v>
      </c>
      <c r="Q9" s="14" t="str">
        <f>[1]CCModuleCopy!$H$11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R9" s="45" t="s">
        <v>370</v>
      </c>
      <c r="S9" s="14" t="str">
        <f>[1]CCModuleCopy!$C$3</f>
        <v>Save up to $1000 instantly on the latest and greatest Galaxy smartphones</v>
      </c>
      <c r="T9" s="23" t="str">
        <f>[1]CCModuleCopy!$D$3</f>
        <v>NULL</v>
      </c>
      <c r="U9" s="23" t="str">
        <f>[1]CCModuleCopy!$E$3</f>
        <v>Black Friday prices and trade-in values are in full effect, giving you access to some of our best offers of the year on  Galaxy Note20 5G, S20 FE 5G, Z Fold2 5G and select A series devices.
Plus, get $50 or more instant credit toward accessories with any smartphone purchase to complete your Galaxy Ecosystem.‡†</v>
      </c>
      <c r="V9" s="14" t="str">
        <f>[1]CCModuleCopy!$F$3</f>
        <v>Shop all</v>
      </c>
      <c r="W9" s="23" t="str">
        <f>[1]CCModuleCopy!$G$3</f>
        <v>https://www.samsung.com/us/shop/all-deals/cell-phone-deals/</v>
      </c>
      <c r="X9" s="14" t="str">
        <f>[1]CCModuleCopy!$H$3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Y9" s="45" t="s">
        <v>371</v>
      </c>
      <c r="Z9" s="14" t="str">
        <f>[1]CCModuleCopy!$C$7</f>
        <v>Get up to $3000 off select 8K, 4K and Lifestyle TVs</v>
      </c>
      <c r="AA9" s="23" t="str">
        <f>[1]CCModuleCopy!$D$7</f>
        <v>NULL</v>
      </c>
      <c r="AB9" s="23" t="str">
        <f>[1]CCModuleCopy!$E$7</f>
        <v xml:space="preserve">Discover the mind-blowing, true-to-live resolution of QLED technology.
Save up to $3000 on 8K TVs, up to $1800 on select 4K TVs, up to $1300 on Lifestyle TVs and up to $400 on select soundbars and more. 
Plus, buy and try select Lifestyle TVs, soundbars and The Premiere Projector with our new 100-day, risk-free trial. </v>
      </c>
      <c r="AC9" s="14" t="str">
        <f>[1]CCModuleCopy!$F$7</f>
        <v>Shop all</v>
      </c>
      <c r="AD9" s="23" t="str">
        <f>[1]CCModuleCopy!$G$7</f>
        <v>https://www.samsung.com/us/shop/all-deals/tv-and-home-theater-deals/</v>
      </c>
      <c r="AE9" s="14" t="str">
        <f>[1]CCModuleCopy!$H$7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AF9" s="45" t="s">
        <v>372</v>
      </c>
      <c r="AG9" s="14" t="str">
        <f>[1]CCModuleCopy!$C$15</f>
        <v>Save up to $150 on select tablets</v>
      </c>
      <c r="AH9" s="23" t="str">
        <f>[1]CCModuleCopy!$D$15</f>
        <v>NULL</v>
      </c>
      <c r="AI9" s="23" t="str">
        <f>[1]CCModuleCopy!$E$15</f>
        <v xml:space="preserve">Empower how you create, work, learn, game and more with our powerful line of tablets. Shop our offers on great products from the new Galaxy Tab S7+ to the Galaxy Tab S6 Lite. </v>
      </c>
      <c r="AJ9" s="14" t="str">
        <f>[1]CCModuleCopy!$F$15</f>
        <v>Shop all</v>
      </c>
      <c r="AK9" s="23" t="str">
        <f>[1]CCModuleCopy!$G$15</f>
        <v>https://www.samsung.com/us/shop/all-deals/tablets-wearables-cell-phone-accessories-deals/</v>
      </c>
      <c r="AL9" s="66" t="str">
        <f>[1]CCModuleCopy!$H$15</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AM9" s="45" t="s">
        <v>374</v>
      </c>
      <c r="AN9" s="14" t="str">
        <f>[1]CCModuleCopy!$B$13</f>
        <v>CE_HeadImage_Computing_500xV.jpg</v>
      </c>
      <c r="AO9" s="14" t="str">
        <f>[1]CCModuleCopy!$C$13</f>
        <v>Get up to 60% off memory cards, SSD, monitors and more</v>
      </c>
      <c r="AP9" s="14" t="str">
        <f>[1]CCModuleCopy!$D$13</f>
        <v>NULL</v>
      </c>
      <c r="AQ9" s="14" t="str">
        <f>[1]CCModuleCopy!$E$13</f>
        <v xml:space="preserve">Work and game smarter, not harder with these must-have computing offers. Expand the way you play, store and create and get up to 30% off monitors, up to 60% off memory cards, up to 35% off SSD and more. </v>
      </c>
      <c r="AR9" s="14" t="str">
        <f>[1]CCModuleCopy!$F$13</f>
        <v>Shop all</v>
      </c>
      <c r="AS9" s="14" t="str">
        <f>[1]CCModuleCopy!$G$13</f>
        <v>https://www.samsung.com/us/shop/all-deals/laptop-and-computer-deals/</v>
      </c>
      <c r="AT9" s="14" t="str">
        <f>[1]CCModuleCopy!$H$13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AU9" s="14" t="str">
        <f>[1]CCModuleCopy!$I$13</f>
        <v>NULL</v>
      </c>
      <c r="AV9" s="14" t="str">
        <f>[1]CCModuleCopy!$J$13</f>
        <v>NULL</v>
      </c>
      <c r="AW9" s="14" t="str">
        <f>[1]CCModuleCopy!$K$13</f>
        <v>NULL</v>
      </c>
      <c r="AX9" s="45" t="s">
        <v>375</v>
      </c>
      <c r="AY9" s="14" t="str">
        <f>[1]CCModuleCopy!$B$9</f>
        <v>HA_HeadImage_Shop_HA_500xV.jpg</v>
      </c>
      <c r="AZ9" s="14" t="str">
        <f>[1]CCModuleCopy!$C$9</f>
        <v>Save up to 50% on everything you need to upgrade your home and home care</v>
      </c>
      <c r="BA9" s="14" t="str">
        <f>[1]CCModuleCopy!$D$9</f>
        <v>NULL</v>
      </c>
      <c r="BB9" s="14" t="str">
        <f>[1]CCModuleCopy!$E$9</f>
        <v xml:space="preserve">Complete your domestic oasis or prepare for holiday festivities, and even the clean up that comes after, today. 
Get an additional 10% off when you buy 4 or more eligible kitchen appliances. Save even more with early Black Friday prices for select categories.α 
Plus, buy and try a Jet Stick Cordless Vacuum with our new 100-day, risk-free trial. </v>
      </c>
      <c r="BC9" s="14" t="str">
        <f>[1]CCModuleCopy!$F$9</f>
        <v>Shop all</v>
      </c>
      <c r="BD9" s="14" t="str">
        <f>[1]CCModuleCopy!$G$9</f>
        <v>https://www.samsung.com/us/shop/all-deals/home-appliance-and-smart-home-sales/</v>
      </c>
      <c r="BE9" s="14" t="str">
        <f>[1]CCModuleCopy!$H$9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BF9" s="14" t="str">
        <f>[1]CCModuleCopy!$I$9</f>
        <v>NULL</v>
      </c>
      <c r="BG9" s="14" t="str">
        <f>[1]CCModuleCopy!$J$9</f>
        <v>NULL</v>
      </c>
      <c r="BH9" s="14" t="str">
        <f>[1]CCModuleCopy!$K$9</f>
        <v>NULL</v>
      </c>
      <c r="BI9" s="45" t="s">
        <v>353</v>
      </c>
      <c r="BJ9" s="14" t="str">
        <f>[1]MiscBanners!$I$4</f>
        <v>Give-wonder-500xV.jpg</v>
      </c>
      <c r="BK9" s="14" t="str">
        <f>[1]MiscBanners!$J$4</f>
        <v>The gift that keeps on giving</v>
      </c>
      <c r="BL9" s="14" t="str">
        <f>[1]MiscBanners!$K$4</f>
        <v>NULL</v>
      </c>
      <c r="BM9" s="66" t="str">
        <f>[1]MiscBanners!$L$4</f>
        <v>Discover even more exclusive offers on your favorite products and unlock the power of smart and savvy gifting.</v>
      </c>
      <c r="BN9" s="14" t="str">
        <f>[1]MiscBanners!$M$4</f>
        <v>Shop now</v>
      </c>
      <c r="BO9" s="14" t="str">
        <f>[1]MiscBanners!$N$4</f>
        <v>https://www.samsung.com/us/gift-ideas/</v>
      </c>
      <c r="BP9" s="14" t="str">
        <f>[1]MiscBanners!$O$4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BQ9" s="14" t="str">
        <f>[1]MiscBanners!$P$4</f>
        <v>NULL</v>
      </c>
      <c r="BR9" s="14" t="str">
        <f>[1]MiscBanners!$Q$4</f>
        <v>NULL</v>
      </c>
      <c r="BS9" s="14" t="str">
        <f>[1]MiscBanners!$R$4</f>
        <v>NULL</v>
      </c>
      <c r="BT9" s="45" t="s">
        <v>354</v>
      </c>
      <c r="BX9" s="66"/>
      <c r="CE9" s="45" t="s">
        <v>376</v>
      </c>
      <c r="CF9" s="14" t="s">
        <v>122</v>
      </c>
      <c r="CG9" s="14" t="s">
        <v>122</v>
      </c>
      <c r="CH9" s="14" t="s">
        <v>122</v>
      </c>
      <c r="CI9" s="66" t="s">
        <v>366</v>
      </c>
      <c r="CJ9" s="14" t="s">
        <v>122</v>
      </c>
      <c r="CK9" s="14" t="s">
        <v>367</v>
      </c>
      <c r="CL9" s="14">
        <v>0</v>
      </c>
      <c r="CM9" s="14" t="s">
        <v>122</v>
      </c>
      <c r="CN9" s="14" t="s">
        <v>122</v>
      </c>
      <c r="CO9" s="14" t="s">
        <v>122</v>
      </c>
      <c r="CP9" s="45" t="s">
        <v>356</v>
      </c>
      <c r="CQ9" s="14" t="s">
        <v>122</v>
      </c>
      <c r="CR9" s="14" t="s">
        <v>122</v>
      </c>
      <c r="CS9" s="14" t="s">
        <v>122</v>
      </c>
      <c r="CT9" s="66" t="s">
        <v>368</v>
      </c>
      <c r="CU9" s="14" t="s">
        <v>122</v>
      </c>
      <c r="CV9" s="14" t="s">
        <v>367</v>
      </c>
      <c r="CW9" s="14">
        <v>0</v>
      </c>
      <c r="CX9" s="14" t="s">
        <v>122</v>
      </c>
      <c r="CY9" s="14" t="s">
        <v>122</v>
      </c>
      <c r="CZ9" s="14" t="s">
        <v>122</v>
      </c>
      <c r="DA9" s="45" t="s">
        <v>357</v>
      </c>
      <c r="DB9" s="14" t="s">
        <v>122</v>
      </c>
      <c r="DC9" s="14" t="s">
        <v>122</v>
      </c>
      <c r="DD9" s="14" t="s">
        <v>122</v>
      </c>
      <c r="DE9" s="66" t="s">
        <v>382</v>
      </c>
      <c r="DF9" s="14" t="s">
        <v>122</v>
      </c>
      <c r="DG9" s="14" t="s">
        <v>367</v>
      </c>
      <c r="DH9" s="14">
        <v>0</v>
      </c>
      <c r="DI9" s="14" t="s">
        <v>122</v>
      </c>
      <c r="DJ9" s="14" t="s">
        <v>122</v>
      </c>
      <c r="DK9" s="14" t="s">
        <v>122</v>
      </c>
      <c r="DL9" s="45" t="s">
        <v>358</v>
      </c>
      <c r="DM9" s="14" t="s">
        <v>122</v>
      </c>
      <c r="DN9" s="14" t="s">
        <v>122</v>
      </c>
      <c r="DO9" s="14" t="s">
        <v>122</v>
      </c>
      <c r="DP9" s="66" t="s">
        <v>383</v>
      </c>
      <c r="DQ9" s="14" t="s">
        <v>122</v>
      </c>
      <c r="DR9" s="14">
        <v>0</v>
      </c>
      <c r="DS9" s="14">
        <v>0</v>
      </c>
      <c r="DT9" s="14" t="s">
        <v>122</v>
      </c>
      <c r="DU9" s="14" t="s">
        <v>122</v>
      </c>
      <c r="DV9" s="14" t="s">
        <v>122</v>
      </c>
    </row>
    <row r="10" spans="1:126" s="14" customFormat="1" ht="72" customHeight="1" x14ac:dyDescent="0.25">
      <c r="A10" s="67" t="s">
        <v>369</v>
      </c>
      <c r="B10" s="14" t="s">
        <v>386</v>
      </c>
      <c r="C10" s="14" t="s">
        <v>29</v>
      </c>
      <c r="D10" s="14" t="str">
        <f>'[1]Dynamic Banners'!$M$7</f>
        <v xml:space="preserve">Cyber Monday may be over, but shop and save all Cyber Week long. </v>
      </c>
      <c r="E10" s="14" t="str">
        <f>'[1]Dynamic Banners'!$M$7</f>
        <v xml:space="preserve">Cyber Monday may be over, but shop and save all Cyber Week long. </v>
      </c>
      <c r="F10" s="14" t="str">
        <f>[1]MiscBanners!$B$4</f>
        <v>https://www.samsung.com/us/shop/all-deals/</v>
      </c>
      <c r="G10"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H10" s="23" t="s">
        <v>191</v>
      </c>
      <c r="I10" s="83" t="s">
        <v>379</v>
      </c>
      <c r="J10" s="23" t="str">
        <f>[1]MiscBanners!$B$4</f>
        <v>https://www.samsung.com/us/shop/all-deals/</v>
      </c>
      <c r="K10"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L10" s="45" t="s">
        <v>374</v>
      </c>
      <c r="M10" s="23" t="str">
        <f>[1]CCModuleCopy!$D$13</f>
        <v>NULL</v>
      </c>
      <c r="N10" s="23" t="str">
        <f>[1]CCModuleCopy!$E$13</f>
        <v xml:space="preserve">Work and game smarter, not harder with these must-have computing offers. Expand the way you play, store and create and get up to 30% off monitors, up to 60% off memory cards, up to 35% off SSD and more. </v>
      </c>
      <c r="O10" s="14" t="str">
        <f>[1]CCModuleCopy!$F$13</f>
        <v>Shop all</v>
      </c>
      <c r="P10" s="23" t="str">
        <f>[1]CCModuleCopy!$G$13</f>
        <v>https://www.samsung.com/us/shop/all-deals/laptop-and-computer-deals/</v>
      </c>
      <c r="Q10" s="14" t="str">
        <f>[1]CCModuleCopy!$H$13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R10" s="45" t="s">
        <v>370</v>
      </c>
      <c r="S10" s="14" t="str">
        <f>[1]CCModuleCopy!$C$3</f>
        <v>Save up to $1000 instantly on the latest and greatest Galaxy smartphones</v>
      </c>
      <c r="T10" s="23" t="str">
        <f>[1]CCModuleCopy!$D$3</f>
        <v>NULL</v>
      </c>
      <c r="U10" s="23" t="str">
        <f>[1]CCModuleCopy!$E$3</f>
        <v>Black Friday prices and trade-in values are in full effect, giving you access to some of our best offers of the year on  Galaxy Note20 5G, S20 FE 5G, Z Fold2 5G and select A series devices.
Plus, get $50 or more instant credit toward accessories with any smartphone purchase to complete your Galaxy Ecosystem.‡†</v>
      </c>
      <c r="V10" s="14" t="str">
        <f>[1]CCModuleCopy!$F$3</f>
        <v>Shop all</v>
      </c>
      <c r="W10" s="23" t="str">
        <f>[1]CCModuleCopy!$G$3</f>
        <v>https://www.samsung.com/us/shop/all-deals/cell-phone-deals/</v>
      </c>
      <c r="X10" s="14" t="str">
        <f>[1]CCModuleCopy!$H$3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Y10" s="45" t="s">
        <v>371</v>
      </c>
      <c r="Z10" s="14" t="str">
        <f>[1]CCModuleCopy!$C$7</f>
        <v>Get up to $3000 off select 8K, 4K and Lifestyle TVs</v>
      </c>
      <c r="AA10" s="23" t="str">
        <f>[1]CCModuleCopy!$D$7</f>
        <v>NULL</v>
      </c>
      <c r="AB10" s="23" t="str">
        <f>[1]CCModuleCopy!$E$7</f>
        <v xml:space="preserve">Discover the mind-blowing, true-to-live resolution of QLED technology.
Save up to $3000 on 8K TVs, up to $1800 on select 4K TVs, up to $1300 on Lifestyle TVs and up to $400 on select soundbars and more. 
Plus, buy and try select Lifestyle TVs, soundbars and The Premiere Projector with our new 100-day, risk-free trial. </v>
      </c>
      <c r="AC10" s="14" t="str">
        <f>[1]CCModuleCopy!$F$7</f>
        <v>Shop all</v>
      </c>
      <c r="AD10" s="23" t="str">
        <f>[1]CCModuleCopy!$G$7</f>
        <v>https://www.samsung.com/us/shop/all-deals/tv-and-home-theater-deals/</v>
      </c>
      <c r="AE10" s="14" t="str">
        <f>[1]CCModuleCopy!$H$7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AF10" s="45" t="s">
        <v>372</v>
      </c>
      <c r="AG10" s="14" t="str">
        <f>[1]CCModuleCopy!$C$15</f>
        <v>Save up to $150 on select tablets</v>
      </c>
      <c r="AH10" s="23" t="str">
        <f>[1]CCModuleCopy!$D$15</f>
        <v>NULL</v>
      </c>
      <c r="AI10" s="23" t="str">
        <f>[1]CCModuleCopy!$E$15</f>
        <v xml:space="preserve">Empower how you create, work, learn, game and more with our powerful line of tablets. Shop our offers on great products from the new Galaxy Tab S7+ to the Galaxy Tab S6 Lite. </v>
      </c>
      <c r="AJ10" s="14" t="str">
        <f>[1]CCModuleCopy!$F$15</f>
        <v>Shop all</v>
      </c>
      <c r="AK10" s="23" t="str">
        <f>[1]CCModuleCopy!$G$15</f>
        <v>https://www.samsung.com/us/shop/all-deals/tablets-wearables-cell-phone-accessories-deals/</v>
      </c>
      <c r="AL10" s="66" t="str">
        <f>[1]CCModuleCopy!$H$15</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AM10" s="45" t="s">
        <v>373</v>
      </c>
      <c r="AN10" s="14" t="str">
        <f>[1]CCModuleCopy!$B$11</f>
        <v>ME_HeadImage_Wearables_500xV.jpg</v>
      </c>
      <c r="AO10" s="14" t="str">
        <f>[1]CCModuleCopy!$C$11</f>
        <v>Get up to $100 off select watches and earbuds</v>
      </c>
      <c r="AP10" s="14" t="str">
        <f>[1]CCModuleCopy!$D$11</f>
        <v>NULL</v>
      </c>
      <c r="AQ10" s="14" t="str">
        <f>[1]CCModuleCopy!$E$11</f>
        <v>Shop our exclusive Black Friday offers on Galaxy Watch3 Titanium, Watch3, Buds+ and more, suited for every lifestyle and every holiday shopping budget. 
Plus, now you can flex your fashion muscles with the new Samsung Design Studio. Create a Galaxy Watch as unique as you, today.</v>
      </c>
      <c r="AR10" s="14" t="str">
        <f>[1]CCModuleCopy!$F$11</f>
        <v>Shop all</v>
      </c>
      <c r="AS10" s="14" t="str">
        <f>[1]CCModuleCopy!$G$11</f>
        <v>https://www.samsung.com/us/shop/all-deals/tablets-wearables-cell-phone-accessories-deals/</v>
      </c>
      <c r="AT10" s="14" t="str">
        <f>[1]CCModuleCopy!$H$11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AU10" s="14" t="str">
        <f>[1]CCModuleCopy!$I$11</f>
        <v>NULL</v>
      </c>
      <c r="AV10" s="14" t="str">
        <f>[1]CCModuleCopy!$J$11</f>
        <v>NULL</v>
      </c>
      <c r="AW10" s="14" t="str">
        <f>[1]CCModuleCopy!$K$11</f>
        <v>NULL</v>
      </c>
      <c r="AX10" s="45" t="s">
        <v>375</v>
      </c>
      <c r="AY10" s="14" t="str">
        <f>[1]CCModuleCopy!$B$9</f>
        <v>HA_HeadImage_Shop_HA_500xV.jpg</v>
      </c>
      <c r="AZ10" s="14" t="str">
        <f>[1]CCModuleCopy!$C$9</f>
        <v>Save up to 50% on everything you need to upgrade your home and home care</v>
      </c>
      <c r="BA10" s="14" t="str">
        <f>[1]CCModuleCopy!$D$9</f>
        <v>NULL</v>
      </c>
      <c r="BB10" s="14" t="str">
        <f>[1]CCModuleCopy!$E$9</f>
        <v xml:space="preserve">Complete your domestic oasis or prepare for holiday festivities, and even the clean up that comes after, today. 
Get an additional 10% off when you buy 4 or more eligible kitchen appliances. Save even more with early Black Friday prices for select categories.α 
Plus, buy and try a Jet Stick Cordless Vacuum with our new 100-day, risk-free trial. </v>
      </c>
      <c r="BC10" s="14" t="str">
        <f>[1]CCModuleCopy!$F$9</f>
        <v>Shop all</v>
      </c>
      <c r="BD10" s="14" t="str">
        <f>[1]CCModuleCopy!$G$9</f>
        <v>https://www.samsung.com/us/shop/all-deals/home-appliance-and-smart-home-sales/</v>
      </c>
      <c r="BE10" s="14" t="str">
        <f>[1]CCModuleCopy!$H$9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BF10" s="14" t="str">
        <f>[1]CCModuleCopy!$I$9</f>
        <v>NULL</v>
      </c>
      <c r="BG10" s="14" t="str">
        <f>[1]CCModuleCopy!$J$9</f>
        <v>NULL</v>
      </c>
      <c r="BH10" s="14" t="str">
        <f>[1]CCModuleCopy!$K$9</f>
        <v>NULL</v>
      </c>
      <c r="BI10" s="45" t="s">
        <v>353</v>
      </c>
      <c r="BJ10" s="14" t="str">
        <f>[1]MiscBanners!$I$4</f>
        <v>Give-wonder-500xV.jpg</v>
      </c>
      <c r="BK10" s="14" t="str">
        <f>[1]MiscBanners!$J$4</f>
        <v>The gift that keeps on giving</v>
      </c>
      <c r="BL10" s="14" t="str">
        <f>[1]MiscBanners!$K$4</f>
        <v>NULL</v>
      </c>
      <c r="BM10" s="66" t="str">
        <f>[1]MiscBanners!$L$4</f>
        <v>Discover even more exclusive offers on your favorite products and unlock the power of smart and savvy gifting.</v>
      </c>
      <c r="BN10" s="14" t="str">
        <f>[1]MiscBanners!$M$4</f>
        <v>Shop now</v>
      </c>
      <c r="BO10" s="14" t="str">
        <f>[1]MiscBanners!$N$4</f>
        <v>https://www.samsung.com/us/gift-ideas/</v>
      </c>
      <c r="BP10" s="14" t="str">
        <f>[1]MiscBanners!$O$4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BQ10" s="14" t="str">
        <f>[1]MiscBanners!$P$4</f>
        <v>NULL</v>
      </c>
      <c r="BR10" s="14" t="str">
        <f>[1]MiscBanners!$Q$4</f>
        <v>NULL</v>
      </c>
      <c r="BS10" s="14" t="str">
        <f>[1]MiscBanners!$R$4</f>
        <v>NULL</v>
      </c>
      <c r="BT10" s="45" t="s">
        <v>354</v>
      </c>
      <c r="BX10" s="66"/>
      <c r="CE10" s="45" t="s">
        <v>376</v>
      </c>
      <c r="CF10" s="14" t="s">
        <v>122</v>
      </c>
      <c r="CG10" s="14" t="s">
        <v>122</v>
      </c>
      <c r="CH10" s="14" t="s">
        <v>122</v>
      </c>
      <c r="CI10" s="66" t="s">
        <v>366</v>
      </c>
      <c r="CJ10" s="14" t="s">
        <v>122</v>
      </c>
      <c r="CK10" s="14" t="s">
        <v>367</v>
      </c>
      <c r="CL10" s="14">
        <v>0</v>
      </c>
      <c r="CM10" s="14" t="s">
        <v>122</v>
      </c>
      <c r="CN10" s="14" t="s">
        <v>122</v>
      </c>
      <c r="CO10" s="14" t="s">
        <v>122</v>
      </c>
      <c r="CP10" s="45" t="s">
        <v>356</v>
      </c>
      <c r="CQ10" s="14" t="s">
        <v>122</v>
      </c>
      <c r="CR10" s="14" t="s">
        <v>122</v>
      </c>
      <c r="CS10" s="14" t="s">
        <v>122</v>
      </c>
      <c r="CT10" s="66" t="s">
        <v>368</v>
      </c>
      <c r="CU10" s="14" t="s">
        <v>122</v>
      </c>
      <c r="CV10" s="14" t="s">
        <v>367</v>
      </c>
      <c r="CW10" s="14">
        <v>0</v>
      </c>
      <c r="CX10" s="14" t="s">
        <v>122</v>
      </c>
      <c r="CY10" s="14" t="s">
        <v>122</v>
      </c>
      <c r="CZ10" s="14" t="s">
        <v>122</v>
      </c>
      <c r="DA10" s="45" t="s">
        <v>357</v>
      </c>
      <c r="DB10" s="14" t="s">
        <v>122</v>
      </c>
      <c r="DC10" s="14" t="s">
        <v>122</v>
      </c>
      <c r="DD10" s="14" t="s">
        <v>122</v>
      </c>
      <c r="DE10" s="66" t="s">
        <v>382</v>
      </c>
      <c r="DF10" s="14" t="s">
        <v>122</v>
      </c>
      <c r="DG10" s="14" t="s">
        <v>367</v>
      </c>
      <c r="DH10" s="14">
        <v>0</v>
      </c>
      <c r="DI10" s="14" t="s">
        <v>122</v>
      </c>
      <c r="DJ10" s="14" t="s">
        <v>122</v>
      </c>
      <c r="DK10" s="14" t="s">
        <v>122</v>
      </c>
      <c r="DL10" s="45" t="s">
        <v>358</v>
      </c>
      <c r="DM10" s="14" t="s">
        <v>122</v>
      </c>
      <c r="DN10" s="14" t="s">
        <v>122</v>
      </c>
      <c r="DO10" s="14" t="s">
        <v>122</v>
      </c>
      <c r="DP10" s="66" t="s">
        <v>383</v>
      </c>
      <c r="DQ10" s="14" t="s">
        <v>122</v>
      </c>
      <c r="DR10" s="14">
        <v>0</v>
      </c>
      <c r="DS10" s="14">
        <v>0</v>
      </c>
      <c r="DT10" s="14" t="s">
        <v>122</v>
      </c>
      <c r="DU10" s="14" t="s">
        <v>122</v>
      </c>
      <c r="DV10" s="14" t="s">
        <v>122</v>
      </c>
    </row>
    <row r="11" spans="1:126" s="14" customFormat="1" ht="53.25" customHeight="1" x14ac:dyDescent="0.25">
      <c r="A11" s="67" t="s">
        <v>369</v>
      </c>
      <c r="B11" s="14" t="s">
        <v>388</v>
      </c>
      <c r="C11" s="14" t="s">
        <v>29</v>
      </c>
      <c r="D11" s="14" t="str">
        <f>'[1]Dynamic Banners'!$M$7</f>
        <v xml:space="preserve">Cyber Monday may be over, but shop and save all Cyber Week long. </v>
      </c>
      <c r="E11" s="14" t="str">
        <f>'[1]Dynamic Banners'!$M$7</f>
        <v xml:space="preserve">Cyber Monday may be over, but shop and save all Cyber Week long. </v>
      </c>
      <c r="F11" s="14" t="str">
        <f>[1]MiscBanners!$B$4</f>
        <v>https://www.samsung.com/us/shop/all-deals/</v>
      </c>
      <c r="G11"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H11" s="23" t="s">
        <v>191</v>
      </c>
      <c r="I11" s="83" t="s">
        <v>379</v>
      </c>
      <c r="J11" s="23" t="str">
        <f>[1]MiscBanners!$B$4</f>
        <v>https://www.samsung.com/us/shop/all-deals/</v>
      </c>
      <c r="K11"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L11" s="45" t="s">
        <v>375</v>
      </c>
      <c r="M11" s="23" t="str">
        <f>[1]CCModuleCopy!$D$9</f>
        <v>NULL</v>
      </c>
      <c r="N11" s="23" t="str">
        <f>[1]CCModuleCopy!$E$9</f>
        <v xml:space="preserve">Complete your domestic oasis or prepare for holiday festivities, and even the clean up that comes after, today. 
Get an additional 10% off when you buy 4 or more eligible kitchen appliances. Save even more with early Black Friday prices for select categories.α 
Plus, buy and try a Jet Stick Cordless Vacuum with our new 100-day, risk-free trial. </v>
      </c>
      <c r="O11" s="14" t="str">
        <f>[1]CCModuleCopy!$F$9</f>
        <v>Shop all</v>
      </c>
      <c r="P11" s="23" t="str">
        <f>[1]CCModuleCopy!$G$9</f>
        <v>https://www.samsung.com/us/shop/all-deals/home-appliance-and-smart-home-sales/</v>
      </c>
      <c r="Q11" s="14" t="str">
        <f>[1]CCModuleCopy!$H$9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R11" s="45" t="s">
        <v>370</v>
      </c>
      <c r="S11" s="14" t="str">
        <f>[1]CCModuleCopy!$C$3</f>
        <v>Save up to $1000 instantly on the latest and greatest Galaxy smartphones</v>
      </c>
      <c r="T11" s="23" t="str">
        <f>[1]CCModuleCopy!$D$3</f>
        <v>NULL</v>
      </c>
      <c r="U11" s="23" t="str">
        <f>[1]CCModuleCopy!$E$3</f>
        <v>Black Friday prices and trade-in values are in full effect, giving you access to some of our best offers of the year on  Galaxy Note20 5G, S20 FE 5G, Z Fold2 5G and select A series devices.
Plus, get $50 or more instant credit toward accessories with any smartphone purchase to complete your Galaxy Ecosystem.‡†</v>
      </c>
      <c r="V11" s="14" t="str">
        <f>[1]CCModuleCopy!$F$3</f>
        <v>Shop all</v>
      </c>
      <c r="W11" s="23" t="str">
        <f>[1]CCModuleCopy!$G$3</f>
        <v>https://www.samsung.com/us/shop/all-deals/cell-phone-deals/</v>
      </c>
      <c r="X11" s="14" t="str">
        <f>[1]CCModuleCopy!$H$3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Y11" s="45" t="s">
        <v>371</v>
      </c>
      <c r="Z11" s="14" t="str">
        <f>[1]CCModuleCopy!$C$7</f>
        <v>Get up to $3000 off select 8K, 4K and Lifestyle TVs</v>
      </c>
      <c r="AA11" s="23" t="str">
        <f>[1]CCModuleCopy!$D$7</f>
        <v>NULL</v>
      </c>
      <c r="AB11" s="23" t="str">
        <f>[1]CCModuleCopy!$E$7</f>
        <v xml:space="preserve">Discover the mind-blowing, true-to-live resolution of QLED technology.
Save up to $3000 on 8K TVs, up to $1800 on select 4K TVs, up to $1300 on Lifestyle TVs and up to $400 on select soundbars and more. 
Plus, buy and try select Lifestyle TVs, soundbars and The Premiere Projector with our new 100-day, risk-free trial. </v>
      </c>
      <c r="AC11" s="14" t="str">
        <f>[1]CCModuleCopy!$F$7</f>
        <v>Shop all</v>
      </c>
      <c r="AD11" s="23" t="str">
        <f>[1]CCModuleCopy!$G$7</f>
        <v>https://www.samsung.com/us/shop/all-deals/tv-and-home-theater-deals/</v>
      </c>
      <c r="AE11" s="14" t="str">
        <f>[1]CCModuleCopy!$H$7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AF11" s="45" t="s">
        <v>372</v>
      </c>
      <c r="AG11" s="14" t="str">
        <f>[1]CCModuleCopy!$C$15</f>
        <v>Save up to $150 on select tablets</v>
      </c>
      <c r="AH11" s="23" t="str">
        <f>[1]CCModuleCopy!$D$15</f>
        <v>NULL</v>
      </c>
      <c r="AI11" s="23" t="str">
        <f>[1]CCModuleCopy!$E$15</f>
        <v xml:space="preserve">Empower how you create, work, learn, game and more with our powerful line of tablets. Shop our offers on great products from the new Galaxy Tab S7+ to the Galaxy Tab S6 Lite. </v>
      </c>
      <c r="AJ11" s="14" t="str">
        <f>[1]CCModuleCopy!$F$15</f>
        <v>Shop all</v>
      </c>
      <c r="AK11" s="23" t="str">
        <f>[1]CCModuleCopy!$G$15</f>
        <v>https://www.samsung.com/us/shop/all-deals/tablets-wearables-cell-phone-accessories-deals/</v>
      </c>
      <c r="AL11" s="66" t="str">
        <f>[1]CCModuleCopy!$H$15</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AM11" s="45" t="s">
        <v>373</v>
      </c>
      <c r="AN11" s="14" t="str">
        <f>[1]CCModuleCopy!$B$11</f>
        <v>ME_HeadImage_Wearables_500xV.jpg</v>
      </c>
      <c r="AO11" s="14" t="str">
        <f>[1]CCModuleCopy!$C$11</f>
        <v>Get up to $100 off select watches and earbuds</v>
      </c>
      <c r="AP11" s="14" t="str">
        <f>[1]CCModuleCopy!$D$11</f>
        <v>NULL</v>
      </c>
      <c r="AQ11" s="14" t="str">
        <f>[1]CCModuleCopy!$E$11</f>
        <v>Shop our exclusive Black Friday offers on Galaxy Watch3 Titanium, Watch3, Buds+ and more, suited for every lifestyle and every holiday shopping budget. 
Plus, now you can flex your fashion muscles with the new Samsung Design Studio. Create a Galaxy Watch as unique as you, today.</v>
      </c>
      <c r="AR11" s="14" t="str">
        <f>[1]CCModuleCopy!$F$11</f>
        <v>Shop all</v>
      </c>
      <c r="AS11" s="14" t="str">
        <f>[1]CCModuleCopy!$G$11</f>
        <v>https://www.samsung.com/us/shop/all-deals/tablets-wearables-cell-phone-accessories-deals/</v>
      </c>
      <c r="AT11" s="14" t="str">
        <f>[1]CCModuleCopy!$H$11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AU11" s="14" t="str">
        <f>[1]CCModuleCopy!$I$11</f>
        <v>NULL</v>
      </c>
      <c r="AV11" s="14" t="str">
        <f>[1]CCModuleCopy!$J$11</f>
        <v>NULL</v>
      </c>
      <c r="AW11" s="14" t="str">
        <f>[1]CCModuleCopy!$K$11</f>
        <v>NULL</v>
      </c>
      <c r="AX11" s="45" t="s">
        <v>374</v>
      </c>
      <c r="AY11" s="14" t="str">
        <f>[1]CCModuleCopy!$B$13</f>
        <v>CE_HeadImage_Computing_500xV.jpg</v>
      </c>
      <c r="AZ11" s="14" t="str">
        <f>[1]CCModuleCopy!$C$13</f>
        <v>Get up to 60% off memory cards, SSD, monitors and more</v>
      </c>
      <c r="BA11" s="14" t="str">
        <f>[1]CCModuleCopy!$D$13</f>
        <v>NULL</v>
      </c>
      <c r="BB11" s="14" t="str">
        <f>[1]CCModuleCopy!$E$13</f>
        <v xml:space="preserve">Work and game smarter, not harder with these must-have computing offers. Expand the way you play, store and create and get up to 30% off monitors, up to 60% off memory cards, up to 35% off SSD and more. </v>
      </c>
      <c r="BC11" s="14" t="str">
        <f>[1]CCModuleCopy!$F$13</f>
        <v>Shop all</v>
      </c>
      <c r="BD11" s="14" t="str">
        <f>[1]CCModuleCopy!$G$13</f>
        <v>https://www.samsung.com/us/shop/all-deals/laptop-and-computer-deals/</v>
      </c>
      <c r="BE11" s="14" t="str">
        <f>[1]CCModuleCopy!$H$13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BF11" s="14" t="str">
        <f>[1]CCModuleCopy!$I$13</f>
        <v>NULL</v>
      </c>
      <c r="BG11" s="14" t="str">
        <f>[1]CCModuleCopy!$J$13</f>
        <v>NULL</v>
      </c>
      <c r="BH11" s="14" t="str">
        <f>[1]CCModuleCopy!$K$13</f>
        <v>NULL</v>
      </c>
      <c r="BI11" s="45" t="s">
        <v>353</v>
      </c>
      <c r="BJ11" s="14" t="str">
        <f>[1]MiscBanners!$I$4</f>
        <v>Give-wonder-500xV.jpg</v>
      </c>
      <c r="BK11" s="14" t="str">
        <f>[1]MiscBanners!$J$4</f>
        <v>The gift that keeps on giving</v>
      </c>
      <c r="BL11" s="14" t="str">
        <f>[1]MiscBanners!$K$4</f>
        <v>NULL</v>
      </c>
      <c r="BM11" s="66" t="str">
        <f>[1]MiscBanners!$L$4</f>
        <v>Discover even more exclusive offers on your favorite products and unlock the power of smart and savvy gifting.</v>
      </c>
      <c r="BN11" s="14" t="str">
        <f>[1]MiscBanners!$M$4</f>
        <v>Shop now</v>
      </c>
      <c r="BO11" s="14" t="str">
        <f>[1]MiscBanners!$N$4</f>
        <v>https://www.samsung.com/us/gift-ideas/</v>
      </c>
      <c r="BP11" s="14" t="str">
        <f>[1]MiscBanners!$O$4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BQ11" s="14" t="str">
        <f>[1]MiscBanners!$P$4</f>
        <v>NULL</v>
      </c>
      <c r="BR11" s="14" t="str">
        <f>[1]MiscBanners!$Q$4</f>
        <v>NULL</v>
      </c>
      <c r="BS11" s="14" t="str">
        <f>[1]MiscBanners!$R$4</f>
        <v>NULL</v>
      </c>
      <c r="BT11" s="45" t="s">
        <v>354</v>
      </c>
      <c r="BX11" s="66"/>
      <c r="CE11" s="45" t="s">
        <v>376</v>
      </c>
      <c r="CF11" s="14" t="s">
        <v>122</v>
      </c>
      <c r="CG11" s="14" t="s">
        <v>122</v>
      </c>
      <c r="CH11" s="14" t="s">
        <v>122</v>
      </c>
      <c r="CI11" s="66" t="s">
        <v>366</v>
      </c>
      <c r="CJ11" s="14" t="s">
        <v>122</v>
      </c>
      <c r="CK11" s="14" t="s">
        <v>367</v>
      </c>
      <c r="CL11" s="14">
        <v>0</v>
      </c>
      <c r="CM11" s="14" t="s">
        <v>122</v>
      </c>
      <c r="CN11" s="14" t="s">
        <v>122</v>
      </c>
      <c r="CO11" s="14" t="s">
        <v>122</v>
      </c>
      <c r="CP11" s="45" t="s">
        <v>356</v>
      </c>
      <c r="CQ11" s="14" t="s">
        <v>122</v>
      </c>
      <c r="CR11" s="14" t="s">
        <v>122</v>
      </c>
      <c r="CS11" s="14" t="s">
        <v>122</v>
      </c>
      <c r="CT11" s="66" t="s">
        <v>368</v>
      </c>
      <c r="CU11" s="14" t="s">
        <v>122</v>
      </c>
      <c r="CV11" s="14" t="s">
        <v>367</v>
      </c>
      <c r="CW11" s="14">
        <v>0</v>
      </c>
      <c r="CX11" s="14" t="s">
        <v>122</v>
      </c>
      <c r="CY11" s="14" t="s">
        <v>122</v>
      </c>
      <c r="CZ11" s="14" t="s">
        <v>122</v>
      </c>
      <c r="DA11" s="45" t="s">
        <v>357</v>
      </c>
      <c r="DB11" s="14" t="s">
        <v>122</v>
      </c>
      <c r="DC11" s="14" t="s">
        <v>122</v>
      </c>
      <c r="DD11" s="14" t="s">
        <v>122</v>
      </c>
      <c r="DE11" s="66" t="s">
        <v>382</v>
      </c>
      <c r="DF11" s="14" t="s">
        <v>122</v>
      </c>
      <c r="DG11" s="14" t="s">
        <v>367</v>
      </c>
      <c r="DH11" s="14">
        <v>0</v>
      </c>
      <c r="DI11" s="14" t="s">
        <v>122</v>
      </c>
      <c r="DJ11" s="14" t="s">
        <v>122</v>
      </c>
      <c r="DK11" s="14" t="s">
        <v>122</v>
      </c>
      <c r="DL11" s="45" t="s">
        <v>358</v>
      </c>
      <c r="DM11" s="14" t="s">
        <v>122</v>
      </c>
      <c r="DN11" s="14" t="s">
        <v>122</v>
      </c>
      <c r="DO11" s="14" t="s">
        <v>122</v>
      </c>
      <c r="DP11" s="66" t="s">
        <v>383</v>
      </c>
      <c r="DQ11" s="14" t="s">
        <v>122</v>
      </c>
      <c r="DR11" s="14">
        <v>0</v>
      </c>
      <c r="DS11" s="14">
        <v>0</v>
      </c>
      <c r="DT11" s="14" t="s">
        <v>122</v>
      </c>
      <c r="DU11" s="14" t="s">
        <v>122</v>
      </c>
      <c r="DV11" s="14" t="s">
        <v>122</v>
      </c>
    </row>
    <row r="12" spans="1:126" s="14" customFormat="1" ht="97.5" customHeight="1" x14ac:dyDescent="0.25">
      <c r="A12" s="67" t="s">
        <v>369</v>
      </c>
      <c r="B12" s="14" t="s">
        <v>344</v>
      </c>
      <c r="C12" s="14" t="s">
        <v>390</v>
      </c>
      <c r="D12" s="14" t="str">
        <f>'[1]Dynamic Banners'!$M$7</f>
        <v xml:space="preserve">Cyber Monday may be over, but shop and save all Cyber Week long. </v>
      </c>
      <c r="E12" s="14" t="str">
        <f>'[1]Dynamic Banners'!$M$7</f>
        <v xml:space="preserve">Cyber Monday may be over, but shop and save all Cyber Week long. </v>
      </c>
      <c r="F12" s="14" t="str">
        <f>[1]MiscBanners!$B$4</f>
        <v>https://www.samsung.com/us/shop/all-deals/</v>
      </c>
      <c r="G12"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H12" s="23" t="s">
        <v>191</v>
      </c>
      <c r="I12" s="83" t="s">
        <v>362</v>
      </c>
      <c r="J12" s="23" t="str">
        <f>[1]MiscBanners!$B$4</f>
        <v>https://www.samsung.com/us/shop/all-deals/</v>
      </c>
      <c r="K12"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L12" s="45" t="s">
        <v>391</v>
      </c>
      <c r="M12" s="23" t="str">
        <f>[1]CCModuleCopy!$D$5</f>
        <v>NULL</v>
      </c>
      <c r="N12" s="23" t="str">
        <f>[1]CCModuleCopy!$E$5</f>
        <v>Black Friday prices and trade-in values are in full effect, giving you access to some of our best offers of the year on  Galaxy Note20 5G, S20 FE 5G, Z Fold2 5G and select A series devices.
Plus, get $30 or more instant credit toward accessories with any smartphone purchase to complete your Galaxy Ecosystem.†</v>
      </c>
      <c r="O12" s="14" t="str">
        <f>[1]CCModuleCopy!$L$5</f>
        <v>Shop all</v>
      </c>
      <c r="P12" s="23" t="str">
        <f>[1]CCModuleCopy!$M$5</f>
        <v>https://www.samsung.com/us/shop/all-deals/cell-phone-deals/</v>
      </c>
      <c r="Q12" s="14" t="str">
        <f>[1]CCModuleCopy!$N$5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R12" s="45" t="s">
        <v>371</v>
      </c>
      <c r="S12" s="14" t="str">
        <f>[1]CCModuleCopy!$C$7</f>
        <v>Get up to $3000 off select 8K, 4K and Lifestyle TVs</v>
      </c>
      <c r="T12" s="23" t="str">
        <f>[1]CCModuleCopy!$D$7</f>
        <v>NULL</v>
      </c>
      <c r="U12" s="23" t="str">
        <f>[1]CCModuleCopy!$E$7</f>
        <v xml:space="preserve">Discover the mind-blowing, true-to-live resolution of QLED technology.
Save up to $3000 on 8K TVs, up to $1800 on select 4K TVs, up to $1300 on Lifestyle TVs and up to $400 on select soundbars and more. 
Plus, buy and try select Lifestyle TVs, soundbars and The Premiere Projector with our new 100-day, risk-free trial. </v>
      </c>
      <c r="V12" s="14" t="str">
        <f>[1]CCModuleCopy!$L$7</f>
        <v>Shop all</v>
      </c>
      <c r="W12" s="23" t="str">
        <f>[1]CCModuleCopy!$M$7</f>
        <v>https://www.samsung.com/us/shop/all-deals/tv-and-home-theater-deals/</v>
      </c>
      <c r="X12" s="14" t="str">
        <f>[1]CCModuleCopy!$N$7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Y12" s="45" t="s">
        <v>372</v>
      </c>
      <c r="Z12" s="14" t="str">
        <f>[1]CCModuleCopy!$C$15</f>
        <v>Save up to $150 on select tablets</v>
      </c>
      <c r="AA12" s="23" t="str">
        <f>[1]CCModuleCopy!$D$15</f>
        <v>NULL</v>
      </c>
      <c r="AB12" s="23" t="str">
        <f>[1]CCModuleCopy!$E$15</f>
        <v xml:space="preserve">Empower how you create, work, learn, game and more with our powerful line of tablets. Shop our offers on great products from the new Galaxy Tab S7+ to the Galaxy Tab S6 Lite. </v>
      </c>
      <c r="AC12" s="14" t="str">
        <f>[1]CCModuleCopy!$L$15</f>
        <v>Shop all</v>
      </c>
      <c r="AD12" s="23" t="str">
        <f>[1]CCModuleCopy!$M$15</f>
        <v>https://www.samsung.com/us/shop/all-deals/tablets-wearables-cell-phone-accessories-deals/</v>
      </c>
      <c r="AE12" s="14" t="str">
        <f>[1]CCModuleCopy!$N$15</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AF12" s="45" t="s">
        <v>373</v>
      </c>
      <c r="AG12" s="14" t="str">
        <f>[1]CCModuleCopy!$C$11</f>
        <v>Get up to $100 off select watches and earbuds</v>
      </c>
      <c r="AH12" s="23" t="str">
        <f>[1]CCModuleCopy!$D$11</f>
        <v>NULL</v>
      </c>
      <c r="AI12" s="23" t="str">
        <f>[1]CCModuleCopy!$E$11</f>
        <v>Shop our exclusive Black Friday offers on Galaxy Watch3 Titanium, Watch3, Buds+ and more, suited for every lifestyle and every holiday shopping budget. 
Plus, now you can flex your fashion muscles with the new Samsung Design Studio. Create a Galaxy Watch as unique as you, today.</v>
      </c>
      <c r="AJ12" s="14" t="str">
        <f>[1]CCModuleCopy!$L$11</f>
        <v>Shop all</v>
      </c>
      <c r="AK12" s="23" t="str">
        <f>[1]CCModuleCopy!$M$11</f>
        <v>https://www.samsung.com/us/shop/all-deals/tablets-wearables-cell-phone-accessories-deals/</v>
      </c>
      <c r="AL12" s="14" t="str">
        <f>[1]CCModuleCopy!$N$11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AM12" s="45" t="s">
        <v>374</v>
      </c>
      <c r="AN12" s="14" t="str">
        <f>[1]CCModuleCopy!$B$13</f>
        <v>CE_HeadImage_Computing_500xV.jpg</v>
      </c>
      <c r="AO12" s="14" t="str">
        <f>[1]CCModuleCopy!$C$13</f>
        <v>Get up to 60% off memory cards, SSD, monitors and more</v>
      </c>
      <c r="AP12" s="14" t="str">
        <f>[1]CCModuleCopy!$D$13</f>
        <v>NULL</v>
      </c>
      <c r="AQ12" s="14" t="str">
        <f>[1]CCModuleCopy!$E$13</f>
        <v xml:space="preserve">Work and game smarter, not harder with these must-have computing offers. Expand the way you play, store and create and get up to 30% off monitors, up to 60% off memory cards, up to 35% off SSD and more. </v>
      </c>
      <c r="AR12" s="14" t="str">
        <f>[1]CCModuleCopy!$L$13</f>
        <v>Shop all</v>
      </c>
      <c r="AS12" s="14" t="str">
        <f>[1]CCModuleCopy!$M$13</f>
        <v>https://www.samsung.com/us/shop/all-deals/laptop-and-computer-deals/</v>
      </c>
      <c r="AT12" s="14" t="str">
        <f>[1]CCModuleCopy!$N$13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AU12" s="14" t="str">
        <f>[1]CCModuleCopy!$O$13</f>
        <v>NULL</v>
      </c>
      <c r="AV12" s="14" t="str">
        <f>[1]CCModuleCopy!$P$13</f>
        <v>NULL</v>
      </c>
      <c r="AW12" s="14" t="str">
        <f>[1]CCModuleCopy!$Q$13</f>
        <v>NULL</v>
      </c>
      <c r="AX12" s="45" t="s">
        <v>375</v>
      </c>
      <c r="AY12" s="14" t="str">
        <f>[1]CCModuleCopy!$B$9</f>
        <v>HA_HeadImage_Shop_HA_500xV.jpg</v>
      </c>
      <c r="AZ12" s="14" t="str">
        <f>[1]CCModuleCopy!$C$9</f>
        <v>Save up to 50% on everything you need to upgrade your home and home care</v>
      </c>
      <c r="BA12" s="14" t="str">
        <f>[1]CCModuleCopy!$D$9</f>
        <v>NULL</v>
      </c>
      <c r="BB12" s="14" t="str">
        <f>[1]CCModuleCopy!$E$9</f>
        <v xml:space="preserve">Complete your domestic oasis or prepare for holiday festivities, and even the clean up that comes after, today. 
Get an additional 10% off when you buy 4 or more eligible kitchen appliances. Save even more with early Black Friday prices for select categories.α 
Plus, buy and try a Jet Stick Cordless Vacuum with our new 100-day, risk-free trial. </v>
      </c>
      <c r="BC12" s="14" t="str">
        <f>[1]CCModuleCopy!$L$9</f>
        <v>Shop all</v>
      </c>
      <c r="BD12" s="14" t="str">
        <f>[1]CCModuleCopy!$M$9</f>
        <v>https://www.samsung.com/us/shop/all-deals/home-appliance-and-smart-home-sales/</v>
      </c>
      <c r="BE12" s="14" t="str">
        <f>[1]CCModuleCopy!$N$9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BF12" s="14" t="str">
        <f>[1]CCModuleCopy!$O$9</f>
        <v>NULL</v>
      </c>
      <c r="BG12" s="14" t="str">
        <f>[1]CCModuleCopy!$P$9</f>
        <v>NULL</v>
      </c>
      <c r="BH12" s="14" t="str">
        <f>[1]CCModuleCopy!$Q$9</f>
        <v>NULL</v>
      </c>
      <c r="BI12" s="45" t="s">
        <v>353</v>
      </c>
      <c r="BJ12" s="14" t="str">
        <f>[1]MiscBanners!$I$4</f>
        <v>Give-wonder-500xV.jpg</v>
      </c>
      <c r="BK12" s="14" t="str">
        <f>[1]MiscBanners!$J$4</f>
        <v>The gift that keeps on giving</v>
      </c>
      <c r="BL12" s="14" t="str">
        <f>[1]MiscBanners!$K$4</f>
        <v>NULL</v>
      </c>
      <c r="BM12" s="66" t="str">
        <f>[1]MiscBanners!$L$4</f>
        <v>Discover even more exclusive offers on your favorite products and unlock the power of smart and savvy gifting.</v>
      </c>
      <c r="BN12" s="14" t="str">
        <f>[1]MiscBanners!$M$4</f>
        <v>Shop now</v>
      </c>
      <c r="BO12" s="14" t="str">
        <f>[1]MiscBanners!$N$4</f>
        <v>https://www.samsung.com/us/gift-ideas/</v>
      </c>
      <c r="BP12" s="14" t="str">
        <f>[1]MiscBanners!$U$4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BQ12" s="14" t="str">
        <f>[1]MiscBanners!$P$4</f>
        <v>NULL</v>
      </c>
      <c r="BR12" s="14" t="str">
        <f>[1]MiscBanners!$Q$4</f>
        <v>NULL</v>
      </c>
      <c r="BS12" s="14" t="str">
        <f>[1]MiscBanners!$R$4</f>
        <v>NULL</v>
      </c>
      <c r="BT12" s="45" t="s">
        <v>354</v>
      </c>
      <c r="BX12" s="66"/>
      <c r="CE12" s="45" t="s">
        <v>376</v>
      </c>
      <c r="CF12" s="14" t="str">
        <f>[1]TC!B4</f>
        <v>NULL</v>
      </c>
      <c r="CG12" s="14" t="str">
        <f>[1]TC!C4</f>
        <v>NULL</v>
      </c>
      <c r="CH12" s="14" t="str">
        <f>[1]TC!D4</f>
        <v>NULL</v>
      </c>
      <c r="CI12" s="66" t="str">
        <f>[1]TC!E4</f>
        <v>§18+ &amp; 50 US/DC only. By 11/29/2020 11:59 PM EST, purchase a qualifying device on device installment plan, 2-year contract plan, lease or outright purchase at full retail price (“Qualifying Purchase”), &amp; receive a Samsung Credit of $100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CJ12" s="14" t="str">
        <f>[1]TC!F4</f>
        <v>NULL</v>
      </c>
      <c r="CK12" s="14" t="str">
        <f>[1]TC!G4</f>
        <v>https://www.samsung.com/us/</v>
      </c>
      <c r="CL12" s="14" t="str">
        <f>[1]TC!H4</f>
        <v>https://www.samsung.com/us/</v>
      </c>
      <c r="CM12" s="14" t="str">
        <f>[1]TC!I4</f>
        <v>NULL</v>
      </c>
      <c r="CN12" s="14" t="str">
        <f>[1]TC!J4</f>
        <v>NULL</v>
      </c>
      <c r="CO12" s="14" t="str">
        <f>[1]TC!K4</f>
        <v>NULL</v>
      </c>
      <c r="CP12" s="45" t="s">
        <v>356</v>
      </c>
      <c r="CQ12" s="14" t="str">
        <f>[1]TC!B5</f>
        <v>NULL</v>
      </c>
      <c r="CR12" s="14" t="str">
        <f>[1]TC!C5</f>
        <v>NULL</v>
      </c>
      <c r="CS12" s="14" t="str">
        <f>[1]TC!D5</f>
        <v>NULL</v>
      </c>
      <c r="CT12" s="66" t="str">
        <f>[1]TC!E5</f>
        <v>†18+ &amp; 50 US/DC only. By 11/29/2020 11:59 PM EST, purchase a qualifying device on device installment plan, 2-year contract plan, lease or outright purchase at full retail price (“Qualifying Purchase”), &amp; receive a Samsung Credit of $30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CU12" s="14" t="str">
        <f>[1]TC!F5</f>
        <v>NULL</v>
      </c>
      <c r="CV12" s="14" t="str">
        <f>[1]TC!G5</f>
        <v>https://www.samsung.com/us/</v>
      </c>
      <c r="CW12" s="14" t="str">
        <f>[1]TC!H5</f>
        <v>https://www.samsung.com/us/</v>
      </c>
      <c r="CX12" s="14" t="str">
        <f>[1]TC!I5</f>
        <v>NULL</v>
      </c>
      <c r="CY12" s="14" t="str">
        <f>[1]TC!J5</f>
        <v>NULL</v>
      </c>
      <c r="CZ12" s="14" t="str">
        <f>[1]TC!K5</f>
        <v>NULL</v>
      </c>
      <c r="DA12" s="45" t="s">
        <v>357</v>
      </c>
      <c r="DB12" s="14" t="str">
        <f>[1]TC!B7</f>
        <v>NULL</v>
      </c>
      <c r="DC12" s="14" t="str">
        <f>[1]TC!C7</f>
        <v>NULL</v>
      </c>
      <c r="DD12" s="14" t="str">
        <f>[1]TC!D7</f>
        <v>NULL</v>
      </c>
      <c r="DE12" s="66" t="str">
        <f>[1]TC!E7</f>
        <v>αMust be an eligible legal resident of the 50 US/DC &amp; at least 18 years old to participate. Purchase at least 4 eligible Samsung Home Appliance products in the same transaction (Refrigerators, Ranges, Countertop Microwaves, Over-the-Range Microwave Ovens, Dishwashers, Wall Ovens, Cooktops, or Range Hoods) (“a Qualifying Purchase”) between 11/04/20 and 12/02/20 on Samsung.com, and you will receive a 10% instant rebate off of the pre-tax purchase price of your Qualifying Purchase (“Gift”). Purchases must include products from different product categories. If more than 4 eligible products are purchased, the additional products purchased are eligible for the discount as long as the eligibility requirements listed above and below are met. Eligible categories are Refrigerators, Ranges, Countertop Microwaves, Over-the-Range Microwave Ovens, Dishwashers, Wall Ovens, Cooktops, or Range Hoods. Samsung Chef Collection, Washers, Dryers, Pedestals, Vacuums, Air Purifiers, AirDresser, Wine Cooler, and all accessories are not eligible. Quantities limited; offer valid while supplies last. One claim per household. This Offer and instant rebate Gift redemption applies to Samsung.com only. Offer cannot be combined with other Samsung offers, rebates, programs, or promotions unless otherwise stated.</v>
      </c>
      <c r="DF12" s="14" t="str">
        <f>[1]TC!F7</f>
        <v>NULL</v>
      </c>
      <c r="DG12" s="14" t="str">
        <f>[1]TC!G7</f>
        <v xml:space="preserve"> </v>
      </c>
      <c r="DH12" s="14">
        <f>[1]TC!H7</f>
        <v>0</v>
      </c>
      <c r="DI12" s="14" t="str">
        <f>[1]TC!I7</f>
        <v>NULL</v>
      </c>
      <c r="DJ12" s="14" t="str">
        <f>[1]TC!J7</f>
        <v>NULL</v>
      </c>
      <c r="DK12" s="14" t="str">
        <f>[1]TC!K7</f>
        <v>NULL</v>
      </c>
      <c r="DL12" s="45"/>
      <c r="DP12" s="66"/>
    </row>
    <row r="13" spans="1:126" s="14" customFormat="1" ht="100.5" customHeight="1" x14ac:dyDescent="0.25">
      <c r="A13" s="67" t="s">
        <v>369</v>
      </c>
      <c r="B13" s="14" t="s">
        <v>377</v>
      </c>
      <c r="C13" s="14" t="s">
        <v>390</v>
      </c>
      <c r="D13" s="14" t="str">
        <f>'[1]Dynamic Banners'!$M$7</f>
        <v xml:space="preserve">Cyber Monday may be over, but shop and save all Cyber Week long. </v>
      </c>
      <c r="E13" s="14" t="str">
        <f>'[1]Dynamic Banners'!$M$7</f>
        <v xml:space="preserve">Cyber Monday may be over, but shop and save all Cyber Week long. </v>
      </c>
      <c r="F13" s="14" t="str">
        <f>[1]MiscBanners!$B$4</f>
        <v>https://www.samsung.com/us/shop/all-deals/</v>
      </c>
      <c r="G13"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H13" s="23" t="s">
        <v>191</v>
      </c>
      <c r="I13" s="83" t="s">
        <v>379</v>
      </c>
      <c r="J13" s="23" t="str">
        <f>[1]MiscBanners!$B$4</f>
        <v>https://www.samsung.com/us/shop/all-deals/</v>
      </c>
      <c r="K13"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L13" s="45" t="s">
        <v>371</v>
      </c>
      <c r="M13" s="23" t="str">
        <f>[1]CCModuleCopy!$D$7</f>
        <v>NULL</v>
      </c>
      <c r="N13" s="23" t="str">
        <f>[1]CCModuleCopy!$E$7</f>
        <v xml:space="preserve">Discover the mind-blowing, true-to-live resolution of QLED technology.
Save up to $3000 on 8K TVs, up to $1800 on select 4K TVs, up to $1300 on Lifestyle TVs and up to $400 on select soundbars and more. 
Plus, buy and try select Lifestyle TVs, soundbars and The Premiere Projector with our new 100-day, risk-free trial. </v>
      </c>
      <c r="O13" s="14" t="str">
        <f>[1]CCModuleCopy!$L$7</f>
        <v>Shop all</v>
      </c>
      <c r="P13" s="23" t="str">
        <f>[1]CCModuleCopy!$M$7</f>
        <v>https://www.samsung.com/us/shop/all-deals/tv-and-home-theater-deals/</v>
      </c>
      <c r="Q13" s="14" t="str">
        <f>[1]CCModuleCopy!$N$7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R13" s="45" t="s">
        <v>391</v>
      </c>
      <c r="S13" s="14" t="str">
        <f>[1]CCModuleCopy!$C$5</f>
        <v>Save up to $1000 instantly on the latest and greatest Galaxy smartphones</v>
      </c>
      <c r="T13" s="23" t="str">
        <f>[1]CCModuleCopy!$D$5</f>
        <v>NULL</v>
      </c>
      <c r="U13" s="23" t="str">
        <f>[1]CCModuleCopy!$E$5</f>
        <v>Black Friday prices and trade-in values are in full effect, giving you access to some of our best offers of the year on  Galaxy Note20 5G, S20 FE 5G, Z Fold2 5G and select A series devices.
Plus, get $30 or more instant credit toward accessories with any smartphone purchase to complete your Galaxy Ecosystem.†</v>
      </c>
      <c r="V13" s="14" t="str">
        <f>[1]CCModuleCopy!$L$5</f>
        <v>Shop all</v>
      </c>
      <c r="W13" s="23" t="str">
        <f>[1]CCModuleCopy!$M$5</f>
        <v>https://www.samsung.com/us/shop/all-deals/cell-phone-deals/</v>
      </c>
      <c r="X13" s="14" t="str">
        <f>[1]CCModuleCopy!$N$5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Y13" s="45" t="s">
        <v>372</v>
      </c>
      <c r="Z13" s="14" t="str">
        <f>[1]CCModuleCopy!$C$15</f>
        <v>Save up to $150 on select tablets</v>
      </c>
      <c r="AA13" s="23" t="str">
        <f>[1]CCModuleCopy!$D$15</f>
        <v>NULL</v>
      </c>
      <c r="AB13" s="23" t="str">
        <f>[1]CCModuleCopy!$E$15</f>
        <v xml:space="preserve">Empower how you create, work, learn, game and more with our powerful line of tablets. Shop our offers on great products from the new Galaxy Tab S7+ to the Galaxy Tab S6 Lite. </v>
      </c>
      <c r="AC13" s="14" t="str">
        <f>[1]CCModuleCopy!$L$15</f>
        <v>Shop all</v>
      </c>
      <c r="AD13" s="23" t="str">
        <f>[1]CCModuleCopy!$M$15</f>
        <v>https://www.samsung.com/us/shop/all-deals/tablets-wearables-cell-phone-accessories-deals/</v>
      </c>
      <c r="AE13" s="14" t="str">
        <f>[1]CCModuleCopy!$N$15</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AF13" s="45" t="s">
        <v>373</v>
      </c>
      <c r="AG13" s="14" t="str">
        <f>[1]CCModuleCopy!$C$11</f>
        <v>Get up to $100 off select watches and earbuds</v>
      </c>
      <c r="AH13" s="23" t="str">
        <f>[1]CCModuleCopy!$D$11</f>
        <v>NULL</v>
      </c>
      <c r="AI13" s="23" t="str">
        <f>[1]CCModuleCopy!$E$11</f>
        <v>Shop our exclusive Black Friday offers on Galaxy Watch3 Titanium, Watch3, Buds+ and more, suited for every lifestyle and every holiday shopping budget. 
Plus, now you can flex your fashion muscles with the new Samsung Design Studio. Create a Galaxy Watch as unique as you, today.</v>
      </c>
      <c r="AJ13" s="14" t="str">
        <f>[1]CCModuleCopy!$L$11</f>
        <v>Shop all</v>
      </c>
      <c r="AK13" s="23" t="str">
        <f>[1]CCModuleCopy!$M$11</f>
        <v>https://www.samsung.com/us/shop/all-deals/tablets-wearables-cell-phone-accessories-deals/</v>
      </c>
      <c r="AL13" s="66" t="str">
        <f>[1]CCModuleCopy!$N$11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AM13" s="45" t="s">
        <v>374</v>
      </c>
      <c r="AN13" s="14" t="str">
        <f>[1]CCModuleCopy!$B$13</f>
        <v>CE_HeadImage_Computing_500xV.jpg</v>
      </c>
      <c r="AO13" s="14" t="str">
        <f>[1]CCModuleCopy!$C$13</f>
        <v>Get up to 60% off memory cards, SSD, monitors and more</v>
      </c>
      <c r="AP13" s="14" t="str">
        <f>[1]CCModuleCopy!$D$13</f>
        <v>NULL</v>
      </c>
      <c r="AQ13" s="14" t="str">
        <f>[1]CCModuleCopy!$E$13</f>
        <v xml:space="preserve">Work and game smarter, not harder with these must-have computing offers. Expand the way you play, store and create and get up to 30% off monitors, up to 60% off memory cards, up to 35% off SSD and more. </v>
      </c>
      <c r="AR13" s="14" t="str">
        <f>[1]CCModuleCopy!$L$13</f>
        <v>Shop all</v>
      </c>
      <c r="AS13" s="14" t="str">
        <f>[1]CCModuleCopy!$M$13</f>
        <v>https://www.samsung.com/us/shop/all-deals/laptop-and-computer-deals/</v>
      </c>
      <c r="AT13" s="14" t="str">
        <f>[1]CCModuleCopy!$N$13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AU13" s="14" t="str">
        <f>[1]CCModuleCopy!$O$13</f>
        <v>NULL</v>
      </c>
      <c r="AV13" s="14" t="str">
        <f>[1]CCModuleCopy!$P$13</f>
        <v>NULL</v>
      </c>
      <c r="AW13" s="14" t="str">
        <f>[1]CCModuleCopy!$Q$13</f>
        <v>NULL</v>
      </c>
      <c r="AX13" s="45" t="s">
        <v>375</v>
      </c>
      <c r="AY13" s="14" t="str">
        <f>[1]CCModuleCopy!$B$9</f>
        <v>HA_HeadImage_Shop_HA_500xV.jpg</v>
      </c>
      <c r="AZ13" s="14" t="str">
        <f>[1]CCModuleCopy!$C$9</f>
        <v>Save up to 50% on everything you need to upgrade your home and home care</v>
      </c>
      <c r="BA13" s="14" t="str">
        <f>[1]CCModuleCopy!$D$9</f>
        <v>NULL</v>
      </c>
      <c r="BB13" s="14" t="str">
        <f>[1]CCModuleCopy!$E$9</f>
        <v xml:space="preserve">Complete your domestic oasis or prepare for holiday festivities, and even the clean up that comes after, today. 
Get an additional 10% off when you buy 4 or more eligible kitchen appliances. Save even more with early Black Friday prices for select categories.α 
Plus, buy and try a Jet Stick Cordless Vacuum with our new 100-day, risk-free trial. </v>
      </c>
      <c r="BC13" s="14" t="str">
        <f>[1]CCModuleCopy!$L$9</f>
        <v>Shop all</v>
      </c>
      <c r="BD13" s="14" t="str">
        <f>[1]CCModuleCopy!$M$9</f>
        <v>https://www.samsung.com/us/shop/all-deals/home-appliance-and-smart-home-sales/</v>
      </c>
      <c r="BE13" s="14" t="str">
        <f>[1]CCModuleCopy!$N$9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BF13" s="14" t="str">
        <f>[1]CCModuleCopy!$O$9</f>
        <v>NULL</v>
      </c>
      <c r="BG13" s="14" t="str">
        <f>[1]CCModuleCopy!$P$9</f>
        <v>NULL</v>
      </c>
      <c r="BH13" s="14" t="str">
        <f>[1]CCModuleCopy!$Q$9</f>
        <v>NULL</v>
      </c>
      <c r="BI13" s="45" t="s">
        <v>353</v>
      </c>
      <c r="BJ13" s="14" t="str">
        <f>[1]MiscBanners!$I$4</f>
        <v>Give-wonder-500xV.jpg</v>
      </c>
      <c r="BK13" s="14" t="str">
        <f>[1]MiscBanners!$J$4</f>
        <v>The gift that keeps on giving</v>
      </c>
      <c r="BL13" s="14" t="str">
        <f>[1]MiscBanners!$K$4</f>
        <v>NULL</v>
      </c>
      <c r="BM13" s="66" t="str">
        <f>[1]MiscBanners!$L$4</f>
        <v>Discover even more exclusive offers on your favorite products and unlock the power of smart and savvy gifting.</v>
      </c>
      <c r="BN13" s="14" t="str">
        <f>[1]MiscBanners!$M$4</f>
        <v>Shop now</v>
      </c>
      <c r="BO13" s="14" t="str">
        <f>[1]MiscBanners!$N$4</f>
        <v>https://www.samsung.com/us/gift-ideas/</v>
      </c>
      <c r="BP13" s="14" t="str">
        <f>[1]MiscBanners!$U$4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BQ13" s="14" t="str">
        <f>[1]MiscBanners!$P$4</f>
        <v>NULL</v>
      </c>
      <c r="BR13" s="14" t="str">
        <f>[1]MiscBanners!$Q$4</f>
        <v>NULL</v>
      </c>
      <c r="BS13" s="14" t="str">
        <f>[1]MiscBanners!$R$4</f>
        <v>NULL</v>
      </c>
      <c r="BT13" s="45" t="s">
        <v>354</v>
      </c>
      <c r="BX13" s="66"/>
      <c r="CE13" s="45" t="s">
        <v>376</v>
      </c>
      <c r="CF13" s="14" t="s">
        <v>122</v>
      </c>
      <c r="CG13" s="14" t="s">
        <v>122</v>
      </c>
      <c r="CH13" s="14" t="s">
        <v>122</v>
      </c>
      <c r="CI13" s="66" t="s">
        <v>366</v>
      </c>
      <c r="CJ13" s="14" t="s">
        <v>122</v>
      </c>
      <c r="CK13" s="14" t="s">
        <v>367</v>
      </c>
      <c r="CL13" s="14">
        <v>0</v>
      </c>
      <c r="CM13" s="14" t="s">
        <v>122</v>
      </c>
      <c r="CN13" s="14" t="s">
        <v>122</v>
      </c>
      <c r="CO13" s="14" t="s">
        <v>122</v>
      </c>
      <c r="CP13" s="45" t="s">
        <v>356</v>
      </c>
      <c r="CQ13" s="14" t="s">
        <v>122</v>
      </c>
      <c r="CR13" s="14" t="s">
        <v>122</v>
      </c>
      <c r="CS13" s="14" t="s">
        <v>122</v>
      </c>
      <c r="CT13" s="66" t="s">
        <v>368</v>
      </c>
      <c r="CU13" s="14" t="s">
        <v>122</v>
      </c>
      <c r="CV13" s="14" t="s">
        <v>367</v>
      </c>
      <c r="CW13" s="14">
        <v>0</v>
      </c>
      <c r="CX13" s="14" t="s">
        <v>122</v>
      </c>
      <c r="CY13" s="14" t="s">
        <v>122</v>
      </c>
      <c r="CZ13" s="14" t="s">
        <v>122</v>
      </c>
      <c r="DA13" s="45" t="s">
        <v>357</v>
      </c>
      <c r="DB13" s="14" t="s">
        <v>122</v>
      </c>
      <c r="DC13" s="14" t="s">
        <v>122</v>
      </c>
      <c r="DD13" s="14" t="s">
        <v>122</v>
      </c>
      <c r="DE13" s="66" t="s">
        <v>383</v>
      </c>
      <c r="DF13" s="14" t="s">
        <v>122</v>
      </c>
      <c r="DG13" s="14">
        <v>0</v>
      </c>
      <c r="DH13" s="14">
        <v>0</v>
      </c>
      <c r="DI13" s="14" t="s">
        <v>122</v>
      </c>
      <c r="DJ13" s="14" t="s">
        <v>122</v>
      </c>
      <c r="DK13" s="14" t="s">
        <v>122</v>
      </c>
      <c r="DL13" s="45"/>
      <c r="DP13" s="66"/>
    </row>
    <row r="14" spans="1:126" s="14" customFormat="1" ht="93.75" customHeight="1" x14ac:dyDescent="0.25">
      <c r="A14" s="67" t="s">
        <v>369</v>
      </c>
      <c r="B14" s="16" t="s">
        <v>380</v>
      </c>
      <c r="C14" s="14" t="s">
        <v>390</v>
      </c>
      <c r="D14" s="14" t="str">
        <f>'[1]Dynamic Banners'!$M$7</f>
        <v xml:space="preserve">Cyber Monday may be over, but shop and save all Cyber Week long. </v>
      </c>
      <c r="E14" s="14" t="str">
        <f>'[1]Dynamic Banners'!$M$7</f>
        <v xml:space="preserve">Cyber Monday may be over, but shop and save all Cyber Week long. </v>
      </c>
      <c r="F14" s="14" t="str">
        <f>[1]MiscBanners!$B$4</f>
        <v>https://www.samsung.com/us/shop/all-deals/</v>
      </c>
      <c r="G14"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H14" s="23" t="s">
        <v>191</v>
      </c>
      <c r="I14" s="83" t="s">
        <v>379</v>
      </c>
      <c r="J14" s="23" t="str">
        <f>[1]MiscBanners!$B$4</f>
        <v>https://www.samsung.com/us/shop/all-deals/</v>
      </c>
      <c r="K14"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L14" s="45" t="s">
        <v>372</v>
      </c>
      <c r="M14" s="23" t="str">
        <f>[1]CCModuleCopy!$D$15</f>
        <v>NULL</v>
      </c>
      <c r="N14" s="23" t="str">
        <f>[1]CCModuleCopy!$E$15</f>
        <v xml:space="preserve">Empower how you create, work, learn, game and more with our powerful line of tablets. Shop our offers on great products from the new Galaxy Tab S7+ to the Galaxy Tab S6 Lite. </v>
      </c>
      <c r="O14" s="14" t="str">
        <f>[1]CCModuleCopy!$L$15</f>
        <v>Shop all</v>
      </c>
      <c r="P14" s="23" t="str">
        <f>[1]CCModuleCopy!$M$15</f>
        <v>https://www.samsung.com/us/shop/all-deals/tablets-wearables-cell-phone-accessories-deals/</v>
      </c>
      <c r="Q14" s="14" t="str">
        <f>[1]CCModuleCopy!$N$15</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R14" s="45" t="s">
        <v>391</v>
      </c>
      <c r="S14" s="14" t="str">
        <f>[1]CCModuleCopy!$C$5</f>
        <v>Save up to $1000 instantly on the latest and greatest Galaxy smartphones</v>
      </c>
      <c r="T14" s="23" t="str">
        <f>[1]CCModuleCopy!$D$5</f>
        <v>NULL</v>
      </c>
      <c r="U14" s="23" t="str">
        <f>[1]CCModuleCopy!$E$5</f>
        <v>Black Friday prices and trade-in values are in full effect, giving you access to some of our best offers of the year on  Galaxy Note20 5G, S20 FE 5G, Z Fold2 5G and select A series devices.
Plus, get $30 or more instant credit toward accessories with any smartphone purchase to complete your Galaxy Ecosystem.†</v>
      </c>
      <c r="V14" s="14" t="str">
        <f>[1]CCModuleCopy!$L$5</f>
        <v>Shop all</v>
      </c>
      <c r="W14" s="23" t="str">
        <f>[1]CCModuleCopy!$M$5</f>
        <v>https://www.samsung.com/us/shop/all-deals/cell-phone-deals/</v>
      </c>
      <c r="X14" s="14" t="str">
        <f>[1]CCModuleCopy!$N$5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Y14" s="45" t="s">
        <v>371</v>
      </c>
      <c r="Z14" s="14" t="str">
        <f>[1]CCModuleCopy!$C$7</f>
        <v>Get up to $3000 off select 8K, 4K and Lifestyle TVs</v>
      </c>
      <c r="AA14" s="23" t="str">
        <f>[1]CCModuleCopy!$D$7</f>
        <v>NULL</v>
      </c>
      <c r="AB14" s="23" t="str">
        <f>[1]CCModuleCopy!$E$7</f>
        <v xml:space="preserve">Discover the mind-blowing, true-to-live resolution of QLED technology.
Save up to $3000 on 8K TVs, up to $1800 on select 4K TVs, up to $1300 on Lifestyle TVs and up to $400 on select soundbars and more. 
Plus, buy and try select Lifestyle TVs, soundbars and The Premiere Projector with our new 100-day, risk-free trial. </v>
      </c>
      <c r="AC14" s="14" t="str">
        <f>[1]CCModuleCopy!$L$7</f>
        <v>Shop all</v>
      </c>
      <c r="AD14" s="23" t="str">
        <f>[1]CCModuleCopy!$M$7</f>
        <v>https://www.samsung.com/us/shop/all-deals/tv-and-home-theater-deals/</v>
      </c>
      <c r="AE14" s="14" t="str">
        <f>[1]CCModuleCopy!$N$7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AF14" s="45" t="s">
        <v>373</v>
      </c>
      <c r="AG14" s="14" t="str">
        <f>[1]CCModuleCopy!$C$11</f>
        <v>Get up to $100 off select watches and earbuds</v>
      </c>
      <c r="AH14" s="23" t="str">
        <f>[1]CCModuleCopy!$D$11</f>
        <v>NULL</v>
      </c>
      <c r="AI14" s="23" t="str">
        <f>[1]CCModuleCopy!$E$11</f>
        <v>Shop our exclusive Black Friday offers on Galaxy Watch3 Titanium, Watch3, Buds+ and more, suited for every lifestyle and every holiday shopping budget. 
Plus, now you can flex your fashion muscles with the new Samsung Design Studio. Create a Galaxy Watch as unique as you, today.</v>
      </c>
      <c r="AJ14" s="14" t="str">
        <f>[1]CCModuleCopy!$L$11</f>
        <v>Shop all</v>
      </c>
      <c r="AK14" s="23" t="str">
        <f>[1]CCModuleCopy!$M$11</f>
        <v>https://www.samsung.com/us/shop/all-deals/tablets-wearables-cell-phone-accessories-deals/</v>
      </c>
      <c r="AL14" s="66" t="str">
        <f>[1]CCModuleCopy!$N$11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AM14" s="45" t="s">
        <v>374</v>
      </c>
      <c r="AN14" s="14" t="str">
        <f>[1]CCModuleCopy!$B$13</f>
        <v>CE_HeadImage_Computing_500xV.jpg</v>
      </c>
      <c r="AO14" s="14" t="str">
        <f>[1]CCModuleCopy!$C$13</f>
        <v>Get up to 60% off memory cards, SSD, monitors and more</v>
      </c>
      <c r="AP14" s="14" t="str">
        <f>[1]CCModuleCopy!$D$13</f>
        <v>NULL</v>
      </c>
      <c r="AQ14" s="14" t="str">
        <f>[1]CCModuleCopy!$E$13</f>
        <v xml:space="preserve">Work and game smarter, not harder with these must-have computing offers. Expand the way you play, store and create and get up to 30% off monitors, up to 60% off memory cards, up to 35% off SSD and more. </v>
      </c>
      <c r="AR14" s="14" t="str">
        <f>[1]CCModuleCopy!$L$13</f>
        <v>Shop all</v>
      </c>
      <c r="AS14" s="14" t="str">
        <f>[1]CCModuleCopy!$M$13</f>
        <v>https://www.samsung.com/us/shop/all-deals/laptop-and-computer-deals/</v>
      </c>
      <c r="AT14" s="14" t="str">
        <f>[1]CCModuleCopy!$N$13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AU14" s="14" t="str">
        <f>[1]CCModuleCopy!$O$13</f>
        <v>NULL</v>
      </c>
      <c r="AV14" s="14" t="str">
        <f>[1]CCModuleCopy!$P$13</f>
        <v>NULL</v>
      </c>
      <c r="AW14" s="14" t="str">
        <f>[1]CCModuleCopy!$Q$13</f>
        <v>NULL</v>
      </c>
      <c r="AX14" s="45" t="s">
        <v>375</v>
      </c>
      <c r="AY14" s="14" t="str">
        <f>[1]CCModuleCopy!$B$9</f>
        <v>HA_HeadImage_Shop_HA_500xV.jpg</v>
      </c>
      <c r="AZ14" s="14" t="str">
        <f>[1]CCModuleCopy!$C$9</f>
        <v>Save up to 50% on everything you need to upgrade your home and home care</v>
      </c>
      <c r="BA14" s="14" t="str">
        <f>[1]CCModuleCopy!$D$9</f>
        <v>NULL</v>
      </c>
      <c r="BB14" s="14" t="str">
        <f>[1]CCModuleCopy!$E$9</f>
        <v xml:space="preserve">Complete your domestic oasis or prepare for holiday festivities, and even the clean up that comes after, today. 
Get an additional 10% off when you buy 4 or more eligible kitchen appliances. Save even more with early Black Friday prices for select categories.α 
Plus, buy and try a Jet Stick Cordless Vacuum with our new 100-day, risk-free trial. </v>
      </c>
      <c r="BC14" s="14" t="str">
        <f>[1]CCModuleCopy!$L$9</f>
        <v>Shop all</v>
      </c>
      <c r="BD14" s="14" t="str">
        <f>[1]CCModuleCopy!$M$9</f>
        <v>https://www.samsung.com/us/shop/all-deals/home-appliance-and-smart-home-sales/</v>
      </c>
      <c r="BE14" s="14" t="str">
        <f>[1]CCModuleCopy!$N$9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BF14" s="14" t="str">
        <f>[1]CCModuleCopy!$O$9</f>
        <v>NULL</v>
      </c>
      <c r="BG14" s="14" t="str">
        <f>[1]CCModuleCopy!$P$9</f>
        <v>NULL</v>
      </c>
      <c r="BH14" s="14" t="str">
        <f>[1]CCModuleCopy!$Q$9</f>
        <v>NULL</v>
      </c>
      <c r="BI14" s="45" t="s">
        <v>353</v>
      </c>
      <c r="BJ14" s="14" t="str">
        <f>[1]MiscBanners!$I$4</f>
        <v>Give-wonder-500xV.jpg</v>
      </c>
      <c r="BK14" s="14" t="str">
        <f>[1]MiscBanners!$J$4</f>
        <v>The gift that keeps on giving</v>
      </c>
      <c r="BL14" s="14" t="str">
        <f>[1]MiscBanners!$K$4</f>
        <v>NULL</v>
      </c>
      <c r="BM14" s="66" t="str">
        <f>[1]MiscBanners!$L$4</f>
        <v>Discover even more exclusive offers on your favorite products and unlock the power of smart and savvy gifting.</v>
      </c>
      <c r="BN14" s="14" t="str">
        <f>[1]MiscBanners!$M$4</f>
        <v>Shop now</v>
      </c>
      <c r="BO14" s="14" t="str">
        <f>[1]MiscBanners!$N$4</f>
        <v>https://www.samsung.com/us/gift-ideas/</v>
      </c>
      <c r="BP14" s="14" t="str">
        <f>[1]MiscBanners!$U$4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BQ14" s="14" t="str">
        <f>[1]MiscBanners!$P$4</f>
        <v>NULL</v>
      </c>
      <c r="BR14" s="14" t="str">
        <f>[1]MiscBanners!$Q$4</f>
        <v>NULL</v>
      </c>
      <c r="BS14" s="14" t="str">
        <f>[1]MiscBanners!$R$4</f>
        <v>NULL</v>
      </c>
      <c r="BT14" s="45" t="s">
        <v>354</v>
      </c>
      <c r="BX14" s="66"/>
      <c r="CE14" s="45" t="s">
        <v>376</v>
      </c>
      <c r="CF14" s="14" t="s">
        <v>122</v>
      </c>
      <c r="CG14" s="14" t="s">
        <v>122</v>
      </c>
      <c r="CH14" s="14" t="s">
        <v>122</v>
      </c>
      <c r="CI14" s="66" t="s">
        <v>366</v>
      </c>
      <c r="CJ14" s="14" t="s">
        <v>122</v>
      </c>
      <c r="CK14" s="14" t="s">
        <v>367</v>
      </c>
      <c r="CL14" s="14">
        <v>0</v>
      </c>
      <c r="CM14" s="14" t="s">
        <v>122</v>
      </c>
      <c r="CN14" s="14" t="s">
        <v>122</v>
      </c>
      <c r="CO14" s="14" t="s">
        <v>122</v>
      </c>
      <c r="CP14" s="45" t="s">
        <v>356</v>
      </c>
      <c r="CQ14" s="14" t="s">
        <v>122</v>
      </c>
      <c r="CR14" s="14" t="s">
        <v>122</v>
      </c>
      <c r="CS14" s="14" t="s">
        <v>122</v>
      </c>
      <c r="CT14" s="66" t="s">
        <v>368</v>
      </c>
      <c r="CU14" s="14" t="s">
        <v>122</v>
      </c>
      <c r="CV14" s="14" t="s">
        <v>367</v>
      </c>
      <c r="CW14" s="14">
        <v>0</v>
      </c>
      <c r="CX14" s="14" t="s">
        <v>122</v>
      </c>
      <c r="CY14" s="14" t="s">
        <v>122</v>
      </c>
      <c r="CZ14" s="14" t="s">
        <v>122</v>
      </c>
      <c r="DA14" s="45" t="s">
        <v>357</v>
      </c>
      <c r="DB14" s="14" t="s">
        <v>122</v>
      </c>
      <c r="DC14" s="14" t="s">
        <v>122</v>
      </c>
      <c r="DD14" s="14" t="s">
        <v>122</v>
      </c>
      <c r="DE14" s="66" t="s">
        <v>383</v>
      </c>
      <c r="DF14" s="14" t="s">
        <v>122</v>
      </c>
      <c r="DG14" s="14">
        <v>0</v>
      </c>
      <c r="DH14" s="14">
        <v>0</v>
      </c>
      <c r="DI14" s="14" t="s">
        <v>122</v>
      </c>
      <c r="DJ14" s="14" t="s">
        <v>122</v>
      </c>
      <c r="DK14" s="14" t="s">
        <v>122</v>
      </c>
      <c r="DL14" s="45"/>
      <c r="DP14" s="66"/>
    </row>
    <row r="15" spans="1:126" s="14" customFormat="1" ht="93.75" customHeight="1" x14ac:dyDescent="0.25">
      <c r="A15" s="67" t="s">
        <v>369</v>
      </c>
      <c r="B15" s="14" t="s">
        <v>384</v>
      </c>
      <c r="C15" s="14" t="s">
        <v>390</v>
      </c>
      <c r="D15" s="14" t="str">
        <f>'[1]Dynamic Banners'!$M$7</f>
        <v xml:space="preserve">Cyber Monday may be over, but shop and save all Cyber Week long. </v>
      </c>
      <c r="E15" s="14" t="str">
        <f>'[1]Dynamic Banners'!$M$7</f>
        <v xml:space="preserve">Cyber Monday may be over, but shop and save all Cyber Week long. </v>
      </c>
      <c r="F15" s="14" t="str">
        <f>[1]MiscBanners!$B$4</f>
        <v>https://www.samsung.com/us/shop/all-deals/</v>
      </c>
      <c r="G15"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H15" s="23" t="s">
        <v>191</v>
      </c>
      <c r="I15" s="83" t="s">
        <v>379</v>
      </c>
      <c r="J15" s="23" t="str">
        <f>[1]MiscBanners!$B$4</f>
        <v>https://www.samsung.com/us/shop/all-deals/</v>
      </c>
      <c r="K15"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L15" s="45" t="s">
        <v>373</v>
      </c>
      <c r="M15" s="23" t="str">
        <f>[1]CCModuleCopy!$D$11</f>
        <v>NULL</v>
      </c>
      <c r="N15" s="23" t="str">
        <f>[1]CCModuleCopy!$E$11</f>
        <v>Shop our exclusive Black Friday offers on Galaxy Watch3 Titanium, Watch3, Buds+ and more, suited for every lifestyle and every holiday shopping budget. 
Plus, now you can flex your fashion muscles with the new Samsung Design Studio. Create a Galaxy Watch as unique as you, today.</v>
      </c>
      <c r="O15" s="14" t="str">
        <f>[1]CCModuleCopy!$L$11</f>
        <v>Shop all</v>
      </c>
      <c r="P15" s="23" t="str">
        <f>[1]CCModuleCopy!$M$11</f>
        <v>https://www.samsung.com/us/shop/all-deals/tablets-wearables-cell-phone-accessories-deals/</v>
      </c>
      <c r="Q15" s="14" t="str">
        <f>[1]CCModuleCopy!$N$11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R15" s="45" t="s">
        <v>391</v>
      </c>
      <c r="S15" s="14" t="str">
        <f>[1]CCModuleCopy!$C$5</f>
        <v>Save up to $1000 instantly on the latest and greatest Galaxy smartphones</v>
      </c>
      <c r="T15" s="23" t="str">
        <f>[1]CCModuleCopy!$D$5</f>
        <v>NULL</v>
      </c>
      <c r="U15" s="23" t="str">
        <f>[1]CCModuleCopy!$E$5</f>
        <v>Black Friday prices and trade-in values are in full effect, giving you access to some of our best offers of the year on  Galaxy Note20 5G, S20 FE 5G, Z Fold2 5G and select A series devices.
Plus, get $30 or more instant credit toward accessories with any smartphone purchase to complete your Galaxy Ecosystem.†</v>
      </c>
      <c r="V15" s="14" t="str">
        <f>[1]CCModuleCopy!$L$5</f>
        <v>Shop all</v>
      </c>
      <c r="W15" s="23" t="str">
        <f>[1]CCModuleCopy!$M$5</f>
        <v>https://www.samsung.com/us/shop/all-deals/cell-phone-deals/</v>
      </c>
      <c r="X15" s="14" t="str">
        <f>[1]CCModuleCopy!$N$5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Y15" s="45" t="s">
        <v>371</v>
      </c>
      <c r="Z15" s="14" t="str">
        <f>[1]CCModuleCopy!$C$7</f>
        <v>Get up to $3000 off select 8K, 4K and Lifestyle TVs</v>
      </c>
      <c r="AA15" s="23" t="str">
        <f>[1]CCModuleCopy!$D$7</f>
        <v>NULL</v>
      </c>
      <c r="AB15" s="23" t="str">
        <f>[1]CCModuleCopy!$E$7</f>
        <v xml:space="preserve">Discover the mind-blowing, true-to-live resolution of QLED technology.
Save up to $3000 on 8K TVs, up to $1800 on select 4K TVs, up to $1300 on Lifestyle TVs and up to $400 on select soundbars and more. 
Plus, buy and try select Lifestyle TVs, soundbars and The Premiere Projector with our new 100-day, risk-free trial. </v>
      </c>
      <c r="AC15" s="14" t="str">
        <f>[1]CCModuleCopy!$L$7</f>
        <v>Shop all</v>
      </c>
      <c r="AD15" s="23" t="str">
        <f>[1]CCModuleCopy!$M$7</f>
        <v>https://www.samsung.com/us/shop/all-deals/tv-and-home-theater-deals/</v>
      </c>
      <c r="AE15" s="14" t="str">
        <f>[1]CCModuleCopy!$N$7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AF15" s="45" t="s">
        <v>372</v>
      </c>
      <c r="AG15" s="14" t="str">
        <f>[1]CCModuleCopy!$C$15</f>
        <v>Save up to $150 on select tablets</v>
      </c>
      <c r="AH15" s="23" t="str">
        <f>[1]CCModuleCopy!$D$15</f>
        <v>NULL</v>
      </c>
      <c r="AI15" s="23" t="str">
        <f>[1]CCModuleCopy!$E$15</f>
        <v xml:space="preserve">Empower how you create, work, learn, game and more with our powerful line of tablets. Shop our offers on great products from the new Galaxy Tab S7+ to the Galaxy Tab S6 Lite. </v>
      </c>
      <c r="AJ15" s="14" t="str">
        <f>[1]CCModuleCopy!$L$15</f>
        <v>Shop all</v>
      </c>
      <c r="AK15" s="23" t="str">
        <f>[1]CCModuleCopy!$M$15</f>
        <v>https://www.samsung.com/us/shop/all-deals/tablets-wearables-cell-phone-accessories-deals/</v>
      </c>
      <c r="AL15" s="66" t="str">
        <f>[1]CCModuleCopy!$N$15</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AM15" s="45" t="s">
        <v>374</v>
      </c>
      <c r="AN15" s="14" t="str">
        <f>[1]CCModuleCopy!$B$13</f>
        <v>CE_HeadImage_Computing_500xV.jpg</v>
      </c>
      <c r="AO15" s="14" t="str">
        <f>[1]CCModuleCopy!$C$13</f>
        <v>Get up to 60% off memory cards, SSD, monitors and more</v>
      </c>
      <c r="AP15" s="14" t="str">
        <f>[1]CCModuleCopy!$D$13</f>
        <v>NULL</v>
      </c>
      <c r="AQ15" s="14" t="str">
        <f>[1]CCModuleCopy!$E$13</f>
        <v xml:space="preserve">Work and game smarter, not harder with these must-have computing offers. Expand the way you play, store and create and get up to 30% off monitors, up to 60% off memory cards, up to 35% off SSD and more. </v>
      </c>
      <c r="AR15" s="14" t="str">
        <f>[1]CCModuleCopy!$L$13</f>
        <v>Shop all</v>
      </c>
      <c r="AS15" s="14" t="str">
        <f>[1]CCModuleCopy!$M$13</f>
        <v>https://www.samsung.com/us/shop/all-deals/laptop-and-computer-deals/</v>
      </c>
      <c r="AT15" s="14" t="str">
        <f>[1]CCModuleCopy!$N$13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AU15" s="14" t="str">
        <f>[1]CCModuleCopy!$O$13</f>
        <v>NULL</v>
      </c>
      <c r="AV15" s="14" t="str">
        <f>[1]CCModuleCopy!$P$13</f>
        <v>NULL</v>
      </c>
      <c r="AW15" s="14" t="str">
        <f>[1]CCModuleCopy!$Q$13</f>
        <v>NULL</v>
      </c>
      <c r="AX15" s="45" t="s">
        <v>375</v>
      </c>
      <c r="AY15" s="14" t="str">
        <f>[1]CCModuleCopy!$B$9</f>
        <v>HA_HeadImage_Shop_HA_500xV.jpg</v>
      </c>
      <c r="AZ15" s="14" t="str">
        <f>[1]CCModuleCopy!$C$9</f>
        <v>Save up to 50% on everything you need to upgrade your home and home care</v>
      </c>
      <c r="BA15" s="14" t="str">
        <f>[1]CCModuleCopy!$D$9</f>
        <v>NULL</v>
      </c>
      <c r="BB15" s="14" t="str">
        <f>[1]CCModuleCopy!$E$9</f>
        <v xml:space="preserve">Complete your domestic oasis or prepare for holiday festivities, and even the clean up that comes after, today. 
Get an additional 10% off when you buy 4 or more eligible kitchen appliances. Save even more with early Black Friday prices for select categories.α 
Plus, buy and try a Jet Stick Cordless Vacuum with our new 100-day, risk-free trial. </v>
      </c>
      <c r="BC15" s="14" t="str">
        <f>[1]CCModuleCopy!$L$9</f>
        <v>Shop all</v>
      </c>
      <c r="BD15" s="14" t="str">
        <f>[1]CCModuleCopy!$M$9</f>
        <v>https://www.samsung.com/us/shop/all-deals/home-appliance-and-smart-home-sales/</v>
      </c>
      <c r="BE15" s="14" t="str">
        <f>[1]CCModuleCopy!$N$9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BF15" s="14" t="str">
        <f>[1]CCModuleCopy!$O$9</f>
        <v>NULL</v>
      </c>
      <c r="BG15" s="14" t="str">
        <f>[1]CCModuleCopy!$P$9</f>
        <v>NULL</v>
      </c>
      <c r="BH15" s="14" t="str">
        <f>[1]CCModuleCopy!$Q$9</f>
        <v>NULL</v>
      </c>
      <c r="BI15" s="45" t="s">
        <v>353</v>
      </c>
      <c r="BJ15" s="14" t="str">
        <f>[1]MiscBanners!$I$4</f>
        <v>Give-wonder-500xV.jpg</v>
      </c>
      <c r="BK15" s="14" t="str">
        <f>[1]MiscBanners!$J$4</f>
        <v>The gift that keeps on giving</v>
      </c>
      <c r="BL15" s="14" t="str">
        <f>[1]MiscBanners!$K$4</f>
        <v>NULL</v>
      </c>
      <c r="BM15" s="66" t="str">
        <f>[1]MiscBanners!$L$4</f>
        <v>Discover even more exclusive offers on your favorite products and unlock the power of smart and savvy gifting.</v>
      </c>
      <c r="BN15" s="14" t="str">
        <f>[1]MiscBanners!$M$4</f>
        <v>Shop now</v>
      </c>
      <c r="BO15" s="14" t="str">
        <f>[1]MiscBanners!$N$4</f>
        <v>https://www.samsung.com/us/gift-ideas/</v>
      </c>
      <c r="BP15" s="14" t="str">
        <f>[1]MiscBanners!$U$4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BQ15" s="14" t="str">
        <f>[1]MiscBanners!$P$4</f>
        <v>NULL</v>
      </c>
      <c r="BR15" s="14" t="str">
        <f>[1]MiscBanners!$Q$4</f>
        <v>NULL</v>
      </c>
      <c r="BS15" s="14" t="str">
        <f>[1]MiscBanners!$R$4</f>
        <v>NULL</v>
      </c>
      <c r="BT15" s="45" t="s">
        <v>354</v>
      </c>
      <c r="BX15" s="66"/>
      <c r="CE15" s="45" t="s">
        <v>376</v>
      </c>
      <c r="CF15" s="14" t="s">
        <v>122</v>
      </c>
      <c r="CG15" s="14" t="s">
        <v>122</v>
      </c>
      <c r="CH15" s="14" t="s">
        <v>122</v>
      </c>
      <c r="CI15" s="66" t="s">
        <v>366</v>
      </c>
      <c r="CJ15" s="14" t="s">
        <v>122</v>
      </c>
      <c r="CK15" s="14" t="s">
        <v>367</v>
      </c>
      <c r="CL15" s="14">
        <v>0</v>
      </c>
      <c r="CM15" s="14" t="s">
        <v>122</v>
      </c>
      <c r="CN15" s="14" t="s">
        <v>122</v>
      </c>
      <c r="CO15" s="14" t="s">
        <v>122</v>
      </c>
      <c r="CP15" s="45" t="s">
        <v>356</v>
      </c>
      <c r="CQ15" s="14" t="s">
        <v>122</v>
      </c>
      <c r="CR15" s="14" t="s">
        <v>122</v>
      </c>
      <c r="CS15" s="14" t="s">
        <v>122</v>
      </c>
      <c r="CT15" s="66" t="s">
        <v>368</v>
      </c>
      <c r="CU15" s="14" t="s">
        <v>122</v>
      </c>
      <c r="CV15" s="14" t="s">
        <v>367</v>
      </c>
      <c r="CW15" s="14">
        <v>0</v>
      </c>
      <c r="CX15" s="14" t="s">
        <v>122</v>
      </c>
      <c r="CY15" s="14" t="s">
        <v>122</v>
      </c>
      <c r="CZ15" s="14" t="s">
        <v>122</v>
      </c>
      <c r="DA15" s="45" t="s">
        <v>357</v>
      </c>
      <c r="DB15" s="14" t="s">
        <v>122</v>
      </c>
      <c r="DC15" s="14" t="s">
        <v>122</v>
      </c>
      <c r="DD15" s="14" t="s">
        <v>122</v>
      </c>
      <c r="DE15" s="66" t="s">
        <v>383</v>
      </c>
      <c r="DF15" s="14" t="s">
        <v>122</v>
      </c>
      <c r="DG15" s="14">
        <v>0</v>
      </c>
      <c r="DH15" s="14">
        <v>0</v>
      </c>
      <c r="DI15" s="14" t="s">
        <v>122</v>
      </c>
      <c r="DJ15" s="14" t="s">
        <v>122</v>
      </c>
      <c r="DK15" s="14" t="s">
        <v>122</v>
      </c>
      <c r="DL15" s="45"/>
      <c r="DP15" s="66"/>
    </row>
    <row r="16" spans="1:126" s="14" customFormat="1" ht="93" customHeight="1" x14ac:dyDescent="0.25">
      <c r="A16" s="67" t="s">
        <v>369</v>
      </c>
      <c r="B16" s="14" t="s">
        <v>386</v>
      </c>
      <c r="C16" s="14" t="s">
        <v>390</v>
      </c>
      <c r="D16" s="14" t="str">
        <f>'[1]Dynamic Banners'!$M$7</f>
        <v xml:space="preserve">Cyber Monday may be over, but shop and save all Cyber Week long. </v>
      </c>
      <c r="E16" s="14" t="str">
        <f>'[1]Dynamic Banners'!$M$7</f>
        <v xml:space="preserve">Cyber Monday may be over, but shop and save all Cyber Week long. </v>
      </c>
      <c r="F16" s="14" t="str">
        <f>[1]MiscBanners!$B$4</f>
        <v>https://www.samsung.com/us/shop/all-deals/</v>
      </c>
      <c r="G16"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H16" s="23" t="s">
        <v>191</v>
      </c>
      <c r="I16" s="83" t="s">
        <v>379</v>
      </c>
      <c r="J16" s="23" t="str">
        <f>[1]MiscBanners!$B$4</f>
        <v>https://www.samsung.com/us/shop/all-deals/</v>
      </c>
      <c r="K16"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L16" s="45" t="s">
        <v>374</v>
      </c>
      <c r="M16" s="23" t="str">
        <f>[1]CCModuleCopy!$D$13</f>
        <v>NULL</v>
      </c>
      <c r="N16" s="23" t="str">
        <f>[1]CCModuleCopy!$E$13</f>
        <v xml:space="preserve">Work and game smarter, not harder with these must-have computing offers. Expand the way you play, store and create and get up to 30% off monitors, up to 60% off memory cards, up to 35% off SSD and more. </v>
      </c>
      <c r="O16" s="14" t="str">
        <f>[1]CCModuleCopy!$L$13</f>
        <v>Shop all</v>
      </c>
      <c r="P16" s="23" t="str">
        <f>[1]CCModuleCopy!$M$13</f>
        <v>https://www.samsung.com/us/shop/all-deals/laptop-and-computer-deals/</v>
      </c>
      <c r="Q16" s="14" t="str">
        <f>[1]CCModuleCopy!$N$13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R16" s="45" t="s">
        <v>391</v>
      </c>
      <c r="S16" s="14" t="str">
        <f>[1]CCModuleCopy!$C$5</f>
        <v>Save up to $1000 instantly on the latest and greatest Galaxy smartphones</v>
      </c>
      <c r="T16" s="23" t="str">
        <f>[1]CCModuleCopy!$D$5</f>
        <v>NULL</v>
      </c>
      <c r="U16" s="23" t="str">
        <f>[1]CCModuleCopy!$E$5</f>
        <v>Black Friday prices and trade-in values are in full effect, giving you access to some of our best offers of the year on  Galaxy Note20 5G, S20 FE 5G, Z Fold2 5G and select A series devices.
Plus, get $30 or more instant credit toward accessories with any smartphone purchase to complete your Galaxy Ecosystem.†</v>
      </c>
      <c r="V16" s="14" t="str">
        <f>[1]CCModuleCopy!$L$5</f>
        <v>Shop all</v>
      </c>
      <c r="W16" s="23" t="str">
        <f>[1]CCModuleCopy!$M$5</f>
        <v>https://www.samsung.com/us/shop/all-deals/cell-phone-deals/</v>
      </c>
      <c r="X16" s="14" t="str">
        <f>[1]CCModuleCopy!$N$5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Y16" s="45" t="s">
        <v>371</v>
      </c>
      <c r="Z16" s="14" t="str">
        <f>[1]CCModuleCopy!$C$7</f>
        <v>Get up to $3000 off select 8K, 4K and Lifestyle TVs</v>
      </c>
      <c r="AA16" s="23" t="str">
        <f>[1]CCModuleCopy!$D$7</f>
        <v>NULL</v>
      </c>
      <c r="AB16" s="23" t="str">
        <f>[1]CCModuleCopy!$E$7</f>
        <v xml:space="preserve">Discover the mind-blowing, true-to-live resolution of QLED technology.
Save up to $3000 on 8K TVs, up to $1800 on select 4K TVs, up to $1300 on Lifestyle TVs and up to $400 on select soundbars and more. 
Plus, buy and try select Lifestyle TVs, soundbars and The Premiere Projector with our new 100-day, risk-free trial. </v>
      </c>
      <c r="AC16" s="14" t="str">
        <f>[1]CCModuleCopy!$L$7</f>
        <v>Shop all</v>
      </c>
      <c r="AD16" s="23" t="str">
        <f>[1]CCModuleCopy!$M$7</f>
        <v>https://www.samsung.com/us/shop/all-deals/tv-and-home-theater-deals/</v>
      </c>
      <c r="AE16" s="14" t="str">
        <f>[1]CCModuleCopy!$N$7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AF16" s="45" t="s">
        <v>372</v>
      </c>
      <c r="AG16" s="14" t="str">
        <f>[1]CCModuleCopy!$C$15</f>
        <v>Save up to $150 on select tablets</v>
      </c>
      <c r="AH16" s="23" t="str">
        <f>[1]CCModuleCopy!$D$15</f>
        <v>NULL</v>
      </c>
      <c r="AI16" s="23" t="str">
        <f>[1]CCModuleCopy!$E$15</f>
        <v xml:space="preserve">Empower how you create, work, learn, game and more with our powerful line of tablets. Shop our offers on great products from the new Galaxy Tab S7+ to the Galaxy Tab S6 Lite. </v>
      </c>
      <c r="AJ16" s="14" t="str">
        <f>[1]CCModuleCopy!$L$15</f>
        <v>Shop all</v>
      </c>
      <c r="AK16" s="23" t="str">
        <f>[1]CCModuleCopy!$M$15</f>
        <v>https://www.samsung.com/us/shop/all-deals/tablets-wearables-cell-phone-accessories-deals/</v>
      </c>
      <c r="AL16" s="66" t="str">
        <f>[1]CCModuleCopy!$N$15</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AM16" s="45" t="s">
        <v>373</v>
      </c>
      <c r="AN16" s="14" t="str">
        <f>[1]CCModuleCopy!$B$11</f>
        <v>ME_HeadImage_Wearables_500xV.jpg</v>
      </c>
      <c r="AO16" s="14" t="str">
        <f>[1]CCModuleCopy!$C$11</f>
        <v>Get up to $100 off select watches and earbuds</v>
      </c>
      <c r="AP16" s="14" t="str">
        <f>[1]CCModuleCopy!$D$11</f>
        <v>NULL</v>
      </c>
      <c r="AQ16" s="14" t="str">
        <f>[1]CCModuleCopy!$E$11</f>
        <v>Shop our exclusive Black Friday offers on Galaxy Watch3 Titanium, Watch3, Buds+ and more, suited for every lifestyle and every holiday shopping budget. 
Plus, now you can flex your fashion muscles with the new Samsung Design Studio. Create a Galaxy Watch as unique as you, today.</v>
      </c>
      <c r="AR16" s="14" t="str">
        <f>[1]CCModuleCopy!$L$11</f>
        <v>Shop all</v>
      </c>
      <c r="AS16" s="14" t="str">
        <f>[1]CCModuleCopy!$M$11</f>
        <v>https://www.samsung.com/us/shop/all-deals/tablets-wearables-cell-phone-accessories-deals/</v>
      </c>
      <c r="AT16" s="14" t="str">
        <f>[1]CCModuleCopy!$N$11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AU16" s="14" t="str">
        <f>[1]CCModuleCopy!$O$11</f>
        <v>NULL</v>
      </c>
      <c r="AV16" s="14" t="str">
        <f>[1]CCModuleCopy!$P$11</f>
        <v>NULL</v>
      </c>
      <c r="AW16" s="14" t="str">
        <f>[1]CCModuleCopy!$Q$11</f>
        <v>NULL</v>
      </c>
      <c r="AX16" s="45" t="s">
        <v>375</v>
      </c>
      <c r="AY16" s="14" t="str">
        <f>[1]CCModuleCopy!$B$9</f>
        <v>HA_HeadImage_Shop_HA_500xV.jpg</v>
      </c>
      <c r="AZ16" s="14" t="str">
        <f>[1]CCModuleCopy!$C$9</f>
        <v>Save up to 50% on everything you need to upgrade your home and home care</v>
      </c>
      <c r="BA16" s="14" t="str">
        <f>[1]CCModuleCopy!$D$9</f>
        <v>NULL</v>
      </c>
      <c r="BB16" s="14" t="str">
        <f>[1]CCModuleCopy!$E$9</f>
        <v xml:space="preserve">Complete your domestic oasis or prepare for holiday festivities, and even the clean up that comes after, today. 
Get an additional 10% off when you buy 4 or more eligible kitchen appliances. Save even more with early Black Friday prices for select categories.α 
Plus, buy and try a Jet Stick Cordless Vacuum with our new 100-day, risk-free trial. </v>
      </c>
      <c r="BC16" s="14" t="str">
        <f>[1]CCModuleCopy!$L$9</f>
        <v>Shop all</v>
      </c>
      <c r="BD16" s="14" t="str">
        <f>[1]CCModuleCopy!$M$9</f>
        <v>https://www.samsung.com/us/shop/all-deals/home-appliance-and-smart-home-sales/</v>
      </c>
      <c r="BE16" s="14" t="str">
        <f>[1]CCModuleCopy!$N$9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BF16" s="14" t="str">
        <f>[1]CCModuleCopy!$O$9</f>
        <v>NULL</v>
      </c>
      <c r="BG16" s="14" t="str">
        <f>[1]CCModuleCopy!$P$9</f>
        <v>NULL</v>
      </c>
      <c r="BH16" s="14" t="str">
        <f>[1]CCModuleCopy!$Q$9</f>
        <v>NULL</v>
      </c>
      <c r="BI16" s="45" t="s">
        <v>353</v>
      </c>
      <c r="BJ16" s="14" t="str">
        <f>[1]MiscBanners!$I$4</f>
        <v>Give-wonder-500xV.jpg</v>
      </c>
      <c r="BK16" s="14" t="str">
        <f>[1]MiscBanners!$J$4</f>
        <v>The gift that keeps on giving</v>
      </c>
      <c r="BL16" s="14" t="str">
        <f>[1]MiscBanners!$K$4</f>
        <v>NULL</v>
      </c>
      <c r="BM16" s="66" t="str">
        <f>[1]MiscBanners!$L$4</f>
        <v>Discover even more exclusive offers on your favorite products and unlock the power of smart and savvy gifting.</v>
      </c>
      <c r="BN16" s="14" t="str">
        <f>[1]MiscBanners!$M$4</f>
        <v>Shop now</v>
      </c>
      <c r="BO16" s="14" t="str">
        <f>[1]MiscBanners!$N$4</f>
        <v>https://www.samsung.com/us/gift-ideas/</v>
      </c>
      <c r="BP16" s="14" t="str">
        <f>[1]MiscBanners!$U$4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BQ16" s="14" t="str">
        <f>[1]MiscBanners!$P$4</f>
        <v>NULL</v>
      </c>
      <c r="BR16" s="14" t="str">
        <f>[1]MiscBanners!$Q$4</f>
        <v>NULL</v>
      </c>
      <c r="BS16" s="14" t="str">
        <f>[1]MiscBanners!$R$4</f>
        <v>NULL</v>
      </c>
      <c r="BT16" s="45" t="s">
        <v>354</v>
      </c>
      <c r="BX16" s="66"/>
      <c r="CE16" s="45" t="s">
        <v>376</v>
      </c>
      <c r="CF16" s="14" t="s">
        <v>122</v>
      </c>
      <c r="CG16" s="14" t="s">
        <v>122</v>
      </c>
      <c r="CH16" s="14" t="s">
        <v>122</v>
      </c>
      <c r="CI16" s="66" t="s">
        <v>366</v>
      </c>
      <c r="CJ16" s="14" t="s">
        <v>122</v>
      </c>
      <c r="CK16" s="14" t="s">
        <v>367</v>
      </c>
      <c r="CL16" s="14">
        <v>0</v>
      </c>
      <c r="CM16" s="14" t="s">
        <v>122</v>
      </c>
      <c r="CN16" s="14" t="s">
        <v>122</v>
      </c>
      <c r="CO16" s="14" t="s">
        <v>122</v>
      </c>
      <c r="CP16" s="45" t="s">
        <v>356</v>
      </c>
      <c r="CQ16" s="14" t="s">
        <v>122</v>
      </c>
      <c r="CR16" s="14" t="s">
        <v>122</v>
      </c>
      <c r="CS16" s="14" t="s">
        <v>122</v>
      </c>
      <c r="CT16" s="66" t="s">
        <v>368</v>
      </c>
      <c r="CU16" s="14" t="s">
        <v>122</v>
      </c>
      <c r="CV16" s="14" t="s">
        <v>367</v>
      </c>
      <c r="CW16" s="14">
        <v>0</v>
      </c>
      <c r="CX16" s="14" t="s">
        <v>122</v>
      </c>
      <c r="CY16" s="14" t="s">
        <v>122</v>
      </c>
      <c r="CZ16" s="14" t="s">
        <v>122</v>
      </c>
      <c r="DA16" s="45" t="s">
        <v>357</v>
      </c>
      <c r="DB16" s="14" t="s">
        <v>122</v>
      </c>
      <c r="DC16" s="14" t="s">
        <v>122</v>
      </c>
      <c r="DD16" s="14" t="s">
        <v>122</v>
      </c>
      <c r="DE16" s="66" t="s">
        <v>383</v>
      </c>
      <c r="DF16" s="14" t="s">
        <v>122</v>
      </c>
      <c r="DG16" s="14">
        <v>0</v>
      </c>
      <c r="DH16" s="14">
        <v>0</v>
      </c>
      <c r="DI16" s="14" t="s">
        <v>122</v>
      </c>
      <c r="DJ16" s="14" t="s">
        <v>122</v>
      </c>
      <c r="DK16" s="14" t="s">
        <v>122</v>
      </c>
      <c r="DL16" s="45"/>
      <c r="DP16" s="66"/>
    </row>
    <row r="17" spans="1:126" s="14" customFormat="1" ht="80.25" customHeight="1" x14ac:dyDescent="0.25">
      <c r="A17" s="67" t="s">
        <v>369</v>
      </c>
      <c r="B17" s="14" t="s">
        <v>388</v>
      </c>
      <c r="C17" s="14" t="s">
        <v>390</v>
      </c>
      <c r="D17" s="14" t="str">
        <f>'[1]Dynamic Banners'!$M$7</f>
        <v xml:space="preserve">Cyber Monday may be over, but shop and save all Cyber Week long. </v>
      </c>
      <c r="E17" s="14" t="str">
        <f>'[1]Dynamic Banners'!$M$7</f>
        <v xml:space="preserve">Cyber Monday may be over, but shop and save all Cyber Week long. </v>
      </c>
      <c r="F17" s="14" t="str">
        <f>[1]MiscBanners!$B$4</f>
        <v>https://www.samsung.com/us/shop/all-deals/</v>
      </c>
      <c r="G17"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H17" s="23" t="s">
        <v>191</v>
      </c>
      <c r="I17" s="83" t="s">
        <v>379</v>
      </c>
      <c r="J17" s="23" t="str">
        <f>[1]MiscBanners!$B$4</f>
        <v>https://www.samsung.com/us/shop/all-deals/</v>
      </c>
      <c r="K17"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L17" s="45" t="s">
        <v>375</v>
      </c>
      <c r="M17" s="23" t="str">
        <f>[1]CCModuleCopy!$D$9</f>
        <v>NULL</v>
      </c>
      <c r="N17" s="23" t="str">
        <f>[1]CCModuleCopy!$E$9</f>
        <v xml:space="preserve">Complete your domestic oasis or prepare for holiday festivities, and even the clean up that comes after, today. 
Get an additional 10% off when you buy 4 or more eligible kitchen appliances. Save even more with early Black Friday prices for select categories.α 
Plus, buy and try a Jet Stick Cordless Vacuum with our new 100-day, risk-free trial. </v>
      </c>
      <c r="O17" s="14" t="str">
        <f>[1]CCModuleCopy!$L$9</f>
        <v>Shop all</v>
      </c>
      <c r="P17" s="23" t="str">
        <f>[1]CCModuleCopy!$M$9</f>
        <v>https://www.samsung.com/us/shop/all-deals/home-appliance-and-smart-home-sales/</v>
      </c>
      <c r="Q17" s="14" t="str">
        <f>[1]CCModuleCopy!$N$9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R17" s="45" t="s">
        <v>391</v>
      </c>
      <c r="S17" s="14" t="str">
        <f>[1]CCModuleCopy!$C$5</f>
        <v>Save up to $1000 instantly on the latest and greatest Galaxy smartphones</v>
      </c>
      <c r="T17" s="23" t="str">
        <f>[1]CCModuleCopy!$D$5</f>
        <v>NULL</v>
      </c>
      <c r="U17" s="23" t="str">
        <f>[1]CCModuleCopy!$E$5</f>
        <v>Black Friday prices and trade-in values are in full effect, giving you access to some of our best offers of the year on  Galaxy Note20 5G, S20 FE 5G, Z Fold2 5G and select A series devices.
Plus, get $30 or more instant credit toward accessories with any smartphone purchase to complete your Galaxy Ecosystem.†</v>
      </c>
      <c r="V17" s="14" t="str">
        <f>[1]CCModuleCopy!$L$5</f>
        <v>Shop all</v>
      </c>
      <c r="W17" s="23" t="str">
        <f>[1]CCModuleCopy!$M$5</f>
        <v>https://www.samsung.com/us/shop/all-deals/cell-phone-deals/</v>
      </c>
      <c r="X17" s="14" t="str">
        <f>[1]CCModuleCopy!$N$5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Y17" s="45" t="s">
        <v>371</v>
      </c>
      <c r="Z17" s="14" t="str">
        <f>[1]CCModuleCopy!$C$7</f>
        <v>Get up to $3000 off select 8K, 4K and Lifestyle TVs</v>
      </c>
      <c r="AA17" s="23" t="str">
        <f>[1]CCModuleCopy!$D$7</f>
        <v>NULL</v>
      </c>
      <c r="AB17" s="23" t="str">
        <f>[1]CCModuleCopy!$E$7</f>
        <v xml:space="preserve">Discover the mind-blowing, true-to-live resolution of QLED technology.
Save up to $3000 on 8K TVs, up to $1800 on select 4K TVs, up to $1300 on Lifestyle TVs and up to $400 on select soundbars and more. 
Plus, buy and try select Lifestyle TVs, soundbars and The Premiere Projector with our new 100-day, risk-free trial. </v>
      </c>
      <c r="AC17" s="14" t="str">
        <f>[1]CCModuleCopy!$L$7</f>
        <v>Shop all</v>
      </c>
      <c r="AD17" s="23" t="str">
        <f>[1]CCModuleCopy!$M$7</f>
        <v>https://www.samsung.com/us/shop/all-deals/tv-and-home-theater-deals/</v>
      </c>
      <c r="AE17" s="14" t="str">
        <f>[1]CCModuleCopy!$N$7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AF17" s="45" t="s">
        <v>372</v>
      </c>
      <c r="AG17" s="14" t="str">
        <f>[1]CCModuleCopy!$C$15</f>
        <v>Save up to $150 on select tablets</v>
      </c>
      <c r="AH17" s="23" t="str">
        <f>[1]CCModuleCopy!$D$15</f>
        <v>NULL</v>
      </c>
      <c r="AI17" s="23" t="str">
        <f>[1]CCModuleCopy!$E$15</f>
        <v xml:space="preserve">Empower how you create, work, learn, game and more with our powerful line of tablets. Shop our offers on great products from the new Galaxy Tab S7+ to the Galaxy Tab S6 Lite. </v>
      </c>
      <c r="AJ17" s="14" t="str">
        <f>[1]CCModuleCopy!$L$15</f>
        <v>Shop all</v>
      </c>
      <c r="AK17" s="23" t="str">
        <f>[1]CCModuleCopy!$M$15</f>
        <v>https://www.samsung.com/us/shop/all-deals/tablets-wearables-cell-phone-accessories-deals/</v>
      </c>
      <c r="AL17" s="66" t="str">
        <f>[1]CCModuleCopy!$N$15</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AM17" s="45" t="s">
        <v>373</v>
      </c>
      <c r="AN17" s="14" t="str">
        <f>[1]CCModuleCopy!$B$11</f>
        <v>ME_HeadImage_Wearables_500xV.jpg</v>
      </c>
      <c r="AO17" s="14" t="str">
        <f>[1]CCModuleCopy!$C$11</f>
        <v>Get up to $100 off select watches and earbuds</v>
      </c>
      <c r="AP17" s="14" t="str">
        <f>[1]CCModuleCopy!$D$11</f>
        <v>NULL</v>
      </c>
      <c r="AQ17" s="14" t="str">
        <f>[1]CCModuleCopy!$E$11</f>
        <v>Shop our exclusive Black Friday offers on Galaxy Watch3 Titanium, Watch3, Buds+ and more, suited for every lifestyle and every holiday shopping budget. 
Plus, now you can flex your fashion muscles with the new Samsung Design Studio. Create a Galaxy Watch as unique as you, today.</v>
      </c>
      <c r="AR17" s="14" t="str">
        <f>[1]CCModuleCopy!$L$11</f>
        <v>Shop all</v>
      </c>
      <c r="AS17" s="14" t="str">
        <f>[1]CCModuleCopy!$M$11</f>
        <v>https://www.samsung.com/us/shop/all-deals/tablets-wearables-cell-phone-accessories-deals/</v>
      </c>
      <c r="AT17" s="14" t="str">
        <f>[1]CCModuleCopy!$N$11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AU17" s="14" t="str">
        <f>[1]CCModuleCopy!$O$11</f>
        <v>NULL</v>
      </c>
      <c r="AV17" s="14" t="str">
        <f>[1]CCModuleCopy!$P$11</f>
        <v>NULL</v>
      </c>
      <c r="AW17" s="14" t="str">
        <f>[1]CCModuleCopy!$Q$11</f>
        <v>NULL</v>
      </c>
      <c r="AX17" s="45" t="s">
        <v>374</v>
      </c>
      <c r="AY17" s="14" t="str">
        <f>[1]CCModuleCopy!$B$13</f>
        <v>CE_HeadImage_Computing_500xV.jpg</v>
      </c>
      <c r="AZ17" s="14" t="str">
        <f>[1]CCModuleCopy!$C$13</f>
        <v>Get up to 60% off memory cards, SSD, monitors and more</v>
      </c>
      <c r="BA17" s="14" t="str">
        <f>[1]CCModuleCopy!$D$13</f>
        <v>NULL</v>
      </c>
      <c r="BB17" s="14" t="str">
        <f>[1]CCModuleCopy!$E$13</f>
        <v xml:space="preserve">Work and game smarter, not harder with these must-have computing offers. Expand the way you play, store and create and get up to 30% off monitors, up to 60% off memory cards, up to 35% off SSD and more. </v>
      </c>
      <c r="BC17" s="14" t="str">
        <f>[1]CCModuleCopy!$L$13</f>
        <v>Shop all</v>
      </c>
      <c r="BD17" s="14" t="str">
        <f>[1]CCModuleCopy!$M$13</f>
        <v>https://www.samsung.com/us/shop/all-deals/laptop-and-computer-deals/</v>
      </c>
      <c r="BE17" s="14" t="str">
        <f>[1]CCModuleCopy!$N$13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BF17" s="14" t="str">
        <f>[1]CCModuleCopy!$O$13</f>
        <v>NULL</v>
      </c>
      <c r="BG17" s="14" t="str">
        <f>[1]CCModuleCopy!$P$13</f>
        <v>NULL</v>
      </c>
      <c r="BH17" s="14" t="str">
        <f>[1]CCModuleCopy!$Q$13</f>
        <v>NULL</v>
      </c>
      <c r="BI17" s="45" t="s">
        <v>353</v>
      </c>
      <c r="BJ17" s="14" t="str">
        <f>[1]MiscBanners!$I$4</f>
        <v>Give-wonder-500xV.jpg</v>
      </c>
      <c r="BK17" s="14" t="str">
        <f>[1]MiscBanners!$J$4</f>
        <v>The gift that keeps on giving</v>
      </c>
      <c r="BL17" s="14" t="str">
        <f>[1]MiscBanners!$K$4</f>
        <v>NULL</v>
      </c>
      <c r="BM17" s="66" t="str">
        <f>[1]MiscBanners!$L$4</f>
        <v>Discover even more exclusive offers on your favorite products and unlock the power of smart and savvy gifting.</v>
      </c>
      <c r="BN17" s="14" t="str">
        <f>[1]MiscBanners!$M$4</f>
        <v>Shop now</v>
      </c>
      <c r="BO17" s="14" t="str">
        <f>[1]MiscBanners!$N$4</f>
        <v>https://www.samsung.com/us/gift-ideas/</v>
      </c>
      <c r="BP17" s="14" t="str">
        <f>[1]MiscBanners!$U$4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BQ17" s="14" t="str">
        <f>[1]MiscBanners!$P$4</f>
        <v>NULL</v>
      </c>
      <c r="BR17" s="14" t="str">
        <f>[1]MiscBanners!$Q$4</f>
        <v>NULL</v>
      </c>
      <c r="BS17" s="14" t="str">
        <f>[1]MiscBanners!$R$4</f>
        <v>NULL</v>
      </c>
      <c r="BT17" s="45" t="s">
        <v>354</v>
      </c>
      <c r="BX17" s="66"/>
      <c r="CE17" s="45" t="s">
        <v>376</v>
      </c>
      <c r="CF17" s="14" t="s">
        <v>122</v>
      </c>
      <c r="CG17" s="14" t="s">
        <v>122</v>
      </c>
      <c r="CH17" s="14" t="s">
        <v>122</v>
      </c>
      <c r="CI17" s="66" t="s">
        <v>366</v>
      </c>
      <c r="CJ17" s="14" t="s">
        <v>122</v>
      </c>
      <c r="CK17" s="14" t="s">
        <v>367</v>
      </c>
      <c r="CL17" s="14">
        <v>0</v>
      </c>
      <c r="CM17" s="14" t="s">
        <v>122</v>
      </c>
      <c r="CN17" s="14" t="s">
        <v>122</v>
      </c>
      <c r="CO17" s="14" t="s">
        <v>122</v>
      </c>
      <c r="CP17" s="45" t="s">
        <v>356</v>
      </c>
      <c r="CQ17" s="14" t="s">
        <v>122</v>
      </c>
      <c r="CR17" s="14" t="s">
        <v>122</v>
      </c>
      <c r="CS17" s="14" t="s">
        <v>122</v>
      </c>
      <c r="CT17" s="66" t="s">
        <v>368</v>
      </c>
      <c r="CU17" s="14" t="s">
        <v>122</v>
      </c>
      <c r="CV17" s="14" t="s">
        <v>367</v>
      </c>
      <c r="CW17" s="14">
        <v>0</v>
      </c>
      <c r="CX17" s="14" t="s">
        <v>122</v>
      </c>
      <c r="CY17" s="14" t="s">
        <v>122</v>
      </c>
      <c r="CZ17" s="14" t="s">
        <v>122</v>
      </c>
      <c r="DA17" s="45" t="s">
        <v>357</v>
      </c>
      <c r="DB17" s="14" t="s">
        <v>122</v>
      </c>
      <c r="DC17" s="14" t="s">
        <v>122</v>
      </c>
      <c r="DD17" s="14" t="s">
        <v>122</v>
      </c>
      <c r="DE17" s="66" t="s">
        <v>383</v>
      </c>
      <c r="DF17" s="14" t="s">
        <v>122</v>
      </c>
      <c r="DG17" s="14">
        <v>0</v>
      </c>
      <c r="DH17" s="14">
        <v>0</v>
      </c>
      <c r="DI17" s="14" t="s">
        <v>122</v>
      </c>
      <c r="DJ17" s="14" t="s">
        <v>122</v>
      </c>
      <c r="DK17" s="14" t="s">
        <v>122</v>
      </c>
      <c r="DL17" s="45"/>
      <c r="DP17" s="66"/>
    </row>
    <row r="18" spans="1:126" s="14" customFormat="1" ht="51.75" customHeight="1" x14ac:dyDescent="0.25">
      <c r="A18" s="67" t="s">
        <v>369</v>
      </c>
      <c r="B18" s="14" t="s">
        <v>344</v>
      </c>
      <c r="C18" s="14" t="s">
        <v>392</v>
      </c>
      <c r="D18" s="14" t="str">
        <f>'[1]Dynamic Banners'!$M$7</f>
        <v xml:space="preserve">Cyber Monday may be over, but shop and save all Cyber Week long. </v>
      </c>
      <c r="E18" s="14" t="str">
        <f>'[1]Dynamic Banners'!$M$7</f>
        <v xml:space="preserve">Cyber Monday may be over, but shop and save all Cyber Week long. </v>
      </c>
      <c r="F18" s="14" t="str">
        <f>[1]MiscBanners!$B$4</f>
        <v>https://www.samsung.com/us/shop/all-deals/</v>
      </c>
      <c r="G18"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H18" s="23" t="s">
        <v>191</v>
      </c>
      <c r="I18" s="83" t="s">
        <v>348</v>
      </c>
      <c r="J18" s="23" t="str">
        <f>[1]MiscBanners!$B$4</f>
        <v>https://www.samsung.com/us/shop/all-deals/</v>
      </c>
      <c r="K18"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L18" s="45" t="s">
        <v>370</v>
      </c>
      <c r="M18" s="23" t="str">
        <f>[1]CCModuleCopy!$D$3</f>
        <v>NULL</v>
      </c>
      <c r="N18" s="23" t="str">
        <f>[1]CCModuleCopy!$E$3</f>
        <v>Black Friday prices and trade-in values are in full effect, giving you access to some of our best offers of the year on  Galaxy Note20 5G, S20 FE 5G, Z Fold2 5G and select A series devices.
Plus, get $50 or more instant credit toward accessories with any smartphone purchase to complete your Galaxy Ecosystem.‡†</v>
      </c>
      <c r="O18" s="14" t="str">
        <f>[1]CCModuleCopy!$F$3</f>
        <v>Shop all</v>
      </c>
      <c r="P18" s="23" t="str">
        <f>[1]CCModuleCopy!$G$3</f>
        <v>https://www.samsung.com/us/shop/all-deals/cell-phone-deals/</v>
      </c>
      <c r="Q18" s="14" t="str">
        <f>[1]CCModuleCopy!$H$3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R18" s="45" t="s">
        <v>371</v>
      </c>
      <c r="S18" s="14" t="str">
        <f>[1]CCModuleCopy!$C$7</f>
        <v>Get up to $3000 off select 8K, 4K and Lifestyle TVs</v>
      </c>
      <c r="T18" s="23" t="str">
        <f>[1]CCModuleCopy!$D$7</f>
        <v>NULL</v>
      </c>
      <c r="U18" s="23" t="str">
        <f>[1]CCModuleCopy!$E$7</f>
        <v xml:space="preserve">Discover the mind-blowing, true-to-live resolution of QLED technology.
Save up to $3000 on 8K TVs, up to $1800 on select 4K TVs, up to $1300 on Lifestyle TVs and up to $400 on select soundbars and more. 
Plus, buy and try select Lifestyle TVs, soundbars and The Premiere Projector with our new 100-day, risk-free trial. </v>
      </c>
      <c r="V18" s="14" t="str">
        <f>[1]CCModuleCopy!$F$7</f>
        <v>Shop all</v>
      </c>
      <c r="W18" s="23" t="str">
        <f>[1]CCModuleCopy!$G$7</f>
        <v>https://www.samsung.com/us/shop/all-deals/tv-and-home-theater-deals/</v>
      </c>
      <c r="X18" s="14" t="str">
        <f>[1]CCModuleCopy!$H$7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Y18" s="45" t="s">
        <v>372</v>
      </c>
      <c r="Z18" s="14" t="str">
        <f>[1]CCModuleCopy!$C$15</f>
        <v>Save up to $150 on select tablets</v>
      </c>
      <c r="AA18" s="23" t="str">
        <f>[1]CCModuleCopy!$D$15</f>
        <v>NULL</v>
      </c>
      <c r="AB18" s="23" t="str">
        <f>[1]CCModuleCopy!$E$15</f>
        <v xml:space="preserve">Empower how you create, work, learn, game and more with our powerful line of tablets. Shop our offers on great products from the new Galaxy Tab S7+ to the Galaxy Tab S6 Lite. </v>
      </c>
      <c r="AC18" s="14" t="str">
        <f>[1]CCModuleCopy!$F$15</f>
        <v>Shop all</v>
      </c>
      <c r="AD18" s="23" t="str">
        <f>[1]CCModuleCopy!$G$15</f>
        <v>https://www.samsung.com/us/shop/all-deals/tablets-wearables-cell-phone-accessories-deals/</v>
      </c>
      <c r="AE18" s="14" t="str">
        <f>[1]CCModuleCopy!$H$15</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AF18" s="45" t="s">
        <v>373</v>
      </c>
      <c r="AG18" s="14" t="str">
        <f>[1]CCModuleCopy!$C$11</f>
        <v>Get up to $100 off select watches and earbuds</v>
      </c>
      <c r="AH18" s="23" t="str">
        <f>[1]CCModuleCopy!$D$11</f>
        <v>NULL</v>
      </c>
      <c r="AI18" s="23" t="str">
        <f>[1]CCModuleCopy!$E$11</f>
        <v>Shop our exclusive Black Friday offers on Galaxy Watch3 Titanium, Watch3, Buds+ and more, suited for every lifestyle and every holiday shopping budget. 
Plus, now you can flex your fashion muscles with the new Samsung Design Studio. Create a Galaxy Watch as unique as you, today.</v>
      </c>
      <c r="AJ18" s="14" t="str">
        <f>[1]CCModuleCopy!$F$11</f>
        <v>Shop all</v>
      </c>
      <c r="AK18" s="23" t="str">
        <f>[1]CCModuleCopy!$G$11</f>
        <v>https://www.samsung.com/us/shop/all-deals/tablets-wearables-cell-phone-accessories-deals/</v>
      </c>
      <c r="AL18" s="66" t="str">
        <f>[1]CCModuleCopy!$H$11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AM18" s="45" t="s">
        <v>374</v>
      </c>
      <c r="AN18" s="14" t="str">
        <f>[1]CCModuleCopy!$B$13</f>
        <v>CE_HeadImage_Computing_500xV.jpg</v>
      </c>
      <c r="AO18" s="14" t="str">
        <f>[1]CCModuleCopy!$C$13</f>
        <v>Get up to 60% off memory cards, SSD, monitors and more</v>
      </c>
      <c r="AP18" s="14" t="str">
        <f>[1]CCModuleCopy!$D$13</f>
        <v>NULL</v>
      </c>
      <c r="AQ18" s="14" t="str">
        <f>[1]CCModuleCopy!$E$13</f>
        <v xml:space="preserve">Work and game smarter, not harder with these must-have computing offers. Expand the way you play, store and create and get up to 30% off monitors, up to 60% off memory cards, up to 35% off SSD and more. </v>
      </c>
      <c r="AR18" s="14" t="str">
        <f>[1]CCModuleCopy!$F$13</f>
        <v>Shop all</v>
      </c>
      <c r="AS18" s="14" t="str">
        <f>[1]CCModuleCopy!$G$13</f>
        <v>https://www.samsung.com/us/shop/all-deals/laptop-and-computer-deals/</v>
      </c>
      <c r="AT18" s="14" t="str">
        <f>[1]CCModuleCopy!$H$13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AU18" s="14" t="str">
        <f>[1]CCModuleCopy!$I$13</f>
        <v>NULL</v>
      </c>
      <c r="AV18" s="14" t="str">
        <f>[1]CCModuleCopy!$J$13</f>
        <v>NULL</v>
      </c>
      <c r="AW18" s="14" t="str">
        <f>[1]CCModuleCopy!$K$13</f>
        <v>NULL</v>
      </c>
      <c r="AX18" s="45" t="s">
        <v>375</v>
      </c>
      <c r="AY18" s="14" t="str">
        <f>[1]CCModuleCopy!$B$9</f>
        <v>HA_HeadImage_Shop_HA_500xV.jpg</v>
      </c>
      <c r="AZ18" s="14" t="str">
        <f>[1]CCModuleCopy!$C$9</f>
        <v>Save up to 50% on everything you need to upgrade your home and home care</v>
      </c>
      <c r="BA18" s="14" t="str">
        <f>[1]CCModuleCopy!$D$9</f>
        <v>NULL</v>
      </c>
      <c r="BB18" s="14" t="str">
        <f>[1]CCModuleCopy!$E$9</f>
        <v xml:space="preserve">Complete your domestic oasis or prepare for holiday festivities, and even the clean up that comes after, today. 
Get an additional 10% off when you buy 4 or more eligible kitchen appliances. Save even more with early Black Friday prices for select categories.α 
Plus, buy and try a Jet Stick Cordless Vacuum with our new 100-day, risk-free trial. </v>
      </c>
      <c r="BC18" s="14" t="str">
        <f>[1]CCModuleCopy!$F$9</f>
        <v>Shop all</v>
      </c>
      <c r="BD18" s="14" t="str">
        <f>[1]CCModuleCopy!$G$9</f>
        <v>https://www.samsung.com/us/shop/all-deals/home-appliance-and-smart-home-sales/</v>
      </c>
      <c r="BE18" s="14" t="str">
        <f>[1]CCModuleCopy!$H$9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BF18" s="14" t="str">
        <f>[1]CCModuleCopy!$I$9</f>
        <v>NULL</v>
      </c>
      <c r="BG18" s="14" t="str">
        <f>[1]CCModuleCopy!$J$9</f>
        <v>NULL</v>
      </c>
      <c r="BH18" s="14" t="str">
        <f>[1]CCModuleCopy!$K$9</f>
        <v>NULL</v>
      </c>
      <c r="BI18" s="45" t="s">
        <v>353</v>
      </c>
      <c r="BJ18" s="14" t="str">
        <f>[1]MiscBanners!$I$4</f>
        <v>Give-wonder-500xV.jpg</v>
      </c>
      <c r="BK18" s="14" t="str">
        <f>[1]MiscBanners!$J$4</f>
        <v>The gift that keeps on giving</v>
      </c>
      <c r="BL18" s="14" t="str">
        <f>[1]MiscBanners!$K$4</f>
        <v>NULL</v>
      </c>
      <c r="BM18" s="66" t="str">
        <f>[1]MiscBanners!$L$4</f>
        <v>Discover even more exclusive offers on your favorite products and unlock the power of smart and savvy gifting.</v>
      </c>
      <c r="BN18" s="14" t="str">
        <f>[1]MiscBanners!$M$4</f>
        <v>Shop now</v>
      </c>
      <c r="BO18" s="14" t="str">
        <f>[1]MiscBanners!$N$4</f>
        <v>https://www.samsung.com/us/gift-ideas/</v>
      </c>
      <c r="BP18" s="14" t="str">
        <f>[1]MiscBanners!$O$4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BQ18" s="14" t="str">
        <f>[1]MiscBanners!$P$4</f>
        <v>NULL</v>
      </c>
      <c r="BR18" s="14" t="str">
        <f>[1]MiscBanners!$Q$4</f>
        <v>NULL</v>
      </c>
      <c r="BS18" s="14" t="str">
        <f>[1]MiscBanners!$R$4</f>
        <v>NULL</v>
      </c>
      <c r="BT18" s="45" t="s">
        <v>354</v>
      </c>
      <c r="BX18" s="66"/>
      <c r="CE18" s="45" t="s">
        <v>376</v>
      </c>
      <c r="CF18" s="14" t="s">
        <v>122</v>
      </c>
      <c r="CG18" s="14" t="s">
        <v>122</v>
      </c>
      <c r="CH18" s="14" t="s">
        <v>122</v>
      </c>
      <c r="CI18" s="66" t="s">
        <v>366</v>
      </c>
      <c r="CJ18" s="14" t="s">
        <v>122</v>
      </c>
      <c r="CK18" s="14" t="s">
        <v>367</v>
      </c>
      <c r="CL18" s="14">
        <v>0</v>
      </c>
      <c r="CM18" s="14" t="s">
        <v>122</v>
      </c>
      <c r="CN18" s="14" t="s">
        <v>122</v>
      </c>
      <c r="CO18" s="14" t="s">
        <v>122</v>
      </c>
      <c r="CP18" s="45" t="s">
        <v>356</v>
      </c>
      <c r="CQ18" s="14" t="s">
        <v>122</v>
      </c>
      <c r="CR18" s="14" t="s">
        <v>122</v>
      </c>
      <c r="CS18" s="14" t="s">
        <v>122</v>
      </c>
      <c r="CT18" s="66" t="s">
        <v>368</v>
      </c>
      <c r="CU18" s="14" t="s">
        <v>122</v>
      </c>
      <c r="CV18" s="14" t="s">
        <v>367</v>
      </c>
      <c r="CW18" s="14">
        <v>0</v>
      </c>
      <c r="CX18" s="14" t="s">
        <v>122</v>
      </c>
      <c r="CY18" s="14" t="s">
        <v>122</v>
      </c>
      <c r="CZ18" s="14" t="s">
        <v>122</v>
      </c>
      <c r="DA18" s="45" t="s">
        <v>357</v>
      </c>
      <c r="DB18" s="14" t="s">
        <v>122</v>
      </c>
      <c r="DC18" s="14" t="s">
        <v>122</v>
      </c>
      <c r="DD18" s="14" t="s">
        <v>122</v>
      </c>
      <c r="DE18" s="66" t="s">
        <v>382</v>
      </c>
      <c r="DF18" s="14" t="s">
        <v>122</v>
      </c>
      <c r="DG18" s="14" t="s">
        <v>367</v>
      </c>
      <c r="DH18" s="14">
        <v>0</v>
      </c>
      <c r="DI18" s="14" t="s">
        <v>122</v>
      </c>
      <c r="DJ18" s="14" t="s">
        <v>122</v>
      </c>
      <c r="DK18" s="14" t="s">
        <v>122</v>
      </c>
      <c r="DL18" s="45" t="s">
        <v>358</v>
      </c>
      <c r="DM18" s="14" t="s">
        <v>122</v>
      </c>
      <c r="DN18" s="14" t="s">
        <v>122</v>
      </c>
      <c r="DO18" s="14" t="s">
        <v>122</v>
      </c>
      <c r="DP18" s="66" t="s">
        <v>383</v>
      </c>
      <c r="DQ18" s="14" t="s">
        <v>122</v>
      </c>
      <c r="DR18" s="14">
        <v>0</v>
      </c>
      <c r="DS18" s="14">
        <v>0</v>
      </c>
      <c r="DT18" s="14" t="s">
        <v>122</v>
      </c>
      <c r="DU18" s="14" t="s">
        <v>122</v>
      </c>
      <c r="DV18" s="14" t="s">
        <v>122</v>
      </c>
    </row>
    <row r="19" spans="1:126" s="14" customFormat="1" ht="84.75" customHeight="1" x14ac:dyDescent="0.25">
      <c r="A19" s="67" t="s">
        <v>369</v>
      </c>
      <c r="B19" s="14" t="s">
        <v>377</v>
      </c>
      <c r="C19" s="14" t="s">
        <v>392</v>
      </c>
      <c r="D19" s="14" t="str">
        <f>'[1]Dynamic Banners'!$M$7</f>
        <v xml:space="preserve">Cyber Monday may be over, but shop and save all Cyber Week long. </v>
      </c>
      <c r="E19" s="14" t="str">
        <f>'[1]Dynamic Banners'!$M$7</f>
        <v xml:space="preserve">Cyber Monday may be over, but shop and save all Cyber Week long. </v>
      </c>
      <c r="F19" s="14" t="str">
        <f>[1]MiscBanners!$B$4</f>
        <v>https://www.samsung.com/us/shop/all-deals/</v>
      </c>
      <c r="G19"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H19" s="23" t="s">
        <v>191</v>
      </c>
      <c r="I19" s="83" t="s">
        <v>379</v>
      </c>
      <c r="J19" s="23" t="str">
        <f>[1]MiscBanners!$B$4</f>
        <v>https://www.samsung.com/us/shop/all-deals/</v>
      </c>
      <c r="K19"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L19" s="45" t="s">
        <v>371</v>
      </c>
      <c r="M19" s="23" t="str">
        <f>[1]CCModuleCopy!$D$7</f>
        <v>NULL</v>
      </c>
      <c r="N19" s="23" t="str">
        <f>[1]CCModuleCopy!$E$7</f>
        <v xml:space="preserve">Discover the mind-blowing, true-to-live resolution of QLED technology.
Save up to $3000 on 8K TVs, up to $1800 on select 4K TVs, up to $1300 on Lifestyle TVs and up to $400 on select soundbars and more. 
Plus, buy and try select Lifestyle TVs, soundbars and The Premiere Projector with our new 100-day, risk-free trial. </v>
      </c>
      <c r="O19" s="14" t="str">
        <f>[1]CCModuleCopy!$F$7</f>
        <v>Shop all</v>
      </c>
      <c r="P19" s="23" t="str">
        <f>[1]CCModuleCopy!$G$7</f>
        <v>https://www.samsung.com/us/shop/all-deals/tv-and-home-theater-deals/</v>
      </c>
      <c r="Q19" s="14" t="str">
        <f>[1]CCModuleCopy!$H$7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R19" s="45" t="s">
        <v>370</v>
      </c>
      <c r="S19" s="14" t="str">
        <f>[1]CCModuleCopy!$C$3</f>
        <v>Save up to $1000 instantly on the latest and greatest Galaxy smartphones</v>
      </c>
      <c r="T19" s="23" t="str">
        <f>[1]CCModuleCopy!$D$3</f>
        <v>NULL</v>
      </c>
      <c r="U19" s="23" t="str">
        <f>[1]CCModuleCopy!$E$3</f>
        <v>Black Friday prices and trade-in values are in full effect, giving you access to some of our best offers of the year on  Galaxy Note20 5G, S20 FE 5G, Z Fold2 5G and select A series devices.
Plus, get $50 or more instant credit toward accessories with any smartphone purchase to complete your Galaxy Ecosystem.‡†</v>
      </c>
      <c r="V19" s="14" t="str">
        <f>[1]CCModuleCopy!$F$3</f>
        <v>Shop all</v>
      </c>
      <c r="W19" s="23" t="str">
        <f>[1]CCModuleCopy!$G$3</f>
        <v>https://www.samsung.com/us/shop/all-deals/cell-phone-deals/</v>
      </c>
      <c r="X19" s="14" t="str">
        <f>[1]CCModuleCopy!$H$3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Y19" s="45" t="s">
        <v>372</v>
      </c>
      <c r="Z19" s="14" t="str">
        <f>[1]CCModuleCopy!$C$15</f>
        <v>Save up to $150 on select tablets</v>
      </c>
      <c r="AA19" s="23" t="str">
        <f>[1]CCModuleCopy!$D$15</f>
        <v>NULL</v>
      </c>
      <c r="AB19" s="23" t="str">
        <f>[1]CCModuleCopy!$E$15</f>
        <v xml:space="preserve">Empower how you create, work, learn, game and more with our powerful line of tablets. Shop our offers on great products from the new Galaxy Tab S7+ to the Galaxy Tab S6 Lite. </v>
      </c>
      <c r="AC19" s="14" t="str">
        <f>[1]CCModuleCopy!$F$15</f>
        <v>Shop all</v>
      </c>
      <c r="AD19" s="23" t="str">
        <f>[1]CCModuleCopy!$G$15</f>
        <v>https://www.samsung.com/us/shop/all-deals/tablets-wearables-cell-phone-accessories-deals/</v>
      </c>
      <c r="AE19" s="14" t="str">
        <f>[1]CCModuleCopy!$H$15</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AF19" s="45" t="s">
        <v>373</v>
      </c>
      <c r="AG19" s="14" t="str">
        <f>[1]CCModuleCopy!$C$11</f>
        <v>Get up to $100 off select watches and earbuds</v>
      </c>
      <c r="AH19" s="23" t="str">
        <f>[1]CCModuleCopy!$D$11</f>
        <v>NULL</v>
      </c>
      <c r="AI19" s="23" t="str">
        <f>[1]CCModuleCopy!$E$11</f>
        <v>Shop our exclusive Black Friday offers on Galaxy Watch3 Titanium, Watch3, Buds+ and more, suited for every lifestyle and every holiday shopping budget. 
Plus, now you can flex your fashion muscles with the new Samsung Design Studio. Create a Galaxy Watch as unique as you, today.</v>
      </c>
      <c r="AJ19" s="14" t="str">
        <f>[1]CCModuleCopy!$F$11</f>
        <v>Shop all</v>
      </c>
      <c r="AK19" s="23" t="str">
        <f>[1]CCModuleCopy!$G$11</f>
        <v>https://www.samsung.com/us/shop/all-deals/tablets-wearables-cell-phone-accessories-deals/</v>
      </c>
      <c r="AL19" s="66" t="str">
        <f>[1]CCModuleCopy!$H$11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AM19" s="45" t="s">
        <v>374</v>
      </c>
      <c r="AN19" s="14" t="str">
        <f>[1]CCModuleCopy!$B$13</f>
        <v>CE_HeadImage_Computing_500xV.jpg</v>
      </c>
      <c r="AO19" s="14" t="str">
        <f>[1]CCModuleCopy!$C$13</f>
        <v>Get up to 60% off memory cards, SSD, monitors and more</v>
      </c>
      <c r="AP19" s="14" t="str">
        <f>[1]CCModuleCopy!$D$13</f>
        <v>NULL</v>
      </c>
      <c r="AQ19" s="14" t="str">
        <f>[1]CCModuleCopy!$E$13</f>
        <v xml:space="preserve">Work and game smarter, not harder with these must-have computing offers. Expand the way you play, store and create and get up to 30% off monitors, up to 60% off memory cards, up to 35% off SSD and more. </v>
      </c>
      <c r="AR19" s="14" t="str">
        <f>[1]CCModuleCopy!$F$13</f>
        <v>Shop all</v>
      </c>
      <c r="AS19" s="14" t="str">
        <f>[1]CCModuleCopy!$G$13</f>
        <v>https://www.samsung.com/us/shop/all-deals/laptop-and-computer-deals/</v>
      </c>
      <c r="AT19" s="14" t="str">
        <f>[1]CCModuleCopy!$H$13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AU19" s="14" t="str">
        <f>[1]CCModuleCopy!$I$13</f>
        <v>NULL</v>
      </c>
      <c r="AV19" s="14" t="str">
        <f>[1]CCModuleCopy!$J$13</f>
        <v>NULL</v>
      </c>
      <c r="AW19" s="14" t="str">
        <f>[1]CCModuleCopy!$K$13</f>
        <v>NULL</v>
      </c>
      <c r="AX19" s="45" t="s">
        <v>375</v>
      </c>
      <c r="AY19" s="14" t="str">
        <f>[1]CCModuleCopy!$B$9</f>
        <v>HA_HeadImage_Shop_HA_500xV.jpg</v>
      </c>
      <c r="AZ19" s="14" t="str">
        <f>[1]CCModuleCopy!$C$9</f>
        <v>Save up to 50% on everything you need to upgrade your home and home care</v>
      </c>
      <c r="BA19" s="14" t="str">
        <f>[1]CCModuleCopy!$D$9</f>
        <v>NULL</v>
      </c>
      <c r="BB19" s="14" t="str">
        <f>[1]CCModuleCopy!$E$9</f>
        <v xml:space="preserve">Complete your domestic oasis or prepare for holiday festivities, and even the clean up that comes after, today. 
Get an additional 10% off when you buy 4 or more eligible kitchen appliances. Save even more with early Black Friday prices for select categories.α 
Plus, buy and try a Jet Stick Cordless Vacuum with our new 100-day, risk-free trial. </v>
      </c>
      <c r="BC19" s="14" t="str">
        <f>[1]CCModuleCopy!$F$9</f>
        <v>Shop all</v>
      </c>
      <c r="BD19" s="14" t="str">
        <f>[1]CCModuleCopy!$G$9</f>
        <v>https://www.samsung.com/us/shop/all-deals/home-appliance-and-smart-home-sales/</v>
      </c>
      <c r="BE19" s="14" t="str">
        <f>[1]CCModuleCopy!$H$9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BF19" s="14" t="str">
        <f>[1]CCModuleCopy!$I$9</f>
        <v>NULL</v>
      </c>
      <c r="BG19" s="14" t="str">
        <f>[1]CCModuleCopy!$J$9</f>
        <v>NULL</v>
      </c>
      <c r="BH19" s="14" t="str">
        <f>[1]CCModuleCopy!$K$9</f>
        <v>NULL</v>
      </c>
      <c r="BI19" s="45" t="s">
        <v>353</v>
      </c>
      <c r="BJ19" s="14" t="str">
        <f>[1]MiscBanners!$I$4</f>
        <v>Give-wonder-500xV.jpg</v>
      </c>
      <c r="BK19" s="14" t="str">
        <f>[1]MiscBanners!$J$4</f>
        <v>The gift that keeps on giving</v>
      </c>
      <c r="BL19" s="14" t="str">
        <f>[1]MiscBanners!$K$4</f>
        <v>NULL</v>
      </c>
      <c r="BM19" s="66" t="str">
        <f>[1]MiscBanners!$L$4</f>
        <v>Discover even more exclusive offers on your favorite products and unlock the power of smart and savvy gifting.</v>
      </c>
      <c r="BN19" s="14" t="str">
        <f>[1]MiscBanners!$M$4</f>
        <v>Shop now</v>
      </c>
      <c r="BO19" s="14" t="str">
        <f>[1]MiscBanners!$N$4</f>
        <v>https://www.samsung.com/us/gift-ideas/</v>
      </c>
      <c r="BP19" s="14" t="str">
        <f>[1]MiscBanners!$O$4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BQ19" s="14" t="str">
        <f>[1]MiscBanners!$P$4</f>
        <v>NULL</v>
      </c>
      <c r="BR19" s="14" t="str">
        <f>[1]MiscBanners!$Q$4</f>
        <v>NULL</v>
      </c>
      <c r="BS19" s="14" t="str">
        <f>[1]MiscBanners!$R$4</f>
        <v>NULL</v>
      </c>
      <c r="BT19" s="45" t="s">
        <v>354</v>
      </c>
      <c r="BX19" s="66"/>
      <c r="CE19" s="45" t="s">
        <v>376</v>
      </c>
      <c r="CF19" s="14" t="s">
        <v>122</v>
      </c>
      <c r="CG19" s="14" t="s">
        <v>122</v>
      </c>
      <c r="CH19" s="14" t="s">
        <v>122</v>
      </c>
      <c r="CI19" s="66" t="s">
        <v>366</v>
      </c>
      <c r="CJ19" s="14" t="s">
        <v>122</v>
      </c>
      <c r="CK19" s="14" t="s">
        <v>367</v>
      </c>
      <c r="CL19" s="14">
        <v>0</v>
      </c>
      <c r="CM19" s="14" t="s">
        <v>122</v>
      </c>
      <c r="CN19" s="14" t="s">
        <v>122</v>
      </c>
      <c r="CO19" s="14" t="s">
        <v>122</v>
      </c>
      <c r="CP19" s="45" t="s">
        <v>356</v>
      </c>
      <c r="CQ19" s="14" t="s">
        <v>122</v>
      </c>
      <c r="CR19" s="14" t="s">
        <v>122</v>
      </c>
      <c r="CS19" s="14" t="s">
        <v>122</v>
      </c>
      <c r="CT19" s="66" t="s">
        <v>368</v>
      </c>
      <c r="CU19" s="14" t="s">
        <v>122</v>
      </c>
      <c r="CV19" s="14" t="s">
        <v>367</v>
      </c>
      <c r="CW19" s="14">
        <v>0</v>
      </c>
      <c r="CX19" s="14" t="s">
        <v>122</v>
      </c>
      <c r="CY19" s="14" t="s">
        <v>122</v>
      </c>
      <c r="CZ19" s="14" t="s">
        <v>122</v>
      </c>
      <c r="DA19" s="45" t="s">
        <v>357</v>
      </c>
      <c r="DB19" s="14" t="s">
        <v>122</v>
      </c>
      <c r="DC19" s="14" t="s">
        <v>122</v>
      </c>
      <c r="DD19" s="14" t="s">
        <v>122</v>
      </c>
      <c r="DE19" s="66" t="s">
        <v>382</v>
      </c>
      <c r="DF19" s="14" t="s">
        <v>122</v>
      </c>
      <c r="DG19" s="14" t="s">
        <v>367</v>
      </c>
      <c r="DH19" s="14">
        <v>0</v>
      </c>
      <c r="DI19" s="14" t="s">
        <v>122</v>
      </c>
      <c r="DJ19" s="14" t="s">
        <v>122</v>
      </c>
      <c r="DK19" s="14" t="s">
        <v>122</v>
      </c>
      <c r="DL19" s="45" t="s">
        <v>358</v>
      </c>
      <c r="DM19" s="14" t="s">
        <v>122</v>
      </c>
      <c r="DN19" s="14" t="s">
        <v>122</v>
      </c>
      <c r="DO19" s="14" t="s">
        <v>122</v>
      </c>
      <c r="DP19" s="66" t="s">
        <v>383</v>
      </c>
      <c r="DQ19" s="14" t="s">
        <v>122</v>
      </c>
      <c r="DR19" s="14">
        <v>0</v>
      </c>
      <c r="DS19" s="14">
        <v>0</v>
      </c>
      <c r="DT19" s="14" t="s">
        <v>122</v>
      </c>
      <c r="DU19" s="14" t="s">
        <v>122</v>
      </c>
      <c r="DV19" s="14" t="s">
        <v>122</v>
      </c>
    </row>
    <row r="20" spans="1:126" s="14" customFormat="1" ht="98.25" customHeight="1" x14ac:dyDescent="0.25">
      <c r="A20" s="67" t="s">
        <v>369</v>
      </c>
      <c r="B20" s="16" t="s">
        <v>380</v>
      </c>
      <c r="C20" s="14" t="s">
        <v>392</v>
      </c>
      <c r="D20" s="14" t="str">
        <f>'[1]Dynamic Banners'!$M$7</f>
        <v xml:space="preserve">Cyber Monday may be over, but shop and save all Cyber Week long. </v>
      </c>
      <c r="E20" s="14" t="str">
        <f>'[1]Dynamic Banners'!$M$7</f>
        <v xml:space="preserve">Cyber Monday may be over, but shop and save all Cyber Week long. </v>
      </c>
      <c r="F20" s="14" t="str">
        <f>[1]MiscBanners!$B$4</f>
        <v>https://www.samsung.com/us/shop/all-deals/</v>
      </c>
      <c r="G20"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H20" s="23" t="s">
        <v>191</v>
      </c>
      <c r="I20" s="83" t="s">
        <v>379</v>
      </c>
      <c r="J20" s="23" t="str">
        <f>[1]MiscBanners!$B$4</f>
        <v>https://www.samsung.com/us/shop/all-deals/</v>
      </c>
      <c r="K20"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L20" s="45" t="s">
        <v>372</v>
      </c>
      <c r="M20" s="23" t="str">
        <f>[1]CCModuleCopy!$D$15</f>
        <v>NULL</v>
      </c>
      <c r="N20" s="23" t="str">
        <f>[1]CCModuleCopy!$E$15</f>
        <v xml:space="preserve">Empower how you create, work, learn, game and more with our powerful line of tablets. Shop our offers on great products from the new Galaxy Tab S7+ to the Galaxy Tab S6 Lite. </v>
      </c>
      <c r="O20" s="14" t="str">
        <f>[1]CCModuleCopy!$F$15</f>
        <v>Shop all</v>
      </c>
      <c r="P20" s="23" t="str">
        <f>[1]CCModuleCopy!$G$15</f>
        <v>https://www.samsung.com/us/shop/all-deals/tablets-wearables-cell-phone-accessories-deals/</v>
      </c>
      <c r="Q20" s="14" t="str">
        <f>[1]CCModuleCopy!$H$15</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R20" s="45" t="s">
        <v>370</v>
      </c>
      <c r="S20" s="14" t="str">
        <f>[1]CCModuleCopy!$C$3</f>
        <v>Save up to $1000 instantly on the latest and greatest Galaxy smartphones</v>
      </c>
      <c r="T20" s="23" t="str">
        <f>[1]CCModuleCopy!$D$3</f>
        <v>NULL</v>
      </c>
      <c r="U20" s="23" t="str">
        <f>[1]CCModuleCopy!$E$3</f>
        <v>Black Friday prices and trade-in values are in full effect, giving you access to some of our best offers of the year on  Galaxy Note20 5G, S20 FE 5G, Z Fold2 5G and select A series devices.
Plus, get $50 or more instant credit toward accessories with any smartphone purchase to complete your Galaxy Ecosystem.‡†</v>
      </c>
      <c r="V20" s="14" t="str">
        <f>[1]CCModuleCopy!$F$3</f>
        <v>Shop all</v>
      </c>
      <c r="W20" s="23" t="str">
        <f>[1]CCModuleCopy!$G$3</f>
        <v>https://www.samsung.com/us/shop/all-deals/cell-phone-deals/</v>
      </c>
      <c r="X20" s="14" t="str">
        <f>[1]CCModuleCopy!$H$3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Y20" s="45" t="s">
        <v>371</v>
      </c>
      <c r="Z20" s="14" t="str">
        <f>[1]CCModuleCopy!$C$7</f>
        <v>Get up to $3000 off select 8K, 4K and Lifestyle TVs</v>
      </c>
      <c r="AA20" s="23" t="str">
        <f>[1]CCModuleCopy!$D$7</f>
        <v>NULL</v>
      </c>
      <c r="AB20" s="23" t="str">
        <f>[1]CCModuleCopy!$E$7</f>
        <v xml:space="preserve">Discover the mind-blowing, true-to-live resolution of QLED technology.
Save up to $3000 on 8K TVs, up to $1800 on select 4K TVs, up to $1300 on Lifestyle TVs and up to $400 on select soundbars and more. 
Plus, buy and try select Lifestyle TVs, soundbars and The Premiere Projector with our new 100-day, risk-free trial. </v>
      </c>
      <c r="AC20" s="14" t="str">
        <f>[1]CCModuleCopy!$F$7</f>
        <v>Shop all</v>
      </c>
      <c r="AD20" s="23" t="str">
        <f>[1]CCModuleCopy!$G$7</f>
        <v>https://www.samsung.com/us/shop/all-deals/tv-and-home-theater-deals/</v>
      </c>
      <c r="AE20" s="14" t="str">
        <f>[1]CCModuleCopy!$H$7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AF20" s="45" t="s">
        <v>373</v>
      </c>
      <c r="AG20" s="14" t="str">
        <f>[1]CCModuleCopy!$C$11</f>
        <v>Get up to $100 off select watches and earbuds</v>
      </c>
      <c r="AH20" s="23" t="str">
        <f>[1]CCModuleCopy!$D$11</f>
        <v>NULL</v>
      </c>
      <c r="AI20" s="23" t="str">
        <f>[1]CCModuleCopy!$E$11</f>
        <v>Shop our exclusive Black Friday offers on Galaxy Watch3 Titanium, Watch3, Buds+ and more, suited for every lifestyle and every holiday shopping budget. 
Plus, now you can flex your fashion muscles with the new Samsung Design Studio. Create a Galaxy Watch as unique as you, today.</v>
      </c>
      <c r="AJ20" s="14" t="str">
        <f>[1]CCModuleCopy!$F$11</f>
        <v>Shop all</v>
      </c>
      <c r="AK20" s="23" t="str">
        <f>[1]CCModuleCopy!$G$11</f>
        <v>https://www.samsung.com/us/shop/all-deals/tablets-wearables-cell-phone-accessories-deals/</v>
      </c>
      <c r="AL20" s="66" t="str">
        <f>[1]CCModuleCopy!$H$11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AM20" s="45" t="s">
        <v>374</v>
      </c>
      <c r="AN20" s="14" t="str">
        <f>[1]CCModuleCopy!$B$13</f>
        <v>CE_HeadImage_Computing_500xV.jpg</v>
      </c>
      <c r="AO20" s="14" t="str">
        <f>[1]CCModuleCopy!$C$13</f>
        <v>Get up to 60% off memory cards, SSD, monitors and more</v>
      </c>
      <c r="AP20" s="14" t="str">
        <f>[1]CCModuleCopy!$D$13</f>
        <v>NULL</v>
      </c>
      <c r="AQ20" s="14" t="str">
        <f>[1]CCModuleCopy!$E$13</f>
        <v xml:space="preserve">Work and game smarter, not harder with these must-have computing offers. Expand the way you play, store and create and get up to 30% off monitors, up to 60% off memory cards, up to 35% off SSD and more. </v>
      </c>
      <c r="AR20" s="14" t="str">
        <f>[1]CCModuleCopy!$F$13</f>
        <v>Shop all</v>
      </c>
      <c r="AS20" s="14" t="str">
        <f>[1]CCModuleCopy!$G$13</f>
        <v>https://www.samsung.com/us/shop/all-deals/laptop-and-computer-deals/</v>
      </c>
      <c r="AT20" s="14" t="str">
        <f>[1]CCModuleCopy!$H$13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AU20" s="14" t="str">
        <f>[1]CCModuleCopy!$I$13</f>
        <v>NULL</v>
      </c>
      <c r="AV20" s="14" t="str">
        <f>[1]CCModuleCopy!$J$13</f>
        <v>NULL</v>
      </c>
      <c r="AW20" s="14" t="str">
        <f>[1]CCModuleCopy!$K$13</f>
        <v>NULL</v>
      </c>
      <c r="AX20" s="45" t="s">
        <v>375</v>
      </c>
      <c r="AY20" s="14" t="str">
        <f>[1]CCModuleCopy!$B$9</f>
        <v>HA_HeadImage_Shop_HA_500xV.jpg</v>
      </c>
      <c r="AZ20" s="14" t="str">
        <f>[1]CCModuleCopy!$C$9</f>
        <v>Save up to 50% on everything you need to upgrade your home and home care</v>
      </c>
      <c r="BA20" s="14" t="str">
        <f>[1]CCModuleCopy!$D$9</f>
        <v>NULL</v>
      </c>
      <c r="BB20" s="14" t="str">
        <f>[1]CCModuleCopy!$E$9</f>
        <v xml:space="preserve">Complete your domestic oasis or prepare for holiday festivities, and even the clean up that comes after, today. 
Get an additional 10% off when you buy 4 or more eligible kitchen appliances. Save even more with early Black Friday prices for select categories.α 
Plus, buy and try a Jet Stick Cordless Vacuum with our new 100-day, risk-free trial. </v>
      </c>
      <c r="BC20" s="14" t="str">
        <f>[1]CCModuleCopy!$F$9</f>
        <v>Shop all</v>
      </c>
      <c r="BD20" s="14" t="str">
        <f>[1]CCModuleCopy!$G$9</f>
        <v>https://www.samsung.com/us/shop/all-deals/home-appliance-and-smart-home-sales/</v>
      </c>
      <c r="BE20" s="14" t="str">
        <f>[1]CCModuleCopy!$H$9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BF20" s="14" t="str">
        <f>[1]CCModuleCopy!$I$9</f>
        <v>NULL</v>
      </c>
      <c r="BG20" s="14" t="str">
        <f>[1]CCModuleCopy!$J$9</f>
        <v>NULL</v>
      </c>
      <c r="BH20" s="14" t="str">
        <f>[1]CCModuleCopy!$K$9</f>
        <v>NULL</v>
      </c>
      <c r="BI20" s="45" t="s">
        <v>353</v>
      </c>
      <c r="BJ20" s="14" t="str">
        <f>[1]MiscBanners!$I$4</f>
        <v>Give-wonder-500xV.jpg</v>
      </c>
      <c r="BK20" s="14" t="str">
        <f>[1]MiscBanners!$J$4</f>
        <v>The gift that keeps on giving</v>
      </c>
      <c r="BL20" s="14" t="str">
        <f>[1]MiscBanners!$K$4</f>
        <v>NULL</v>
      </c>
      <c r="BM20" s="66" t="str">
        <f>[1]MiscBanners!$L$4</f>
        <v>Discover even more exclusive offers on your favorite products and unlock the power of smart and savvy gifting.</v>
      </c>
      <c r="BN20" s="14" t="str">
        <f>[1]MiscBanners!$M$4</f>
        <v>Shop now</v>
      </c>
      <c r="BO20" s="14" t="str">
        <f>[1]MiscBanners!$N$4</f>
        <v>https://www.samsung.com/us/gift-ideas/</v>
      </c>
      <c r="BP20" s="14" t="str">
        <f>[1]MiscBanners!$O$4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BQ20" s="14" t="str">
        <f>[1]MiscBanners!$P$4</f>
        <v>NULL</v>
      </c>
      <c r="BR20" s="14" t="str">
        <f>[1]MiscBanners!$Q$4</f>
        <v>NULL</v>
      </c>
      <c r="BS20" s="14" t="str">
        <f>[1]MiscBanners!$R$4</f>
        <v>NULL</v>
      </c>
      <c r="BT20" s="45" t="s">
        <v>354</v>
      </c>
      <c r="BX20" s="66"/>
      <c r="CE20" s="45" t="s">
        <v>376</v>
      </c>
      <c r="CF20" s="14" t="s">
        <v>122</v>
      </c>
      <c r="CG20" s="14" t="s">
        <v>122</v>
      </c>
      <c r="CH20" s="14" t="s">
        <v>122</v>
      </c>
      <c r="CI20" s="66" t="s">
        <v>366</v>
      </c>
      <c r="CJ20" s="14" t="s">
        <v>122</v>
      </c>
      <c r="CK20" s="14" t="s">
        <v>367</v>
      </c>
      <c r="CL20" s="14">
        <v>0</v>
      </c>
      <c r="CM20" s="14" t="s">
        <v>122</v>
      </c>
      <c r="CN20" s="14" t="s">
        <v>122</v>
      </c>
      <c r="CO20" s="14" t="s">
        <v>122</v>
      </c>
      <c r="CP20" s="45" t="s">
        <v>356</v>
      </c>
      <c r="CQ20" s="14" t="s">
        <v>122</v>
      </c>
      <c r="CR20" s="14" t="s">
        <v>122</v>
      </c>
      <c r="CS20" s="14" t="s">
        <v>122</v>
      </c>
      <c r="CT20" s="66" t="s">
        <v>368</v>
      </c>
      <c r="CU20" s="14" t="s">
        <v>122</v>
      </c>
      <c r="CV20" s="14" t="s">
        <v>367</v>
      </c>
      <c r="CW20" s="14">
        <v>0</v>
      </c>
      <c r="CX20" s="14" t="s">
        <v>122</v>
      </c>
      <c r="CY20" s="14" t="s">
        <v>122</v>
      </c>
      <c r="CZ20" s="14" t="s">
        <v>122</v>
      </c>
      <c r="DA20" s="45" t="s">
        <v>357</v>
      </c>
      <c r="DB20" s="14" t="s">
        <v>122</v>
      </c>
      <c r="DC20" s="14" t="s">
        <v>122</v>
      </c>
      <c r="DD20" s="14" t="s">
        <v>122</v>
      </c>
      <c r="DE20" s="66" t="s">
        <v>382</v>
      </c>
      <c r="DF20" s="14" t="s">
        <v>122</v>
      </c>
      <c r="DG20" s="14" t="s">
        <v>367</v>
      </c>
      <c r="DH20" s="14">
        <v>0</v>
      </c>
      <c r="DI20" s="14" t="s">
        <v>122</v>
      </c>
      <c r="DJ20" s="14" t="s">
        <v>122</v>
      </c>
      <c r="DK20" s="14" t="s">
        <v>122</v>
      </c>
      <c r="DL20" s="45" t="s">
        <v>358</v>
      </c>
      <c r="DM20" s="14" t="s">
        <v>122</v>
      </c>
      <c r="DN20" s="14" t="s">
        <v>122</v>
      </c>
      <c r="DO20" s="14" t="s">
        <v>122</v>
      </c>
      <c r="DP20" s="66" t="s">
        <v>383</v>
      </c>
      <c r="DQ20" s="14" t="s">
        <v>122</v>
      </c>
      <c r="DR20" s="14">
        <v>0</v>
      </c>
      <c r="DS20" s="14">
        <v>0</v>
      </c>
      <c r="DT20" s="14" t="s">
        <v>122</v>
      </c>
      <c r="DU20" s="14" t="s">
        <v>122</v>
      </c>
      <c r="DV20" s="14" t="s">
        <v>122</v>
      </c>
    </row>
    <row r="21" spans="1:126" s="14" customFormat="1" ht="117.75" customHeight="1" x14ac:dyDescent="0.25">
      <c r="A21" s="67" t="s">
        <v>369</v>
      </c>
      <c r="B21" s="14" t="s">
        <v>384</v>
      </c>
      <c r="C21" s="14" t="s">
        <v>392</v>
      </c>
      <c r="D21" s="14" t="str">
        <f>'[1]Dynamic Banners'!$M$7</f>
        <v xml:space="preserve">Cyber Monday may be over, but shop and save all Cyber Week long. </v>
      </c>
      <c r="E21" s="14" t="str">
        <f>'[1]Dynamic Banners'!$M$7</f>
        <v xml:space="preserve">Cyber Monday may be over, but shop and save all Cyber Week long. </v>
      </c>
      <c r="F21" s="14" t="str">
        <f>[1]MiscBanners!$B$4</f>
        <v>https://www.samsung.com/us/shop/all-deals/</v>
      </c>
      <c r="G21"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H21" s="23" t="s">
        <v>191</v>
      </c>
      <c r="I21" s="83" t="s">
        <v>379</v>
      </c>
      <c r="J21" s="23" t="str">
        <f>[1]MiscBanners!$B$4</f>
        <v>https://www.samsung.com/us/shop/all-deals/</v>
      </c>
      <c r="K21"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L21" s="45" t="s">
        <v>373</v>
      </c>
      <c r="M21" s="23" t="str">
        <f>[1]CCModuleCopy!$D$11</f>
        <v>NULL</v>
      </c>
      <c r="N21" s="23" t="str">
        <f>[1]CCModuleCopy!$E$11</f>
        <v>Shop our exclusive Black Friday offers on Galaxy Watch3 Titanium, Watch3, Buds+ and more, suited for every lifestyle and every holiday shopping budget. 
Plus, now you can flex your fashion muscles with the new Samsung Design Studio. Create a Galaxy Watch as unique as you, today.</v>
      </c>
      <c r="O21" s="14" t="str">
        <f>[1]CCModuleCopy!$F$11</f>
        <v>Shop all</v>
      </c>
      <c r="P21" s="23" t="str">
        <f>[1]CCModuleCopy!$G$11</f>
        <v>https://www.samsung.com/us/shop/all-deals/tablets-wearables-cell-phone-accessories-deals/</v>
      </c>
      <c r="Q21" s="14" t="str">
        <f>[1]CCModuleCopy!$H$11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R21" s="45" t="s">
        <v>370</v>
      </c>
      <c r="S21" s="14" t="str">
        <f>[1]CCModuleCopy!$C$3</f>
        <v>Save up to $1000 instantly on the latest and greatest Galaxy smartphones</v>
      </c>
      <c r="T21" s="23" t="str">
        <f>[1]CCModuleCopy!$D$3</f>
        <v>NULL</v>
      </c>
      <c r="U21" s="23" t="str">
        <f>[1]CCModuleCopy!$E$3</f>
        <v>Black Friday prices and trade-in values are in full effect, giving you access to some of our best offers of the year on  Galaxy Note20 5G, S20 FE 5G, Z Fold2 5G and select A series devices.
Plus, get $50 or more instant credit toward accessories with any smartphone purchase to complete your Galaxy Ecosystem.‡†</v>
      </c>
      <c r="V21" s="14" t="str">
        <f>[1]CCModuleCopy!$F$3</f>
        <v>Shop all</v>
      </c>
      <c r="W21" s="23" t="str">
        <f>[1]CCModuleCopy!$G$3</f>
        <v>https://www.samsung.com/us/shop/all-deals/cell-phone-deals/</v>
      </c>
      <c r="X21" s="14" t="str">
        <f>[1]CCModuleCopy!$H$3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Y21" s="45" t="s">
        <v>371</v>
      </c>
      <c r="Z21" s="14" t="str">
        <f>[1]CCModuleCopy!$C$7</f>
        <v>Get up to $3000 off select 8K, 4K and Lifestyle TVs</v>
      </c>
      <c r="AA21" s="23" t="str">
        <f>[1]CCModuleCopy!$D$7</f>
        <v>NULL</v>
      </c>
      <c r="AB21" s="23" t="str">
        <f>[1]CCModuleCopy!$E$7</f>
        <v xml:space="preserve">Discover the mind-blowing, true-to-live resolution of QLED technology.
Save up to $3000 on 8K TVs, up to $1800 on select 4K TVs, up to $1300 on Lifestyle TVs and up to $400 on select soundbars and more. 
Plus, buy and try select Lifestyle TVs, soundbars and The Premiere Projector with our new 100-day, risk-free trial. </v>
      </c>
      <c r="AC21" s="14" t="str">
        <f>[1]CCModuleCopy!$F$7</f>
        <v>Shop all</v>
      </c>
      <c r="AD21" s="23" t="str">
        <f>[1]CCModuleCopy!$G$7</f>
        <v>https://www.samsung.com/us/shop/all-deals/tv-and-home-theater-deals/</v>
      </c>
      <c r="AE21" s="14" t="str">
        <f>[1]CCModuleCopy!$H$7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AF21" s="45" t="s">
        <v>372</v>
      </c>
      <c r="AG21" s="14" t="str">
        <f>[1]CCModuleCopy!$C$15</f>
        <v>Save up to $150 on select tablets</v>
      </c>
      <c r="AH21" s="23" t="str">
        <f>[1]CCModuleCopy!$D$15</f>
        <v>NULL</v>
      </c>
      <c r="AI21" s="23" t="str">
        <f>[1]CCModuleCopy!$E$15</f>
        <v xml:space="preserve">Empower how you create, work, learn, game and more with our powerful line of tablets. Shop our offers on great products from the new Galaxy Tab S7+ to the Galaxy Tab S6 Lite. </v>
      </c>
      <c r="AJ21" s="14" t="str">
        <f>[1]CCModuleCopy!$F$15</f>
        <v>Shop all</v>
      </c>
      <c r="AK21" s="23" t="str">
        <f>[1]CCModuleCopy!$G$15</f>
        <v>https://www.samsung.com/us/shop/all-deals/tablets-wearables-cell-phone-accessories-deals/</v>
      </c>
      <c r="AL21" s="66" t="str">
        <f>[1]CCModuleCopy!$H$15</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AM21" s="45" t="s">
        <v>374</v>
      </c>
      <c r="AN21" s="14" t="str">
        <f>[1]CCModuleCopy!$B$13</f>
        <v>CE_HeadImage_Computing_500xV.jpg</v>
      </c>
      <c r="AO21" s="14" t="str">
        <f>[1]CCModuleCopy!$C$13</f>
        <v>Get up to 60% off memory cards, SSD, monitors and more</v>
      </c>
      <c r="AP21" s="14" t="str">
        <f>[1]CCModuleCopy!$D$13</f>
        <v>NULL</v>
      </c>
      <c r="AQ21" s="14" t="str">
        <f>[1]CCModuleCopy!$E$13</f>
        <v xml:space="preserve">Work and game smarter, not harder with these must-have computing offers. Expand the way you play, store and create and get up to 30% off monitors, up to 60% off memory cards, up to 35% off SSD and more. </v>
      </c>
      <c r="AR21" s="14" t="str">
        <f>[1]CCModuleCopy!$F$13</f>
        <v>Shop all</v>
      </c>
      <c r="AS21" s="14" t="str">
        <f>[1]CCModuleCopy!$G$13</f>
        <v>https://www.samsung.com/us/shop/all-deals/laptop-and-computer-deals/</v>
      </c>
      <c r="AT21" s="14" t="str">
        <f>[1]CCModuleCopy!$H$13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AU21" s="14" t="str">
        <f>[1]CCModuleCopy!$I$13</f>
        <v>NULL</v>
      </c>
      <c r="AV21" s="14" t="str">
        <f>[1]CCModuleCopy!$J$13</f>
        <v>NULL</v>
      </c>
      <c r="AW21" s="14" t="str">
        <f>[1]CCModuleCopy!$K$13</f>
        <v>NULL</v>
      </c>
      <c r="AX21" s="45" t="s">
        <v>375</v>
      </c>
      <c r="AY21" s="14" t="str">
        <f>[1]CCModuleCopy!$B$9</f>
        <v>HA_HeadImage_Shop_HA_500xV.jpg</v>
      </c>
      <c r="AZ21" s="14" t="str">
        <f>[1]CCModuleCopy!$C$9</f>
        <v>Save up to 50% on everything you need to upgrade your home and home care</v>
      </c>
      <c r="BA21" s="14" t="str">
        <f>[1]CCModuleCopy!$D$9</f>
        <v>NULL</v>
      </c>
      <c r="BB21" s="14" t="str">
        <f>[1]CCModuleCopy!$E$9</f>
        <v xml:space="preserve">Complete your domestic oasis or prepare for holiday festivities, and even the clean up that comes after, today. 
Get an additional 10% off when you buy 4 or more eligible kitchen appliances. Save even more with early Black Friday prices for select categories.α 
Plus, buy and try a Jet Stick Cordless Vacuum with our new 100-day, risk-free trial. </v>
      </c>
      <c r="BC21" s="14" t="str">
        <f>[1]CCModuleCopy!$F$9</f>
        <v>Shop all</v>
      </c>
      <c r="BD21" s="14" t="str">
        <f>[1]CCModuleCopy!$G$9</f>
        <v>https://www.samsung.com/us/shop/all-deals/home-appliance-and-smart-home-sales/</v>
      </c>
      <c r="BE21" s="14" t="str">
        <f>[1]CCModuleCopy!$H$9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BF21" s="14" t="str">
        <f>[1]CCModuleCopy!$I$9</f>
        <v>NULL</v>
      </c>
      <c r="BG21" s="14" t="str">
        <f>[1]CCModuleCopy!$J$9</f>
        <v>NULL</v>
      </c>
      <c r="BH21" s="14" t="str">
        <f>[1]CCModuleCopy!$K$9</f>
        <v>NULL</v>
      </c>
      <c r="BI21" s="45" t="s">
        <v>353</v>
      </c>
      <c r="BJ21" s="14" t="str">
        <f>[1]MiscBanners!$I$4</f>
        <v>Give-wonder-500xV.jpg</v>
      </c>
      <c r="BK21" s="14" t="str">
        <f>[1]MiscBanners!$J$4</f>
        <v>The gift that keeps on giving</v>
      </c>
      <c r="BL21" s="14" t="str">
        <f>[1]MiscBanners!$K$4</f>
        <v>NULL</v>
      </c>
      <c r="BM21" s="66" t="str">
        <f>[1]MiscBanners!$L$4</f>
        <v>Discover even more exclusive offers on your favorite products and unlock the power of smart and savvy gifting.</v>
      </c>
      <c r="BN21" s="14" t="str">
        <f>[1]MiscBanners!$M$4</f>
        <v>Shop now</v>
      </c>
      <c r="BO21" s="14" t="str">
        <f>[1]MiscBanners!$N$4</f>
        <v>https://www.samsung.com/us/gift-ideas/</v>
      </c>
      <c r="BP21" s="14" t="str">
        <f>[1]MiscBanners!$O$4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BQ21" s="14" t="str">
        <f>[1]MiscBanners!$P$4</f>
        <v>NULL</v>
      </c>
      <c r="BR21" s="14" t="str">
        <f>[1]MiscBanners!$Q$4</f>
        <v>NULL</v>
      </c>
      <c r="BS21" s="14" t="str">
        <f>[1]MiscBanners!$R$4</f>
        <v>NULL</v>
      </c>
      <c r="BT21" s="45" t="s">
        <v>354</v>
      </c>
      <c r="BX21" s="66"/>
      <c r="CE21" s="45" t="s">
        <v>376</v>
      </c>
      <c r="CF21" s="14" t="s">
        <v>122</v>
      </c>
      <c r="CG21" s="14" t="s">
        <v>122</v>
      </c>
      <c r="CH21" s="14" t="s">
        <v>122</v>
      </c>
      <c r="CI21" s="66" t="s">
        <v>366</v>
      </c>
      <c r="CJ21" s="14" t="s">
        <v>122</v>
      </c>
      <c r="CK21" s="14" t="s">
        <v>367</v>
      </c>
      <c r="CL21" s="14">
        <v>0</v>
      </c>
      <c r="CM21" s="14" t="s">
        <v>122</v>
      </c>
      <c r="CN21" s="14" t="s">
        <v>122</v>
      </c>
      <c r="CO21" s="14" t="s">
        <v>122</v>
      </c>
      <c r="CP21" s="45" t="s">
        <v>356</v>
      </c>
      <c r="CQ21" s="14" t="s">
        <v>122</v>
      </c>
      <c r="CR21" s="14" t="s">
        <v>122</v>
      </c>
      <c r="CS21" s="14" t="s">
        <v>122</v>
      </c>
      <c r="CT21" s="66" t="s">
        <v>368</v>
      </c>
      <c r="CU21" s="14" t="s">
        <v>122</v>
      </c>
      <c r="CV21" s="14" t="s">
        <v>367</v>
      </c>
      <c r="CW21" s="14">
        <v>0</v>
      </c>
      <c r="CX21" s="14" t="s">
        <v>122</v>
      </c>
      <c r="CY21" s="14" t="s">
        <v>122</v>
      </c>
      <c r="CZ21" s="14" t="s">
        <v>122</v>
      </c>
      <c r="DA21" s="45" t="s">
        <v>357</v>
      </c>
      <c r="DB21" s="14" t="s">
        <v>122</v>
      </c>
      <c r="DC21" s="14" t="s">
        <v>122</v>
      </c>
      <c r="DD21" s="14" t="s">
        <v>122</v>
      </c>
      <c r="DE21" s="66" t="s">
        <v>382</v>
      </c>
      <c r="DF21" s="14" t="s">
        <v>122</v>
      </c>
      <c r="DG21" s="14" t="s">
        <v>367</v>
      </c>
      <c r="DH21" s="14">
        <v>0</v>
      </c>
      <c r="DI21" s="14" t="s">
        <v>122</v>
      </c>
      <c r="DJ21" s="14" t="s">
        <v>122</v>
      </c>
      <c r="DK21" s="14" t="s">
        <v>122</v>
      </c>
      <c r="DL21" s="45" t="s">
        <v>358</v>
      </c>
      <c r="DM21" s="14" t="s">
        <v>122</v>
      </c>
      <c r="DN21" s="14" t="s">
        <v>122</v>
      </c>
      <c r="DO21" s="14" t="s">
        <v>122</v>
      </c>
      <c r="DP21" s="66" t="s">
        <v>383</v>
      </c>
      <c r="DQ21" s="14" t="s">
        <v>122</v>
      </c>
      <c r="DR21" s="14">
        <v>0</v>
      </c>
      <c r="DS21" s="14">
        <v>0</v>
      </c>
      <c r="DT21" s="14" t="s">
        <v>122</v>
      </c>
      <c r="DU21" s="14" t="s">
        <v>122</v>
      </c>
      <c r="DV21" s="14" t="s">
        <v>122</v>
      </c>
    </row>
    <row r="22" spans="1:126" s="14" customFormat="1" ht="117.75" customHeight="1" x14ac:dyDescent="0.25">
      <c r="A22" s="67" t="s">
        <v>369</v>
      </c>
      <c r="B22" s="14" t="s">
        <v>386</v>
      </c>
      <c r="C22" s="14" t="s">
        <v>392</v>
      </c>
      <c r="D22" s="14" t="str">
        <f>'[1]Dynamic Banners'!$M$7</f>
        <v xml:space="preserve">Cyber Monday may be over, but shop and save all Cyber Week long. </v>
      </c>
      <c r="E22" s="14" t="str">
        <f>'[1]Dynamic Banners'!$M$7</f>
        <v xml:space="preserve">Cyber Monday may be over, but shop and save all Cyber Week long. </v>
      </c>
      <c r="F22" s="14" t="str">
        <f>[1]MiscBanners!$B$4</f>
        <v>https://www.samsung.com/us/shop/all-deals/</v>
      </c>
      <c r="G22"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H22" s="23" t="s">
        <v>191</v>
      </c>
      <c r="I22" s="83" t="s">
        <v>379</v>
      </c>
      <c r="J22" s="23" t="str">
        <f>[1]MiscBanners!$B$4</f>
        <v>https://www.samsung.com/us/shop/all-deals/</v>
      </c>
      <c r="K22"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L22" s="45" t="s">
        <v>374</v>
      </c>
      <c r="M22" s="23" t="str">
        <f>[1]CCModuleCopy!$D$13</f>
        <v>NULL</v>
      </c>
      <c r="N22" s="23" t="str">
        <f>[1]CCModuleCopy!$E$13</f>
        <v xml:space="preserve">Work and game smarter, not harder with these must-have computing offers. Expand the way you play, store and create and get up to 30% off monitors, up to 60% off memory cards, up to 35% off SSD and more. </v>
      </c>
      <c r="O22" s="14" t="str">
        <f>[1]CCModuleCopy!$F$13</f>
        <v>Shop all</v>
      </c>
      <c r="P22" s="23" t="str">
        <f>[1]CCModuleCopy!$G$13</f>
        <v>https://www.samsung.com/us/shop/all-deals/laptop-and-computer-deals/</v>
      </c>
      <c r="Q22" s="14" t="str">
        <f>[1]CCModuleCopy!$H$13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R22" s="45" t="s">
        <v>370</v>
      </c>
      <c r="S22" s="14" t="str">
        <f>[1]CCModuleCopy!$C$3</f>
        <v>Save up to $1000 instantly on the latest and greatest Galaxy smartphones</v>
      </c>
      <c r="T22" s="23" t="str">
        <f>[1]CCModuleCopy!$D$3</f>
        <v>NULL</v>
      </c>
      <c r="U22" s="23" t="str">
        <f>[1]CCModuleCopy!$E$3</f>
        <v>Black Friday prices and trade-in values are in full effect, giving you access to some of our best offers of the year on  Galaxy Note20 5G, S20 FE 5G, Z Fold2 5G and select A series devices.
Plus, get $50 or more instant credit toward accessories with any smartphone purchase to complete your Galaxy Ecosystem.‡†</v>
      </c>
      <c r="V22" s="14" t="str">
        <f>[1]CCModuleCopy!$F$3</f>
        <v>Shop all</v>
      </c>
      <c r="W22" s="23" t="str">
        <f>[1]CCModuleCopy!$G$3</f>
        <v>https://www.samsung.com/us/shop/all-deals/cell-phone-deals/</v>
      </c>
      <c r="X22" s="14" t="str">
        <f>[1]CCModuleCopy!$H$3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Y22" s="45" t="s">
        <v>371</v>
      </c>
      <c r="Z22" s="14" t="str">
        <f>[1]CCModuleCopy!$C$7</f>
        <v>Get up to $3000 off select 8K, 4K and Lifestyle TVs</v>
      </c>
      <c r="AA22" s="23" t="str">
        <f>[1]CCModuleCopy!$D$7</f>
        <v>NULL</v>
      </c>
      <c r="AB22" s="23" t="str">
        <f>[1]CCModuleCopy!$E$7</f>
        <v xml:space="preserve">Discover the mind-blowing, true-to-live resolution of QLED technology.
Save up to $3000 on 8K TVs, up to $1800 on select 4K TVs, up to $1300 on Lifestyle TVs and up to $400 on select soundbars and more. 
Plus, buy and try select Lifestyle TVs, soundbars and The Premiere Projector with our new 100-day, risk-free trial. </v>
      </c>
      <c r="AC22" s="14" t="str">
        <f>[1]CCModuleCopy!$F$7</f>
        <v>Shop all</v>
      </c>
      <c r="AD22" s="23" t="str">
        <f>[1]CCModuleCopy!$G$7</f>
        <v>https://www.samsung.com/us/shop/all-deals/tv-and-home-theater-deals/</v>
      </c>
      <c r="AE22" s="14" t="str">
        <f>[1]CCModuleCopy!$H$7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AF22" s="45" t="s">
        <v>372</v>
      </c>
      <c r="AG22" s="14" t="str">
        <f>[1]CCModuleCopy!$C$15</f>
        <v>Save up to $150 on select tablets</v>
      </c>
      <c r="AH22" s="23" t="str">
        <f>[1]CCModuleCopy!$D$15</f>
        <v>NULL</v>
      </c>
      <c r="AI22" s="23" t="str">
        <f>[1]CCModuleCopy!$E$15</f>
        <v xml:space="preserve">Empower how you create, work, learn, game and more with our powerful line of tablets. Shop our offers on great products from the new Galaxy Tab S7+ to the Galaxy Tab S6 Lite. </v>
      </c>
      <c r="AJ22" s="14" t="str">
        <f>[1]CCModuleCopy!$F$15</f>
        <v>Shop all</v>
      </c>
      <c r="AK22" s="23" t="str">
        <f>[1]CCModuleCopy!$G$15</f>
        <v>https://www.samsung.com/us/shop/all-deals/tablets-wearables-cell-phone-accessories-deals/</v>
      </c>
      <c r="AL22" s="66" t="str">
        <f>[1]CCModuleCopy!$H$15</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AM22" s="45" t="s">
        <v>373</v>
      </c>
      <c r="AN22" s="14" t="str">
        <f>[1]CCModuleCopy!$B$11</f>
        <v>ME_HeadImage_Wearables_500xV.jpg</v>
      </c>
      <c r="AO22" s="14" t="str">
        <f>[1]CCModuleCopy!$C$11</f>
        <v>Get up to $100 off select watches and earbuds</v>
      </c>
      <c r="AP22" s="14" t="str">
        <f>[1]CCModuleCopy!$D$11</f>
        <v>NULL</v>
      </c>
      <c r="AQ22" s="14" t="str">
        <f>[1]CCModuleCopy!$E$11</f>
        <v>Shop our exclusive Black Friday offers on Galaxy Watch3 Titanium, Watch3, Buds+ and more, suited for every lifestyle and every holiday shopping budget. 
Plus, now you can flex your fashion muscles with the new Samsung Design Studio. Create a Galaxy Watch as unique as you, today.</v>
      </c>
      <c r="AR22" s="14" t="str">
        <f>[1]CCModuleCopy!$F$11</f>
        <v>Shop all</v>
      </c>
      <c r="AS22" s="14" t="str">
        <f>[1]CCModuleCopy!$G$11</f>
        <v>https://www.samsung.com/us/shop/all-deals/tablets-wearables-cell-phone-accessories-deals/</v>
      </c>
      <c r="AT22" s="14" t="str">
        <f>[1]CCModuleCopy!$H$11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AU22" s="14" t="str">
        <f>[1]CCModuleCopy!$I$11</f>
        <v>NULL</v>
      </c>
      <c r="AV22" s="14" t="str">
        <f>[1]CCModuleCopy!$J$11</f>
        <v>NULL</v>
      </c>
      <c r="AW22" s="14" t="str">
        <f>[1]CCModuleCopy!$K$11</f>
        <v>NULL</v>
      </c>
      <c r="AX22" s="45" t="s">
        <v>375</v>
      </c>
      <c r="AY22" s="14" t="str">
        <f>[1]CCModuleCopy!$B$9</f>
        <v>HA_HeadImage_Shop_HA_500xV.jpg</v>
      </c>
      <c r="AZ22" s="14" t="str">
        <f>[1]CCModuleCopy!$C$9</f>
        <v>Save up to 50% on everything you need to upgrade your home and home care</v>
      </c>
      <c r="BA22" s="14" t="str">
        <f>[1]CCModuleCopy!$D$9</f>
        <v>NULL</v>
      </c>
      <c r="BB22" s="14" t="str">
        <f>[1]CCModuleCopy!$E$9</f>
        <v xml:space="preserve">Complete your domestic oasis or prepare for holiday festivities, and even the clean up that comes after, today. 
Get an additional 10% off when you buy 4 or more eligible kitchen appliances. Save even more with early Black Friday prices for select categories.α 
Plus, buy and try a Jet Stick Cordless Vacuum with our new 100-day, risk-free trial. </v>
      </c>
      <c r="BC22" s="14" t="str">
        <f>[1]CCModuleCopy!$F$9</f>
        <v>Shop all</v>
      </c>
      <c r="BD22" s="14" t="str">
        <f>[1]CCModuleCopy!$G$9</f>
        <v>https://www.samsung.com/us/shop/all-deals/home-appliance-and-smart-home-sales/</v>
      </c>
      <c r="BE22" s="14" t="str">
        <f>[1]CCModuleCopy!$H$9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BF22" s="14" t="str">
        <f>[1]CCModuleCopy!$I$9</f>
        <v>NULL</v>
      </c>
      <c r="BG22" s="14" t="str">
        <f>[1]CCModuleCopy!$J$9</f>
        <v>NULL</v>
      </c>
      <c r="BH22" s="14" t="str">
        <f>[1]CCModuleCopy!$K$9</f>
        <v>NULL</v>
      </c>
      <c r="BI22" s="45" t="s">
        <v>353</v>
      </c>
      <c r="BJ22" s="14" t="str">
        <f>[1]MiscBanners!$I$4</f>
        <v>Give-wonder-500xV.jpg</v>
      </c>
      <c r="BK22" s="14" t="str">
        <f>[1]MiscBanners!$J$4</f>
        <v>The gift that keeps on giving</v>
      </c>
      <c r="BL22" s="14" t="str">
        <f>[1]MiscBanners!$K$4</f>
        <v>NULL</v>
      </c>
      <c r="BM22" s="66" t="str">
        <f>[1]MiscBanners!$L$4</f>
        <v>Discover even more exclusive offers on your favorite products and unlock the power of smart and savvy gifting.</v>
      </c>
      <c r="BN22" s="14" t="str">
        <f>[1]MiscBanners!$M$4</f>
        <v>Shop now</v>
      </c>
      <c r="BO22" s="14" t="str">
        <f>[1]MiscBanners!$N$4</f>
        <v>https://www.samsung.com/us/gift-ideas/</v>
      </c>
      <c r="BP22" s="14" t="str">
        <f>[1]MiscBanners!$O$4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BQ22" s="14" t="str">
        <f>[1]MiscBanners!$P$4</f>
        <v>NULL</v>
      </c>
      <c r="BR22" s="14" t="str">
        <f>[1]MiscBanners!$Q$4</f>
        <v>NULL</v>
      </c>
      <c r="BS22" s="14" t="str">
        <f>[1]MiscBanners!$R$4</f>
        <v>NULL</v>
      </c>
      <c r="BT22" s="45" t="s">
        <v>354</v>
      </c>
      <c r="BX22" s="66"/>
      <c r="CE22" s="45" t="s">
        <v>376</v>
      </c>
      <c r="CF22" s="14" t="s">
        <v>122</v>
      </c>
      <c r="CG22" s="14" t="s">
        <v>122</v>
      </c>
      <c r="CH22" s="14" t="s">
        <v>122</v>
      </c>
      <c r="CI22" s="66" t="s">
        <v>366</v>
      </c>
      <c r="CJ22" s="14" t="s">
        <v>122</v>
      </c>
      <c r="CK22" s="14" t="s">
        <v>367</v>
      </c>
      <c r="CL22" s="14">
        <v>0</v>
      </c>
      <c r="CM22" s="14" t="s">
        <v>122</v>
      </c>
      <c r="CN22" s="14" t="s">
        <v>122</v>
      </c>
      <c r="CO22" s="14" t="s">
        <v>122</v>
      </c>
      <c r="CP22" s="45" t="s">
        <v>356</v>
      </c>
      <c r="CQ22" s="14" t="s">
        <v>122</v>
      </c>
      <c r="CR22" s="14" t="s">
        <v>122</v>
      </c>
      <c r="CS22" s="14" t="s">
        <v>122</v>
      </c>
      <c r="CT22" s="66" t="s">
        <v>368</v>
      </c>
      <c r="CU22" s="14" t="s">
        <v>122</v>
      </c>
      <c r="CV22" s="14" t="s">
        <v>367</v>
      </c>
      <c r="CW22" s="14">
        <v>0</v>
      </c>
      <c r="CX22" s="14" t="s">
        <v>122</v>
      </c>
      <c r="CY22" s="14" t="s">
        <v>122</v>
      </c>
      <c r="CZ22" s="14" t="s">
        <v>122</v>
      </c>
      <c r="DA22" s="45" t="s">
        <v>357</v>
      </c>
      <c r="DB22" s="14" t="s">
        <v>122</v>
      </c>
      <c r="DC22" s="14" t="s">
        <v>122</v>
      </c>
      <c r="DD22" s="14" t="s">
        <v>122</v>
      </c>
      <c r="DE22" s="66" t="s">
        <v>382</v>
      </c>
      <c r="DF22" s="14" t="s">
        <v>122</v>
      </c>
      <c r="DG22" s="14" t="s">
        <v>367</v>
      </c>
      <c r="DH22" s="14">
        <v>0</v>
      </c>
      <c r="DI22" s="14" t="s">
        <v>122</v>
      </c>
      <c r="DJ22" s="14" t="s">
        <v>122</v>
      </c>
      <c r="DK22" s="14" t="s">
        <v>122</v>
      </c>
      <c r="DL22" s="45" t="s">
        <v>358</v>
      </c>
      <c r="DM22" s="14" t="s">
        <v>122</v>
      </c>
      <c r="DN22" s="14" t="s">
        <v>122</v>
      </c>
      <c r="DO22" s="14" t="s">
        <v>122</v>
      </c>
      <c r="DP22" s="66" t="s">
        <v>383</v>
      </c>
      <c r="DQ22" s="14" t="s">
        <v>122</v>
      </c>
      <c r="DR22" s="14">
        <v>0</v>
      </c>
      <c r="DS22" s="14">
        <v>0</v>
      </c>
      <c r="DT22" s="14" t="s">
        <v>122</v>
      </c>
      <c r="DU22" s="14" t="s">
        <v>122</v>
      </c>
      <c r="DV22" s="14" t="s">
        <v>122</v>
      </c>
    </row>
    <row r="23" spans="1:126" s="14" customFormat="1" ht="96.75" customHeight="1" x14ac:dyDescent="0.25">
      <c r="A23" s="67" t="s">
        <v>369</v>
      </c>
      <c r="B23" s="14" t="s">
        <v>388</v>
      </c>
      <c r="C23" s="14" t="s">
        <v>392</v>
      </c>
      <c r="D23" s="14" t="str">
        <f>'[1]Dynamic Banners'!$M$7</f>
        <v xml:space="preserve">Cyber Monday may be over, but shop and save all Cyber Week long. </v>
      </c>
      <c r="E23" s="14" t="str">
        <f>'[1]Dynamic Banners'!$M$7</f>
        <v xml:space="preserve">Cyber Monday may be over, but shop and save all Cyber Week long. </v>
      </c>
      <c r="F23" s="14" t="str">
        <f>[1]MiscBanners!$B$4</f>
        <v>https://www.samsung.com/us/shop/all-deals/</v>
      </c>
      <c r="G23"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H23" s="23" t="s">
        <v>191</v>
      </c>
      <c r="I23" s="83" t="s">
        <v>379</v>
      </c>
      <c r="J23" s="23" t="str">
        <f>[1]MiscBanners!$B$4</f>
        <v>https://www.samsung.com/us/shop/all-deals/</v>
      </c>
      <c r="K23"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L23" s="45" t="s">
        <v>375</v>
      </c>
      <c r="M23" s="23" t="str">
        <f>[1]CCModuleCopy!$D$9</f>
        <v>NULL</v>
      </c>
      <c r="N23" s="23" t="str">
        <f>[1]CCModuleCopy!$E$9</f>
        <v xml:space="preserve">Complete your domestic oasis or prepare for holiday festivities, and even the clean up that comes after, today. 
Get an additional 10% off when you buy 4 or more eligible kitchen appliances. Save even more with early Black Friday prices for select categories.α 
Plus, buy and try a Jet Stick Cordless Vacuum with our new 100-day, risk-free trial. </v>
      </c>
      <c r="O23" s="14" t="str">
        <f>[1]CCModuleCopy!$F$9</f>
        <v>Shop all</v>
      </c>
      <c r="P23" s="23" t="str">
        <f>[1]CCModuleCopy!$G$9</f>
        <v>https://www.samsung.com/us/shop/all-deals/home-appliance-and-smart-home-sales/</v>
      </c>
      <c r="Q23" s="14" t="str">
        <f>[1]CCModuleCopy!$H$9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R23" s="45" t="s">
        <v>370</v>
      </c>
      <c r="S23" s="14" t="str">
        <f>[1]CCModuleCopy!$C$3</f>
        <v>Save up to $1000 instantly on the latest and greatest Galaxy smartphones</v>
      </c>
      <c r="T23" s="23" t="str">
        <f>[1]CCModuleCopy!$D$3</f>
        <v>NULL</v>
      </c>
      <c r="U23" s="23" t="str">
        <f>[1]CCModuleCopy!$E$3</f>
        <v>Black Friday prices and trade-in values are in full effect, giving you access to some of our best offers of the year on  Galaxy Note20 5G, S20 FE 5G, Z Fold2 5G and select A series devices.
Plus, get $50 or more instant credit toward accessories with any smartphone purchase to complete your Galaxy Ecosystem.‡†</v>
      </c>
      <c r="V23" s="14" t="str">
        <f>[1]CCModuleCopy!$F$3</f>
        <v>Shop all</v>
      </c>
      <c r="W23" s="23" t="str">
        <f>[1]CCModuleCopy!$G$3</f>
        <v>https://www.samsung.com/us/shop/all-deals/cell-phone-deals/</v>
      </c>
      <c r="X23" s="14" t="str">
        <f>[1]CCModuleCopy!$H$3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Y23" s="45" t="s">
        <v>371</v>
      </c>
      <c r="Z23" s="14" t="str">
        <f>[1]CCModuleCopy!$C$7</f>
        <v>Get up to $3000 off select 8K, 4K and Lifestyle TVs</v>
      </c>
      <c r="AA23" s="23" t="str">
        <f>[1]CCModuleCopy!$D$7</f>
        <v>NULL</v>
      </c>
      <c r="AB23" s="23" t="str">
        <f>[1]CCModuleCopy!$E$7</f>
        <v xml:space="preserve">Discover the mind-blowing, true-to-live resolution of QLED technology.
Save up to $3000 on 8K TVs, up to $1800 on select 4K TVs, up to $1300 on Lifestyle TVs and up to $400 on select soundbars and more. 
Plus, buy and try select Lifestyle TVs, soundbars and The Premiere Projector with our new 100-day, risk-free trial. </v>
      </c>
      <c r="AC23" s="14" t="str">
        <f>[1]CCModuleCopy!$F$7</f>
        <v>Shop all</v>
      </c>
      <c r="AD23" s="23" t="str">
        <f>[1]CCModuleCopy!$G$7</f>
        <v>https://www.samsung.com/us/shop/all-deals/tv-and-home-theater-deals/</v>
      </c>
      <c r="AE23" s="14" t="str">
        <f>[1]CCModuleCopy!$H$7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AF23" s="45" t="s">
        <v>372</v>
      </c>
      <c r="AG23" s="14" t="str">
        <f>[1]CCModuleCopy!$C$15</f>
        <v>Save up to $150 on select tablets</v>
      </c>
      <c r="AH23" s="23" t="str">
        <f>[1]CCModuleCopy!$D$15</f>
        <v>NULL</v>
      </c>
      <c r="AI23" s="23" t="str">
        <f>[1]CCModuleCopy!$E$15</f>
        <v xml:space="preserve">Empower how you create, work, learn, game and more with our powerful line of tablets. Shop our offers on great products from the new Galaxy Tab S7+ to the Galaxy Tab S6 Lite. </v>
      </c>
      <c r="AJ23" s="14" t="str">
        <f>[1]CCModuleCopy!$F$15</f>
        <v>Shop all</v>
      </c>
      <c r="AK23" s="23" t="str">
        <f>[1]CCModuleCopy!$G$15</f>
        <v>https://www.samsung.com/us/shop/all-deals/tablets-wearables-cell-phone-accessories-deals/</v>
      </c>
      <c r="AL23" s="66" t="str">
        <f>[1]CCModuleCopy!$H$15</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AM23" s="45" t="s">
        <v>373</v>
      </c>
      <c r="AN23" s="14" t="str">
        <f>[1]CCModuleCopy!$B$11</f>
        <v>ME_HeadImage_Wearables_500xV.jpg</v>
      </c>
      <c r="AO23" s="14" t="str">
        <f>[1]CCModuleCopy!$C$11</f>
        <v>Get up to $100 off select watches and earbuds</v>
      </c>
      <c r="AP23" s="14" t="str">
        <f>[1]CCModuleCopy!$D$11</f>
        <v>NULL</v>
      </c>
      <c r="AQ23" s="14" t="str">
        <f>[1]CCModuleCopy!$E$11</f>
        <v>Shop our exclusive Black Friday offers on Galaxy Watch3 Titanium, Watch3, Buds+ and more, suited for every lifestyle and every holiday shopping budget. 
Plus, now you can flex your fashion muscles with the new Samsung Design Studio. Create a Galaxy Watch as unique as you, today.</v>
      </c>
      <c r="AR23" s="14" t="str">
        <f>[1]CCModuleCopy!$F$11</f>
        <v>Shop all</v>
      </c>
      <c r="AS23" s="14" t="str">
        <f>[1]CCModuleCopy!$G$11</f>
        <v>https://www.samsung.com/us/shop/all-deals/tablets-wearables-cell-phone-accessories-deals/</v>
      </c>
      <c r="AT23" s="14" t="str">
        <f>[1]CCModuleCopy!$H$11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AU23" s="14" t="str">
        <f>[1]CCModuleCopy!$I$11</f>
        <v>NULL</v>
      </c>
      <c r="AV23" s="14" t="str">
        <f>[1]CCModuleCopy!$J$11</f>
        <v>NULL</v>
      </c>
      <c r="AW23" s="14" t="str">
        <f>[1]CCModuleCopy!$K$11</f>
        <v>NULL</v>
      </c>
      <c r="AX23" s="45" t="s">
        <v>374</v>
      </c>
      <c r="AY23" s="14" t="str">
        <f>[1]CCModuleCopy!$B$13</f>
        <v>CE_HeadImage_Computing_500xV.jpg</v>
      </c>
      <c r="AZ23" s="14" t="str">
        <f>[1]CCModuleCopy!$C$13</f>
        <v>Get up to 60% off memory cards, SSD, monitors and more</v>
      </c>
      <c r="BA23" s="14" t="str">
        <f>[1]CCModuleCopy!$D$13</f>
        <v>NULL</v>
      </c>
      <c r="BB23" s="14" t="str">
        <f>[1]CCModuleCopy!$E$13</f>
        <v xml:space="preserve">Work and game smarter, not harder with these must-have computing offers. Expand the way you play, store and create and get up to 30% off monitors, up to 60% off memory cards, up to 35% off SSD and more. </v>
      </c>
      <c r="BC23" s="14" t="str">
        <f>[1]CCModuleCopy!$F$13</f>
        <v>Shop all</v>
      </c>
      <c r="BD23" s="14" t="str">
        <f>[1]CCModuleCopy!$G$13</f>
        <v>https://www.samsung.com/us/shop/all-deals/laptop-and-computer-deals/</v>
      </c>
      <c r="BE23" s="14" t="str">
        <f>[1]CCModuleCopy!$H$13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BF23" s="14" t="str">
        <f>[1]CCModuleCopy!$I$13</f>
        <v>NULL</v>
      </c>
      <c r="BG23" s="14" t="str">
        <f>[1]CCModuleCopy!$J$13</f>
        <v>NULL</v>
      </c>
      <c r="BH23" s="14" t="str">
        <f>[1]CCModuleCopy!$K$13</f>
        <v>NULL</v>
      </c>
      <c r="BI23" s="45" t="s">
        <v>353</v>
      </c>
      <c r="BJ23" s="14" t="str">
        <f>[1]MiscBanners!$I$4</f>
        <v>Give-wonder-500xV.jpg</v>
      </c>
      <c r="BK23" s="14" t="str">
        <f>[1]MiscBanners!$J$4</f>
        <v>The gift that keeps on giving</v>
      </c>
      <c r="BL23" s="14" t="str">
        <f>[1]MiscBanners!$K$4</f>
        <v>NULL</v>
      </c>
      <c r="BM23" s="66" t="str">
        <f>[1]MiscBanners!$L$4</f>
        <v>Discover even more exclusive offers on your favorite products and unlock the power of smart and savvy gifting.</v>
      </c>
      <c r="BN23" s="14" t="str">
        <f>[1]MiscBanners!$M$4</f>
        <v>Shop now</v>
      </c>
      <c r="BO23" s="14" t="str">
        <f>[1]MiscBanners!$N$4</f>
        <v>https://www.samsung.com/us/gift-ideas/</v>
      </c>
      <c r="BP23" s="14" t="str">
        <f>[1]MiscBanners!$O$4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BQ23" s="14" t="str">
        <f>[1]MiscBanners!$P$4</f>
        <v>NULL</v>
      </c>
      <c r="BR23" s="14" t="str">
        <f>[1]MiscBanners!$Q$4</f>
        <v>NULL</v>
      </c>
      <c r="BS23" s="14" t="str">
        <f>[1]MiscBanners!$R$4</f>
        <v>NULL</v>
      </c>
      <c r="BT23" s="45" t="s">
        <v>354</v>
      </c>
      <c r="BX23" s="66"/>
      <c r="CE23" s="45" t="s">
        <v>376</v>
      </c>
      <c r="CF23" s="14" t="s">
        <v>122</v>
      </c>
      <c r="CG23" s="14" t="s">
        <v>122</v>
      </c>
      <c r="CH23" s="14" t="s">
        <v>122</v>
      </c>
      <c r="CI23" s="66" t="s">
        <v>366</v>
      </c>
      <c r="CJ23" s="14" t="s">
        <v>122</v>
      </c>
      <c r="CK23" s="14" t="s">
        <v>367</v>
      </c>
      <c r="CL23" s="14">
        <v>0</v>
      </c>
      <c r="CM23" s="14" t="s">
        <v>122</v>
      </c>
      <c r="CN23" s="14" t="s">
        <v>122</v>
      </c>
      <c r="CO23" s="14" t="s">
        <v>122</v>
      </c>
      <c r="CP23" s="45" t="s">
        <v>356</v>
      </c>
      <c r="CQ23" s="14" t="s">
        <v>122</v>
      </c>
      <c r="CR23" s="14" t="s">
        <v>122</v>
      </c>
      <c r="CS23" s="14" t="s">
        <v>122</v>
      </c>
      <c r="CT23" s="66" t="s">
        <v>368</v>
      </c>
      <c r="CU23" s="14" t="s">
        <v>122</v>
      </c>
      <c r="CV23" s="14" t="s">
        <v>367</v>
      </c>
      <c r="CW23" s="14">
        <v>0</v>
      </c>
      <c r="CX23" s="14" t="s">
        <v>122</v>
      </c>
      <c r="CY23" s="14" t="s">
        <v>122</v>
      </c>
      <c r="CZ23" s="14" t="s">
        <v>122</v>
      </c>
      <c r="DA23" s="45" t="s">
        <v>357</v>
      </c>
      <c r="DB23" s="14" t="s">
        <v>122</v>
      </c>
      <c r="DC23" s="14" t="s">
        <v>122</v>
      </c>
      <c r="DD23" s="14" t="s">
        <v>122</v>
      </c>
      <c r="DE23" s="66" t="s">
        <v>382</v>
      </c>
      <c r="DF23" s="14" t="s">
        <v>122</v>
      </c>
      <c r="DG23" s="14" t="s">
        <v>367</v>
      </c>
      <c r="DH23" s="14">
        <v>0</v>
      </c>
      <c r="DI23" s="14" t="s">
        <v>122</v>
      </c>
      <c r="DJ23" s="14" t="s">
        <v>122</v>
      </c>
      <c r="DK23" s="14" t="s">
        <v>122</v>
      </c>
      <c r="DL23" s="45" t="s">
        <v>358</v>
      </c>
      <c r="DM23" s="14" t="s">
        <v>122</v>
      </c>
      <c r="DN23" s="14" t="s">
        <v>122</v>
      </c>
      <c r="DO23" s="14" t="s">
        <v>122</v>
      </c>
      <c r="DP23" s="66" t="s">
        <v>383</v>
      </c>
      <c r="DQ23" s="14" t="s">
        <v>122</v>
      </c>
      <c r="DR23" s="14">
        <v>0</v>
      </c>
      <c r="DS23" s="14">
        <v>0</v>
      </c>
      <c r="DT23" s="14" t="s">
        <v>122</v>
      </c>
      <c r="DU23" s="14" t="s">
        <v>122</v>
      </c>
      <c r="DV23" s="14" t="s">
        <v>122</v>
      </c>
    </row>
    <row r="24" spans="1:126" s="14" customFormat="1" ht="71.25" customHeight="1" x14ac:dyDescent="0.25">
      <c r="A24" s="67" t="s">
        <v>369</v>
      </c>
      <c r="B24" s="14" t="s">
        <v>344</v>
      </c>
      <c r="C24" s="14" t="s">
        <v>393</v>
      </c>
      <c r="D24" s="14" t="str">
        <f>'[1]Dynamic Banners'!$M$7</f>
        <v xml:space="preserve">Cyber Monday may be over, but shop and save all Cyber Week long. </v>
      </c>
      <c r="E24" s="14" t="str">
        <f>'[1]Dynamic Banners'!$M$7</f>
        <v xml:space="preserve">Cyber Monday may be over, but shop and save all Cyber Week long. </v>
      </c>
      <c r="F24" s="14" t="str">
        <f>[1]MiscBanners!$B$4</f>
        <v>https://www.samsung.com/us/shop/all-deals/</v>
      </c>
      <c r="G24"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H24" s="23" t="s">
        <v>191</v>
      </c>
      <c r="I24" s="83" t="s">
        <v>362</v>
      </c>
      <c r="J24" s="23" t="str">
        <f>[1]MiscBanners!$B$4</f>
        <v>https://www.samsung.com/us/shop/all-deals/</v>
      </c>
      <c r="K24"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L24" s="45" t="s">
        <v>391</v>
      </c>
      <c r="M24" s="23" t="str">
        <f>[1]CCModuleCopy!$D$5</f>
        <v>NULL</v>
      </c>
      <c r="N24" s="23" t="str">
        <f>[1]CCModuleCopy!$E$5</f>
        <v>Black Friday prices and trade-in values are in full effect, giving you access to some of our best offers of the year on  Galaxy Note20 5G, S20 FE 5G, Z Fold2 5G and select A series devices.
Plus, get $30 or more instant credit toward accessories with any smartphone purchase to complete your Galaxy Ecosystem.†</v>
      </c>
      <c r="O24" s="14" t="str">
        <f>[1]CCModuleCopy!$L$5</f>
        <v>Shop all</v>
      </c>
      <c r="P24" s="23" t="str">
        <f>[1]CCModuleCopy!$M$5</f>
        <v>https://www.samsung.com/us/shop/all-deals/cell-phone-deals/</v>
      </c>
      <c r="Q24" s="14" t="str">
        <f>[1]CCModuleCopy!$N$5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R24" s="45" t="s">
        <v>371</v>
      </c>
      <c r="S24" s="14" t="str">
        <f>[1]CCModuleCopy!$C$7</f>
        <v>Get up to $3000 off select 8K, 4K and Lifestyle TVs</v>
      </c>
      <c r="T24" s="23" t="str">
        <f>[1]CCModuleCopy!$D$7</f>
        <v>NULL</v>
      </c>
      <c r="U24" s="23" t="str">
        <f>[1]CCModuleCopy!$E$7</f>
        <v xml:space="preserve">Discover the mind-blowing, true-to-live resolution of QLED technology.
Save up to $3000 on 8K TVs, up to $1800 on select 4K TVs, up to $1300 on Lifestyle TVs and up to $400 on select soundbars and more. 
Plus, buy and try select Lifestyle TVs, soundbars and The Premiere Projector with our new 100-day, risk-free trial. </v>
      </c>
      <c r="V24" s="14" t="str">
        <f>[1]CCModuleCopy!$L$7</f>
        <v>Shop all</v>
      </c>
      <c r="W24" s="23" t="str">
        <f>[1]CCModuleCopy!$M$7</f>
        <v>https://www.samsung.com/us/shop/all-deals/tv-and-home-theater-deals/</v>
      </c>
      <c r="X24" s="14" t="str">
        <f>[1]CCModuleCopy!$N$7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Y24" s="45" t="s">
        <v>372</v>
      </c>
      <c r="Z24" s="14" t="str">
        <f>[1]CCModuleCopy!$C$15</f>
        <v>Save up to $150 on select tablets</v>
      </c>
      <c r="AA24" s="23" t="str">
        <f>[1]CCModuleCopy!$D$15</f>
        <v>NULL</v>
      </c>
      <c r="AB24" s="23" t="str">
        <f>[1]CCModuleCopy!$E$15</f>
        <v xml:space="preserve">Empower how you create, work, learn, game and more with our powerful line of tablets. Shop our offers on great products from the new Galaxy Tab S7+ to the Galaxy Tab S6 Lite. </v>
      </c>
      <c r="AC24" s="14" t="str">
        <f>[1]CCModuleCopy!$L$15</f>
        <v>Shop all</v>
      </c>
      <c r="AD24" s="23" t="str">
        <f>[1]CCModuleCopy!$M$15</f>
        <v>https://www.samsung.com/us/shop/all-deals/tablets-wearables-cell-phone-accessories-deals/</v>
      </c>
      <c r="AE24" s="14" t="str">
        <f>[1]CCModuleCopy!$N$15</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AF24" s="45" t="s">
        <v>373</v>
      </c>
      <c r="AG24" s="14" t="str">
        <f>[1]CCModuleCopy!$C$11</f>
        <v>Get up to $100 off select watches and earbuds</v>
      </c>
      <c r="AH24" s="23" t="str">
        <f>[1]CCModuleCopy!$D$11</f>
        <v>NULL</v>
      </c>
      <c r="AI24" s="23" t="str">
        <f>[1]CCModuleCopy!$E$11</f>
        <v>Shop our exclusive Black Friday offers on Galaxy Watch3 Titanium, Watch3, Buds+ and more, suited for every lifestyle and every holiday shopping budget. 
Plus, now you can flex your fashion muscles with the new Samsung Design Studio. Create a Galaxy Watch as unique as you, today.</v>
      </c>
      <c r="AJ24" s="14" t="str">
        <f>[1]CCModuleCopy!$L$11</f>
        <v>Shop all</v>
      </c>
      <c r="AK24" s="23" t="str">
        <f>[1]CCModuleCopy!$M$11</f>
        <v>https://www.samsung.com/us/shop/all-deals/tablets-wearables-cell-phone-accessories-deals/</v>
      </c>
      <c r="AL24" s="66" t="str">
        <f>[1]CCModuleCopy!$N$11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AM24" s="45" t="s">
        <v>374</v>
      </c>
      <c r="AN24" s="14" t="str">
        <f>[1]CCModuleCopy!$B$13</f>
        <v>CE_HeadImage_Computing_500xV.jpg</v>
      </c>
      <c r="AO24" s="14" t="str">
        <f>[1]CCModuleCopy!$C$13</f>
        <v>Get up to 60% off memory cards, SSD, monitors and more</v>
      </c>
      <c r="AP24" s="14" t="str">
        <f>[1]CCModuleCopy!$D$13</f>
        <v>NULL</v>
      </c>
      <c r="AQ24" s="14" t="str">
        <f>[1]CCModuleCopy!$E$13</f>
        <v xml:space="preserve">Work and game smarter, not harder with these must-have computing offers. Expand the way you play, store and create and get up to 30% off monitors, up to 60% off memory cards, up to 35% off SSD and more. </v>
      </c>
      <c r="AR24" s="14" t="str">
        <f>[1]CCModuleCopy!$L$13</f>
        <v>Shop all</v>
      </c>
      <c r="AS24" s="14" t="str">
        <f>[1]CCModuleCopy!$M$13</f>
        <v>https://www.samsung.com/us/shop/all-deals/laptop-and-computer-deals/</v>
      </c>
      <c r="AT24" s="14" t="str">
        <f>[1]CCModuleCopy!$N$13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AU24" s="14" t="str">
        <f>[1]CCModuleCopy!$O$13</f>
        <v>NULL</v>
      </c>
      <c r="AV24" s="14" t="str">
        <f>[1]CCModuleCopy!$P$13</f>
        <v>NULL</v>
      </c>
      <c r="AW24" s="14" t="str">
        <f>[1]CCModuleCopy!$Q$13</f>
        <v>NULL</v>
      </c>
      <c r="AX24" s="45" t="s">
        <v>375</v>
      </c>
      <c r="AY24" s="14" t="str">
        <f>[1]CCModuleCopy!$B$9</f>
        <v>HA_HeadImage_Shop_HA_500xV.jpg</v>
      </c>
      <c r="AZ24" s="14" t="str">
        <f>[1]CCModuleCopy!$C$9</f>
        <v>Save up to 50% on everything you need to upgrade your home and home care</v>
      </c>
      <c r="BA24" s="14" t="str">
        <f>[1]CCModuleCopy!$D$9</f>
        <v>NULL</v>
      </c>
      <c r="BB24" s="14" t="str">
        <f>[1]CCModuleCopy!$E$9</f>
        <v xml:space="preserve">Complete your domestic oasis or prepare for holiday festivities, and even the clean up that comes after, today. 
Get an additional 10% off when you buy 4 or more eligible kitchen appliances. Save even more with early Black Friday prices for select categories.α 
Plus, buy and try a Jet Stick Cordless Vacuum with our new 100-day, risk-free trial. </v>
      </c>
      <c r="BC24" s="14" t="str">
        <f>[1]CCModuleCopy!$L$9</f>
        <v>Shop all</v>
      </c>
      <c r="BD24" s="14" t="str">
        <f>[1]CCModuleCopy!$M$9</f>
        <v>https://www.samsung.com/us/shop/all-deals/home-appliance-and-smart-home-sales/</v>
      </c>
      <c r="BE24" s="14" t="str">
        <f>[1]CCModuleCopy!$N$9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BF24" s="14" t="str">
        <f>[1]CCModuleCopy!$O$9</f>
        <v>NULL</v>
      </c>
      <c r="BG24" s="14" t="str">
        <f>[1]CCModuleCopy!$P$9</f>
        <v>NULL</v>
      </c>
      <c r="BH24" s="14" t="str">
        <f>[1]CCModuleCopy!$Q$9</f>
        <v>NULL</v>
      </c>
      <c r="BI24" s="45" t="s">
        <v>353</v>
      </c>
      <c r="BJ24" s="14" t="str">
        <f>[1]MiscBanners!$I$4</f>
        <v>Give-wonder-500xV.jpg</v>
      </c>
      <c r="BK24" s="14" t="str">
        <f>[1]MiscBanners!$J$4</f>
        <v>The gift that keeps on giving</v>
      </c>
      <c r="BL24" s="14" t="str">
        <f>[1]MiscBanners!$K$4</f>
        <v>NULL</v>
      </c>
      <c r="BM24" s="66" t="str">
        <f>[1]MiscBanners!$L$4</f>
        <v>Discover even more exclusive offers on your favorite products and unlock the power of smart and savvy gifting.</v>
      </c>
      <c r="BN24" s="14" t="str">
        <f>[1]MiscBanners!$M$4</f>
        <v>Shop now</v>
      </c>
      <c r="BO24" s="14" t="str">
        <f>[1]MiscBanners!$N$4</f>
        <v>https://www.samsung.com/us/gift-ideas/</v>
      </c>
      <c r="BP24" s="14" t="str">
        <f>[1]MiscBanners!$U$4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BQ24" s="14" t="str">
        <f>[1]MiscBanners!$P$4</f>
        <v>NULL</v>
      </c>
      <c r="BR24" s="14" t="str">
        <f>[1]MiscBanners!$Q$4</f>
        <v>NULL</v>
      </c>
      <c r="BS24" s="14" t="str">
        <f>[1]MiscBanners!$R$4</f>
        <v>NULL</v>
      </c>
      <c r="BT24" s="45" t="s">
        <v>354</v>
      </c>
      <c r="BX24" s="66"/>
      <c r="CE24" s="45" t="s">
        <v>376</v>
      </c>
      <c r="CF24" s="14" t="s">
        <v>122</v>
      </c>
      <c r="CG24" s="14" t="s">
        <v>122</v>
      </c>
      <c r="CH24" s="14" t="s">
        <v>122</v>
      </c>
      <c r="CI24" s="66" t="s">
        <v>366</v>
      </c>
      <c r="CJ24" s="14" t="s">
        <v>122</v>
      </c>
      <c r="CK24" s="14" t="s">
        <v>367</v>
      </c>
      <c r="CL24" s="14">
        <v>0</v>
      </c>
      <c r="CM24" s="14" t="s">
        <v>122</v>
      </c>
      <c r="CN24" s="14" t="s">
        <v>122</v>
      </c>
      <c r="CO24" s="14" t="s">
        <v>122</v>
      </c>
      <c r="CP24" s="45" t="s">
        <v>356</v>
      </c>
      <c r="CQ24" s="14" t="s">
        <v>122</v>
      </c>
      <c r="CR24" s="14" t="s">
        <v>122</v>
      </c>
      <c r="CS24" s="14" t="s">
        <v>122</v>
      </c>
      <c r="CT24" s="66" t="s">
        <v>368</v>
      </c>
      <c r="CU24" s="14" t="s">
        <v>122</v>
      </c>
      <c r="CV24" s="14" t="s">
        <v>367</v>
      </c>
      <c r="CW24" s="14">
        <v>0</v>
      </c>
      <c r="CX24" s="14" t="s">
        <v>122</v>
      </c>
      <c r="CY24" s="14" t="s">
        <v>122</v>
      </c>
      <c r="CZ24" s="14" t="s">
        <v>122</v>
      </c>
      <c r="DA24" s="45" t="s">
        <v>357</v>
      </c>
      <c r="DB24" s="14" t="s">
        <v>122</v>
      </c>
      <c r="DC24" s="14" t="s">
        <v>122</v>
      </c>
      <c r="DD24" s="14" t="s">
        <v>122</v>
      </c>
      <c r="DE24" s="66" t="s">
        <v>383</v>
      </c>
      <c r="DF24" s="14" t="s">
        <v>122</v>
      </c>
      <c r="DG24" s="14">
        <v>0</v>
      </c>
      <c r="DH24" s="14">
        <v>0</v>
      </c>
      <c r="DI24" s="14" t="s">
        <v>122</v>
      </c>
      <c r="DJ24" s="14" t="s">
        <v>122</v>
      </c>
      <c r="DK24" s="14" t="s">
        <v>122</v>
      </c>
      <c r="DL24" s="45"/>
      <c r="DP24" s="66"/>
    </row>
    <row r="25" spans="1:126" s="14" customFormat="1" ht="96" customHeight="1" x14ac:dyDescent="0.25">
      <c r="A25" s="67" t="s">
        <v>369</v>
      </c>
      <c r="B25" s="14" t="s">
        <v>377</v>
      </c>
      <c r="C25" s="14" t="s">
        <v>393</v>
      </c>
      <c r="D25" s="14" t="str">
        <f>'[1]Dynamic Banners'!$M$7</f>
        <v xml:space="preserve">Cyber Monday may be over, but shop and save all Cyber Week long. </v>
      </c>
      <c r="E25" s="14" t="str">
        <f>'[1]Dynamic Banners'!$M$7</f>
        <v xml:space="preserve">Cyber Monday may be over, but shop and save all Cyber Week long. </v>
      </c>
      <c r="F25" s="14" t="str">
        <f>[1]MiscBanners!$B$4</f>
        <v>https://www.samsung.com/us/shop/all-deals/</v>
      </c>
      <c r="G25"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H25" s="23" t="s">
        <v>191</v>
      </c>
      <c r="I25" s="83" t="s">
        <v>379</v>
      </c>
      <c r="J25" s="23" t="str">
        <f>[1]MiscBanners!$B$4</f>
        <v>https://www.samsung.com/us/shop/all-deals/</v>
      </c>
      <c r="K25"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L25" s="45" t="s">
        <v>371</v>
      </c>
      <c r="M25" s="23" t="str">
        <f>[1]CCModuleCopy!$D$7</f>
        <v>NULL</v>
      </c>
      <c r="N25" s="23" t="str">
        <f>[1]CCModuleCopy!$E$7</f>
        <v xml:space="preserve">Discover the mind-blowing, true-to-live resolution of QLED technology.
Save up to $3000 on 8K TVs, up to $1800 on select 4K TVs, up to $1300 on Lifestyle TVs and up to $400 on select soundbars and more. 
Plus, buy and try select Lifestyle TVs, soundbars and The Premiere Projector with our new 100-day, risk-free trial. </v>
      </c>
      <c r="O25" s="14" t="str">
        <f>[1]CCModuleCopy!$L$7</f>
        <v>Shop all</v>
      </c>
      <c r="P25" s="23" t="str">
        <f>[1]CCModuleCopy!$M$7</f>
        <v>https://www.samsung.com/us/shop/all-deals/tv-and-home-theater-deals/</v>
      </c>
      <c r="Q25" s="14" t="str">
        <f>[1]CCModuleCopy!$N$7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R25" s="45" t="s">
        <v>391</v>
      </c>
      <c r="S25" s="14" t="str">
        <f>[1]CCModuleCopy!$C$5</f>
        <v>Save up to $1000 instantly on the latest and greatest Galaxy smartphones</v>
      </c>
      <c r="T25" s="23" t="str">
        <f>[1]CCModuleCopy!$D$5</f>
        <v>NULL</v>
      </c>
      <c r="U25" s="23" t="str">
        <f>[1]CCModuleCopy!$E$5</f>
        <v>Black Friday prices and trade-in values are in full effect, giving you access to some of our best offers of the year on  Galaxy Note20 5G, S20 FE 5G, Z Fold2 5G and select A series devices.
Plus, get $30 or more instant credit toward accessories with any smartphone purchase to complete your Galaxy Ecosystem.†</v>
      </c>
      <c r="V25" s="14" t="str">
        <f>[1]CCModuleCopy!$L$5</f>
        <v>Shop all</v>
      </c>
      <c r="W25" s="23" t="str">
        <f>[1]CCModuleCopy!$M$5</f>
        <v>https://www.samsung.com/us/shop/all-deals/cell-phone-deals/</v>
      </c>
      <c r="X25" s="14" t="str">
        <f>[1]CCModuleCopy!$N$5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Y25" s="45" t="s">
        <v>372</v>
      </c>
      <c r="Z25" s="14" t="str">
        <f>[1]CCModuleCopy!$C$15</f>
        <v>Save up to $150 on select tablets</v>
      </c>
      <c r="AA25" s="23" t="str">
        <f>[1]CCModuleCopy!$D$15</f>
        <v>NULL</v>
      </c>
      <c r="AB25" s="23" t="str">
        <f>[1]CCModuleCopy!$E$15</f>
        <v xml:space="preserve">Empower how you create, work, learn, game and more with our powerful line of tablets. Shop our offers on great products from the new Galaxy Tab S7+ to the Galaxy Tab S6 Lite. </v>
      </c>
      <c r="AC25" s="14" t="str">
        <f>[1]CCModuleCopy!$L$15</f>
        <v>Shop all</v>
      </c>
      <c r="AD25" s="23" t="str">
        <f>[1]CCModuleCopy!$M$15</f>
        <v>https://www.samsung.com/us/shop/all-deals/tablets-wearables-cell-phone-accessories-deals/</v>
      </c>
      <c r="AE25" s="14" t="str">
        <f>[1]CCModuleCopy!$N$15</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AF25" s="45" t="s">
        <v>373</v>
      </c>
      <c r="AG25" s="14" t="str">
        <f>[1]CCModuleCopy!$C$11</f>
        <v>Get up to $100 off select watches and earbuds</v>
      </c>
      <c r="AH25" s="23" t="str">
        <f>[1]CCModuleCopy!$D$11</f>
        <v>NULL</v>
      </c>
      <c r="AI25" s="23" t="str">
        <f>[1]CCModuleCopy!$E$11</f>
        <v>Shop our exclusive Black Friday offers on Galaxy Watch3 Titanium, Watch3, Buds+ and more, suited for every lifestyle and every holiday shopping budget. 
Plus, now you can flex your fashion muscles with the new Samsung Design Studio. Create a Galaxy Watch as unique as you, today.</v>
      </c>
      <c r="AJ25" s="14" t="str">
        <f>[1]CCModuleCopy!$L$11</f>
        <v>Shop all</v>
      </c>
      <c r="AK25" s="23" t="str">
        <f>[1]CCModuleCopy!$M$11</f>
        <v>https://www.samsung.com/us/shop/all-deals/tablets-wearables-cell-phone-accessories-deals/</v>
      </c>
      <c r="AL25" s="66" t="str">
        <f>[1]CCModuleCopy!$N$11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AM25" s="45" t="s">
        <v>374</v>
      </c>
      <c r="AN25" s="14" t="str">
        <f>[1]CCModuleCopy!$B$13</f>
        <v>CE_HeadImage_Computing_500xV.jpg</v>
      </c>
      <c r="AO25" s="14" t="str">
        <f>[1]CCModuleCopy!$C$13</f>
        <v>Get up to 60% off memory cards, SSD, monitors and more</v>
      </c>
      <c r="AP25" s="14" t="str">
        <f>[1]CCModuleCopy!$D$13</f>
        <v>NULL</v>
      </c>
      <c r="AQ25" s="14" t="str">
        <f>[1]CCModuleCopy!$E$13</f>
        <v xml:space="preserve">Work and game smarter, not harder with these must-have computing offers. Expand the way you play, store and create and get up to 30% off monitors, up to 60% off memory cards, up to 35% off SSD and more. </v>
      </c>
      <c r="AR25" s="14" t="str">
        <f>[1]CCModuleCopy!$L$13</f>
        <v>Shop all</v>
      </c>
      <c r="AS25" s="14" t="str">
        <f>[1]CCModuleCopy!$M$13</f>
        <v>https://www.samsung.com/us/shop/all-deals/laptop-and-computer-deals/</v>
      </c>
      <c r="AT25" s="14" t="str">
        <f>[1]CCModuleCopy!$N$13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AU25" s="14" t="str">
        <f>[1]CCModuleCopy!$O$13</f>
        <v>NULL</v>
      </c>
      <c r="AV25" s="14" t="str">
        <f>[1]CCModuleCopy!$P$13</f>
        <v>NULL</v>
      </c>
      <c r="AW25" s="14" t="str">
        <f>[1]CCModuleCopy!$Q$13</f>
        <v>NULL</v>
      </c>
      <c r="AX25" s="45" t="s">
        <v>375</v>
      </c>
      <c r="AY25" s="14" t="str">
        <f>[1]CCModuleCopy!$B$9</f>
        <v>HA_HeadImage_Shop_HA_500xV.jpg</v>
      </c>
      <c r="AZ25" s="14" t="str">
        <f>[1]CCModuleCopy!$C$9</f>
        <v>Save up to 50% on everything you need to upgrade your home and home care</v>
      </c>
      <c r="BA25" s="14" t="str">
        <f>[1]CCModuleCopy!$D$9</f>
        <v>NULL</v>
      </c>
      <c r="BB25" s="14" t="str">
        <f>[1]CCModuleCopy!$E$9</f>
        <v xml:space="preserve">Complete your domestic oasis or prepare for holiday festivities, and even the clean up that comes after, today. 
Get an additional 10% off when you buy 4 or more eligible kitchen appliances. Save even more with early Black Friday prices for select categories.α 
Plus, buy and try a Jet Stick Cordless Vacuum with our new 100-day, risk-free trial. </v>
      </c>
      <c r="BC25" s="14" t="str">
        <f>[1]CCModuleCopy!$L$9</f>
        <v>Shop all</v>
      </c>
      <c r="BD25" s="14" t="str">
        <f>[1]CCModuleCopy!$M$9</f>
        <v>https://www.samsung.com/us/shop/all-deals/home-appliance-and-smart-home-sales/</v>
      </c>
      <c r="BE25" s="14" t="str">
        <f>[1]CCModuleCopy!$N$9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BF25" s="14" t="str">
        <f>[1]CCModuleCopy!$O$9</f>
        <v>NULL</v>
      </c>
      <c r="BG25" s="14" t="str">
        <f>[1]CCModuleCopy!$P$9</f>
        <v>NULL</v>
      </c>
      <c r="BH25" s="14" t="str">
        <f>[1]CCModuleCopy!$Q$9</f>
        <v>NULL</v>
      </c>
      <c r="BI25" s="45" t="s">
        <v>353</v>
      </c>
      <c r="BJ25" s="14" t="str">
        <f>[1]MiscBanners!$I$4</f>
        <v>Give-wonder-500xV.jpg</v>
      </c>
      <c r="BK25" s="14" t="str">
        <f>[1]MiscBanners!$J$4</f>
        <v>The gift that keeps on giving</v>
      </c>
      <c r="BL25" s="14" t="str">
        <f>[1]MiscBanners!$K$4</f>
        <v>NULL</v>
      </c>
      <c r="BM25" s="66" t="str">
        <f>[1]MiscBanners!$L$4</f>
        <v>Discover even more exclusive offers on your favorite products and unlock the power of smart and savvy gifting.</v>
      </c>
      <c r="BN25" s="14" t="str">
        <f>[1]MiscBanners!$M$4</f>
        <v>Shop now</v>
      </c>
      <c r="BO25" s="14" t="str">
        <f>[1]MiscBanners!$N$4</f>
        <v>https://www.samsung.com/us/gift-ideas/</v>
      </c>
      <c r="BP25" s="14" t="str">
        <f>[1]MiscBanners!$U$4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BQ25" s="14" t="str">
        <f>[1]MiscBanners!$P$4</f>
        <v>NULL</v>
      </c>
      <c r="BR25" s="14" t="str">
        <f>[1]MiscBanners!$Q$4</f>
        <v>NULL</v>
      </c>
      <c r="BS25" s="14" t="str">
        <f>[1]MiscBanners!$R$4</f>
        <v>NULL</v>
      </c>
      <c r="BT25" s="45" t="s">
        <v>354</v>
      </c>
      <c r="BX25" s="66"/>
      <c r="CE25" s="45" t="s">
        <v>376</v>
      </c>
      <c r="CF25" s="14" t="s">
        <v>122</v>
      </c>
      <c r="CG25" s="14" t="s">
        <v>122</v>
      </c>
      <c r="CH25" s="14" t="s">
        <v>122</v>
      </c>
      <c r="CI25" s="66" t="s">
        <v>366</v>
      </c>
      <c r="CJ25" s="14" t="s">
        <v>122</v>
      </c>
      <c r="CK25" s="14" t="s">
        <v>367</v>
      </c>
      <c r="CL25" s="14">
        <v>0</v>
      </c>
      <c r="CM25" s="14" t="s">
        <v>122</v>
      </c>
      <c r="CN25" s="14" t="s">
        <v>122</v>
      </c>
      <c r="CO25" s="14" t="s">
        <v>122</v>
      </c>
      <c r="CP25" s="45" t="s">
        <v>356</v>
      </c>
      <c r="CQ25" s="14" t="s">
        <v>122</v>
      </c>
      <c r="CR25" s="14" t="s">
        <v>122</v>
      </c>
      <c r="CS25" s="14" t="s">
        <v>122</v>
      </c>
      <c r="CT25" s="66" t="s">
        <v>368</v>
      </c>
      <c r="CU25" s="14" t="s">
        <v>122</v>
      </c>
      <c r="CV25" s="14" t="s">
        <v>367</v>
      </c>
      <c r="CW25" s="14">
        <v>0</v>
      </c>
      <c r="CX25" s="14" t="s">
        <v>122</v>
      </c>
      <c r="CY25" s="14" t="s">
        <v>122</v>
      </c>
      <c r="CZ25" s="14" t="s">
        <v>122</v>
      </c>
      <c r="DA25" s="45" t="s">
        <v>357</v>
      </c>
      <c r="DB25" s="14" t="s">
        <v>122</v>
      </c>
      <c r="DC25" s="14" t="s">
        <v>122</v>
      </c>
      <c r="DD25" s="14" t="s">
        <v>122</v>
      </c>
      <c r="DE25" s="66" t="s">
        <v>383</v>
      </c>
      <c r="DF25" s="14" t="s">
        <v>122</v>
      </c>
      <c r="DG25" s="14">
        <v>0</v>
      </c>
      <c r="DH25" s="14">
        <v>0</v>
      </c>
      <c r="DI25" s="14" t="s">
        <v>122</v>
      </c>
      <c r="DJ25" s="14" t="s">
        <v>122</v>
      </c>
      <c r="DK25" s="14" t="s">
        <v>122</v>
      </c>
      <c r="DL25" s="45"/>
      <c r="DP25" s="66"/>
    </row>
    <row r="26" spans="1:126" s="14" customFormat="1" ht="89.25" customHeight="1" x14ac:dyDescent="0.25">
      <c r="A26" s="67" t="s">
        <v>369</v>
      </c>
      <c r="B26" s="16" t="s">
        <v>380</v>
      </c>
      <c r="C26" s="14" t="s">
        <v>393</v>
      </c>
      <c r="D26" s="14" t="str">
        <f>'[1]Dynamic Banners'!$M$7</f>
        <v xml:space="preserve">Cyber Monday may be over, but shop and save all Cyber Week long. </v>
      </c>
      <c r="E26" s="14" t="str">
        <f>'[1]Dynamic Banners'!$M$7</f>
        <v xml:space="preserve">Cyber Monday may be over, but shop and save all Cyber Week long. </v>
      </c>
      <c r="F26" s="14" t="str">
        <f>[1]MiscBanners!$B$4</f>
        <v>https://www.samsung.com/us/shop/all-deals/</v>
      </c>
      <c r="G26"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H26" s="23" t="s">
        <v>191</v>
      </c>
      <c r="I26" s="83" t="s">
        <v>379</v>
      </c>
      <c r="J26" s="23" t="str">
        <f>[1]MiscBanners!$B$4</f>
        <v>https://www.samsung.com/us/shop/all-deals/</v>
      </c>
      <c r="K26"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L26" s="45" t="s">
        <v>372</v>
      </c>
      <c r="M26" s="23" t="str">
        <f>[1]CCModuleCopy!$D$15</f>
        <v>NULL</v>
      </c>
      <c r="N26" s="23" t="str">
        <f>[1]CCModuleCopy!$E$15</f>
        <v xml:space="preserve">Empower how you create, work, learn, game and more with our powerful line of tablets. Shop our offers on great products from the new Galaxy Tab S7+ to the Galaxy Tab S6 Lite. </v>
      </c>
      <c r="O26" s="14" t="str">
        <f>[1]CCModuleCopy!$L$15</f>
        <v>Shop all</v>
      </c>
      <c r="P26" s="23" t="str">
        <f>[1]CCModuleCopy!$M$15</f>
        <v>https://www.samsung.com/us/shop/all-deals/tablets-wearables-cell-phone-accessories-deals/</v>
      </c>
      <c r="Q26" s="14" t="str">
        <f>[1]CCModuleCopy!$N$15</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R26" s="45" t="s">
        <v>391</v>
      </c>
      <c r="S26" s="14" t="str">
        <f>[1]CCModuleCopy!$C$5</f>
        <v>Save up to $1000 instantly on the latest and greatest Galaxy smartphones</v>
      </c>
      <c r="T26" s="23" t="str">
        <f>[1]CCModuleCopy!$D$5</f>
        <v>NULL</v>
      </c>
      <c r="U26" s="23" t="str">
        <f>[1]CCModuleCopy!$E$5</f>
        <v>Black Friday prices and trade-in values are in full effect, giving you access to some of our best offers of the year on  Galaxy Note20 5G, S20 FE 5G, Z Fold2 5G and select A series devices.
Plus, get $30 or more instant credit toward accessories with any smartphone purchase to complete your Galaxy Ecosystem.†</v>
      </c>
      <c r="V26" s="14" t="str">
        <f>[1]CCModuleCopy!$L$5</f>
        <v>Shop all</v>
      </c>
      <c r="W26" s="23" t="str">
        <f>[1]CCModuleCopy!$M$5</f>
        <v>https://www.samsung.com/us/shop/all-deals/cell-phone-deals/</v>
      </c>
      <c r="X26" s="14" t="str">
        <f>[1]CCModuleCopy!$N$5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Y26" s="45" t="s">
        <v>371</v>
      </c>
      <c r="Z26" s="14" t="str">
        <f>[1]CCModuleCopy!$C$7</f>
        <v>Get up to $3000 off select 8K, 4K and Lifestyle TVs</v>
      </c>
      <c r="AA26" s="23" t="str">
        <f>[1]CCModuleCopy!$D$7</f>
        <v>NULL</v>
      </c>
      <c r="AB26" s="23" t="str">
        <f>[1]CCModuleCopy!$E$7</f>
        <v xml:space="preserve">Discover the mind-blowing, true-to-live resolution of QLED technology.
Save up to $3000 on 8K TVs, up to $1800 on select 4K TVs, up to $1300 on Lifestyle TVs and up to $400 on select soundbars and more. 
Plus, buy and try select Lifestyle TVs, soundbars and The Premiere Projector with our new 100-day, risk-free trial. </v>
      </c>
      <c r="AC26" s="14" t="str">
        <f>[1]CCModuleCopy!$L$7</f>
        <v>Shop all</v>
      </c>
      <c r="AD26" s="23" t="str">
        <f>[1]CCModuleCopy!$M$7</f>
        <v>https://www.samsung.com/us/shop/all-deals/tv-and-home-theater-deals/</v>
      </c>
      <c r="AE26" s="14" t="str">
        <f>[1]CCModuleCopy!$N$7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AF26" s="45" t="s">
        <v>373</v>
      </c>
      <c r="AG26" s="14" t="str">
        <f>[1]CCModuleCopy!$C$11</f>
        <v>Get up to $100 off select watches and earbuds</v>
      </c>
      <c r="AH26" s="23" t="str">
        <f>[1]CCModuleCopy!$D$11</f>
        <v>NULL</v>
      </c>
      <c r="AI26" s="23" t="str">
        <f>[1]CCModuleCopy!$E$11</f>
        <v>Shop our exclusive Black Friday offers on Galaxy Watch3 Titanium, Watch3, Buds+ and more, suited for every lifestyle and every holiday shopping budget. 
Plus, now you can flex your fashion muscles with the new Samsung Design Studio. Create a Galaxy Watch as unique as you, today.</v>
      </c>
      <c r="AJ26" s="14" t="str">
        <f>[1]CCModuleCopy!$L$11</f>
        <v>Shop all</v>
      </c>
      <c r="AK26" s="23" t="str">
        <f>[1]CCModuleCopy!$M$11</f>
        <v>https://www.samsung.com/us/shop/all-deals/tablets-wearables-cell-phone-accessories-deals/</v>
      </c>
      <c r="AL26" s="66" t="str">
        <f>[1]CCModuleCopy!$N$11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AM26" s="45" t="s">
        <v>374</v>
      </c>
      <c r="AN26" s="14" t="str">
        <f>[1]CCModuleCopy!$B$13</f>
        <v>CE_HeadImage_Computing_500xV.jpg</v>
      </c>
      <c r="AO26" s="14" t="str">
        <f>[1]CCModuleCopy!$C$13</f>
        <v>Get up to 60% off memory cards, SSD, monitors and more</v>
      </c>
      <c r="AP26" s="14" t="str">
        <f>[1]CCModuleCopy!$D$13</f>
        <v>NULL</v>
      </c>
      <c r="AQ26" s="14" t="str">
        <f>[1]CCModuleCopy!$E$13</f>
        <v xml:space="preserve">Work and game smarter, not harder with these must-have computing offers. Expand the way you play, store and create and get up to 30% off monitors, up to 60% off memory cards, up to 35% off SSD and more. </v>
      </c>
      <c r="AR26" s="14" t="str">
        <f>[1]CCModuleCopy!$L$13</f>
        <v>Shop all</v>
      </c>
      <c r="AS26" s="14" t="str">
        <f>[1]CCModuleCopy!$M$13</f>
        <v>https://www.samsung.com/us/shop/all-deals/laptop-and-computer-deals/</v>
      </c>
      <c r="AT26" s="14" t="str">
        <f>[1]CCModuleCopy!$N$13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AU26" s="14" t="str">
        <f>[1]CCModuleCopy!$O$13</f>
        <v>NULL</v>
      </c>
      <c r="AV26" s="14" t="str">
        <f>[1]CCModuleCopy!$P$13</f>
        <v>NULL</v>
      </c>
      <c r="AW26" s="14" t="str">
        <f>[1]CCModuleCopy!$Q$13</f>
        <v>NULL</v>
      </c>
      <c r="AX26" s="45" t="s">
        <v>375</v>
      </c>
      <c r="AY26" s="14" t="str">
        <f>[1]CCModuleCopy!$B$9</f>
        <v>HA_HeadImage_Shop_HA_500xV.jpg</v>
      </c>
      <c r="AZ26" s="14" t="str">
        <f>[1]CCModuleCopy!$C$9</f>
        <v>Save up to 50% on everything you need to upgrade your home and home care</v>
      </c>
      <c r="BA26" s="14" t="str">
        <f>[1]CCModuleCopy!$D$9</f>
        <v>NULL</v>
      </c>
      <c r="BB26" s="14" t="str">
        <f>[1]CCModuleCopy!$E$9</f>
        <v xml:space="preserve">Complete your domestic oasis or prepare for holiday festivities, and even the clean up that comes after, today. 
Get an additional 10% off when you buy 4 or more eligible kitchen appliances. Save even more with early Black Friday prices for select categories.α 
Plus, buy and try a Jet Stick Cordless Vacuum with our new 100-day, risk-free trial. </v>
      </c>
      <c r="BC26" s="14" t="str">
        <f>[1]CCModuleCopy!$L$9</f>
        <v>Shop all</v>
      </c>
      <c r="BD26" s="14" t="str">
        <f>[1]CCModuleCopy!$M$9</f>
        <v>https://www.samsung.com/us/shop/all-deals/home-appliance-and-smart-home-sales/</v>
      </c>
      <c r="BE26" s="14" t="str">
        <f>[1]CCModuleCopy!$N$9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BF26" s="14" t="str">
        <f>[1]CCModuleCopy!$O$9</f>
        <v>NULL</v>
      </c>
      <c r="BG26" s="14" t="str">
        <f>[1]CCModuleCopy!$P$9</f>
        <v>NULL</v>
      </c>
      <c r="BH26" s="14" t="str">
        <f>[1]CCModuleCopy!$Q$9</f>
        <v>NULL</v>
      </c>
      <c r="BI26" s="45" t="s">
        <v>353</v>
      </c>
      <c r="BJ26" s="14" t="str">
        <f>[1]MiscBanners!$I$4</f>
        <v>Give-wonder-500xV.jpg</v>
      </c>
      <c r="BK26" s="14" t="str">
        <f>[1]MiscBanners!$J$4</f>
        <v>The gift that keeps on giving</v>
      </c>
      <c r="BL26" s="14" t="str">
        <f>[1]MiscBanners!$K$4</f>
        <v>NULL</v>
      </c>
      <c r="BM26" s="66" t="str">
        <f>[1]MiscBanners!$L$4</f>
        <v>Discover even more exclusive offers on your favorite products and unlock the power of smart and savvy gifting.</v>
      </c>
      <c r="BN26" s="14" t="str">
        <f>[1]MiscBanners!$M$4</f>
        <v>Shop now</v>
      </c>
      <c r="BO26" s="14" t="str">
        <f>[1]MiscBanners!$N$4</f>
        <v>https://www.samsung.com/us/gift-ideas/</v>
      </c>
      <c r="BP26" s="14" t="str">
        <f>[1]MiscBanners!$U$4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BQ26" s="14" t="str">
        <f>[1]MiscBanners!$P$4</f>
        <v>NULL</v>
      </c>
      <c r="BR26" s="14" t="str">
        <f>[1]MiscBanners!$Q$4</f>
        <v>NULL</v>
      </c>
      <c r="BS26" s="14" t="str">
        <f>[1]MiscBanners!$R$4</f>
        <v>NULL</v>
      </c>
      <c r="BT26" s="45" t="s">
        <v>354</v>
      </c>
      <c r="BX26" s="66"/>
      <c r="CE26" s="45" t="s">
        <v>376</v>
      </c>
      <c r="CF26" s="14" t="s">
        <v>122</v>
      </c>
      <c r="CG26" s="14" t="s">
        <v>122</v>
      </c>
      <c r="CH26" s="14" t="s">
        <v>122</v>
      </c>
      <c r="CI26" s="66" t="s">
        <v>366</v>
      </c>
      <c r="CJ26" s="14" t="s">
        <v>122</v>
      </c>
      <c r="CK26" s="14" t="s">
        <v>367</v>
      </c>
      <c r="CL26" s="14">
        <v>0</v>
      </c>
      <c r="CM26" s="14" t="s">
        <v>122</v>
      </c>
      <c r="CN26" s="14" t="s">
        <v>122</v>
      </c>
      <c r="CO26" s="14" t="s">
        <v>122</v>
      </c>
      <c r="CP26" s="45" t="s">
        <v>356</v>
      </c>
      <c r="CQ26" s="14" t="s">
        <v>122</v>
      </c>
      <c r="CR26" s="14" t="s">
        <v>122</v>
      </c>
      <c r="CS26" s="14" t="s">
        <v>122</v>
      </c>
      <c r="CT26" s="66" t="s">
        <v>368</v>
      </c>
      <c r="CU26" s="14" t="s">
        <v>122</v>
      </c>
      <c r="CV26" s="14" t="s">
        <v>367</v>
      </c>
      <c r="CW26" s="14">
        <v>0</v>
      </c>
      <c r="CX26" s="14" t="s">
        <v>122</v>
      </c>
      <c r="CY26" s="14" t="s">
        <v>122</v>
      </c>
      <c r="CZ26" s="14" t="s">
        <v>122</v>
      </c>
      <c r="DA26" s="45" t="s">
        <v>357</v>
      </c>
      <c r="DB26" s="14" t="s">
        <v>122</v>
      </c>
      <c r="DC26" s="14" t="s">
        <v>122</v>
      </c>
      <c r="DD26" s="14" t="s">
        <v>122</v>
      </c>
      <c r="DE26" s="66" t="s">
        <v>383</v>
      </c>
      <c r="DF26" s="14" t="s">
        <v>122</v>
      </c>
      <c r="DG26" s="14">
        <v>0</v>
      </c>
      <c r="DH26" s="14">
        <v>0</v>
      </c>
      <c r="DI26" s="14" t="s">
        <v>122</v>
      </c>
      <c r="DJ26" s="14" t="s">
        <v>122</v>
      </c>
      <c r="DK26" s="14" t="s">
        <v>122</v>
      </c>
      <c r="DL26" s="45"/>
      <c r="DP26" s="66"/>
    </row>
    <row r="27" spans="1:126" s="14" customFormat="1" ht="85.5" customHeight="1" x14ac:dyDescent="0.25">
      <c r="A27" s="67" t="s">
        <v>369</v>
      </c>
      <c r="B27" s="14" t="s">
        <v>384</v>
      </c>
      <c r="C27" s="14" t="s">
        <v>393</v>
      </c>
      <c r="D27" s="14" t="str">
        <f>'[1]Dynamic Banners'!$M$7</f>
        <v xml:space="preserve">Cyber Monday may be over, but shop and save all Cyber Week long. </v>
      </c>
      <c r="E27" s="14" t="str">
        <f>'[1]Dynamic Banners'!$M$7</f>
        <v xml:space="preserve">Cyber Monday may be over, but shop and save all Cyber Week long. </v>
      </c>
      <c r="F27" s="14" t="str">
        <f>[1]MiscBanners!$B$4</f>
        <v>https://www.samsung.com/us/shop/all-deals/</v>
      </c>
      <c r="G27"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H27" s="23" t="s">
        <v>191</v>
      </c>
      <c r="I27" s="83" t="s">
        <v>379</v>
      </c>
      <c r="J27" s="23" t="str">
        <f>[1]MiscBanners!$B$4</f>
        <v>https://www.samsung.com/us/shop/all-deals/</v>
      </c>
      <c r="K27"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L27" s="45" t="s">
        <v>373</v>
      </c>
      <c r="M27" s="23" t="str">
        <f>[1]CCModuleCopy!$D$11</f>
        <v>NULL</v>
      </c>
      <c r="N27" s="23" t="str">
        <f>[1]CCModuleCopy!$E$11</f>
        <v>Shop our exclusive Black Friday offers on Galaxy Watch3 Titanium, Watch3, Buds+ and more, suited for every lifestyle and every holiday shopping budget. 
Plus, now you can flex your fashion muscles with the new Samsung Design Studio. Create a Galaxy Watch as unique as you, today.</v>
      </c>
      <c r="O27" s="14" t="str">
        <f>[1]CCModuleCopy!$L$11</f>
        <v>Shop all</v>
      </c>
      <c r="P27" s="23" t="str">
        <f>[1]CCModuleCopy!$M$11</f>
        <v>https://www.samsung.com/us/shop/all-deals/tablets-wearables-cell-phone-accessories-deals/</v>
      </c>
      <c r="Q27" s="14" t="str">
        <f>[1]CCModuleCopy!$N$11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R27" s="45" t="s">
        <v>391</v>
      </c>
      <c r="S27" s="14" t="str">
        <f>[1]CCModuleCopy!$C$5</f>
        <v>Save up to $1000 instantly on the latest and greatest Galaxy smartphones</v>
      </c>
      <c r="T27" s="23" t="str">
        <f>[1]CCModuleCopy!$D$5</f>
        <v>NULL</v>
      </c>
      <c r="U27" s="23" t="str">
        <f>[1]CCModuleCopy!$E$5</f>
        <v>Black Friday prices and trade-in values are in full effect, giving you access to some of our best offers of the year on  Galaxy Note20 5G, S20 FE 5G, Z Fold2 5G and select A series devices.
Plus, get $30 or more instant credit toward accessories with any smartphone purchase to complete your Galaxy Ecosystem.†</v>
      </c>
      <c r="V27" s="14" t="str">
        <f>[1]CCModuleCopy!$L$5</f>
        <v>Shop all</v>
      </c>
      <c r="W27" s="23" t="str">
        <f>[1]CCModuleCopy!$M$5</f>
        <v>https://www.samsung.com/us/shop/all-deals/cell-phone-deals/</v>
      </c>
      <c r="X27" s="14" t="str">
        <f>[1]CCModuleCopy!$N$5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Y27" s="45" t="s">
        <v>371</v>
      </c>
      <c r="Z27" s="14" t="str">
        <f>[1]CCModuleCopy!$C$7</f>
        <v>Get up to $3000 off select 8K, 4K and Lifestyle TVs</v>
      </c>
      <c r="AA27" s="23" t="str">
        <f>[1]CCModuleCopy!$D$7</f>
        <v>NULL</v>
      </c>
      <c r="AB27" s="23" t="str">
        <f>[1]CCModuleCopy!$E$7</f>
        <v xml:space="preserve">Discover the mind-blowing, true-to-live resolution of QLED technology.
Save up to $3000 on 8K TVs, up to $1800 on select 4K TVs, up to $1300 on Lifestyle TVs and up to $400 on select soundbars and more. 
Plus, buy and try select Lifestyle TVs, soundbars and The Premiere Projector with our new 100-day, risk-free trial. </v>
      </c>
      <c r="AC27" s="14" t="str">
        <f>[1]CCModuleCopy!$L$7</f>
        <v>Shop all</v>
      </c>
      <c r="AD27" s="23" t="str">
        <f>[1]CCModuleCopy!$M$7</f>
        <v>https://www.samsung.com/us/shop/all-deals/tv-and-home-theater-deals/</v>
      </c>
      <c r="AE27" s="14" t="str">
        <f>[1]CCModuleCopy!$N$7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AF27" s="45" t="s">
        <v>372</v>
      </c>
      <c r="AG27" s="14" t="str">
        <f>[1]CCModuleCopy!$C$15</f>
        <v>Save up to $150 on select tablets</v>
      </c>
      <c r="AH27" s="23" t="str">
        <f>[1]CCModuleCopy!$D$15</f>
        <v>NULL</v>
      </c>
      <c r="AI27" s="23" t="str">
        <f>[1]CCModuleCopy!$E$15</f>
        <v xml:space="preserve">Empower how you create, work, learn, game and more with our powerful line of tablets. Shop our offers on great products from the new Galaxy Tab S7+ to the Galaxy Tab S6 Lite. </v>
      </c>
      <c r="AJ27" s="14" t="str">
        <f>[1]CCModuleCopy!$L$15</f>
        <v>Shop all</v>
      </c>
      <c r="AK27" s="23" t="str">
        <f>[1]CCModuleCopy!$M$15</f>
        <v>https://www.samsung.com/us/shop/all-deals/tablets-wearables-cell-phone-accessories-deals/</v>
      </c>
      <c r="AL27" s="66" t="str">
        <f>[1]CCModuleCopy!$N$15</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AM27" s="45" t="s">
        <v>374</v>
      </c>
      <c r="AN27" s="14" t="str">
        <f>[1]CCModuleCopy!$B$13</f>
        <v>CE_HeadImage_Computing_500xV.jpg</v>
      </c>
      <c r="AO27" s="14" t="str">
        <f>[1]CCModuleCopy!$C$13</f>
        <v>Get up to 60% off memory cards, SSD, monitors and more</v>
      </c>
      <c r="AP27" s="14" t="str">
        <f>[1]CCModuleCopy!$D$13</f>
        <v>NULL</v>
      </c>
      <c r="AQ27" s="14" t="str">
        <f>[1]CCModuleCopy!$E$13</f>
        <v xml:space="preserve">Work and game smarter, not harder with these must-have computing offers. Expand the way you play, store and create and get up to 30% off monitors, up to 60% off memory cards, up to 35% off SSD and more. </v>
      </c>
      <c r="AR27" s="14" t="str">
        <f>[1]CCModuleCopy!$L$13</f>
        <v>Shop all</v>
      </c>
      <c r="AS27" s="14" t="str">
        <f>[1]CCModuleCopy!$M$13</f>
        <v>https://www.samsung.com/us/shop/all-deals/laptop-and-computer-deals/</v>
      </c>
      <c r="AT27" s="14" t="str">
        <f>[1]CCModuleCopy!$N$13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AU27" s="14" t="str">
        <f>[1]CCModuleCopy!$O$13</f>
        <v>NULL</v>
      </c>
      <c r="AV27" s="14" t="str">
        <f>[1]CCModuleCopy!$P$13</f>
        <v>NULL</v>
      </c>
      <c r="AW27" s="14" t="str">
        <f>[1]CCModuleCopy!$Q$13</f>
        <v>NULL</v>
      </c>
      <c r="AX27" s="45" t="s">
        <v>375</v>
      </c>
      <c r="AY27" s="14" t="str">
        <f>[1]CCModuleCopy!$B$9</f>
        <v>HA_HeadImage_Shop_HA_500xV.jpg</v>
      </c>
      <c r="AZ27" s="14" t="str">
        <f>[1]CCModuleCopy!$C$9</f>
        <v>Save up to 50% on everything you need to upgrade your home and home care</v>
      </c>
      <c r="BA27" s="14" t="str">
        <f>[1]CCModuleCopy!$D$9</f>
        <v>NULL</v>
      </c>
      <c r="BB27" s="14" t="str">
        <f>[1]CCModuleCopy!$E$9</f>
        <v xml:space="preserve">Complete your domestic oasis or prepare for holiday festivities, and even the clean up that comes after, today. 
Get an additional 10% off when you buy 4 or more eligible kitchen appliances. Save even more with early Black Friday prices for select categories.α 
Plus, buy and try a Jet Stick Cordless Vacuum with our new 100-day, risk-free trial. </v>
      </c>
      <c r="BC27" s="14" t="str">
        <f>[1]CCModuleCopy!$L$9</f>
        <v>Shop all</v>
      </c>
      <c r="BD27" s="14" t="str">
        <f>[1]CCModuleCopy!$M$9</f>
        <v>https://www.samsung.com/us/shop/all-deals/home-appliance-and-smart-home-sales/</v>
      </c>
      <c r="BE27" s="14" t="str">
        <f>[1]CCModuleCopy!$N$9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BF27" s="14" t="str">
        <f>[1]CCModuleCopy!$O$9</f>
        <v>NULL</v>
      </c>
      <c r="BG27" s="14" t="str">
        <f>[1]CCModuleCopy!$P$9</f>
        <v>NULL</v>
      </c>
      <c r="BH27" s="14" t="str">
        <f>[1]CCModuleCopy!$Q$9</f>
        <v>NULL</v>
      </c>
      <c r="BI27" s="45" t="s">
        <v>353</v>
      </c>
      <c r="BJ27" s="14" t="str">
        <f>[1]MiscBanners!$I$4</f>
        <v>Give-wonder-500xV.jpg</v>
      </c>
      <c r="BK27" s="14" t="str">
        <f>[1]MiscBanners!$J$4</f>
        <v>The gift that keeps on giving</v>
      </c>
      <c r="BL27" s="14" t="str">
        <f>[1]MiscBanners!$K$4</f>
        <v>NULL</v>
      </c>
      <c r="BM27" s="66" t="str">
        <f>[1]MiscBanners!$L$4</f>
        <v>Discover even more exclusive offers on your favorite products and unlock the power of smart and savvy gifting.</v>
      </c>
      <c r="BN27" s="14" t="str">
        <f>[1]MiscBanners!$M$4</f>
        <v>Shop now</v>
      </c>
      <c r="BO27" s="14" t="str">
        <f>[1]MiscBanners!$N$4</f>
        <v>https://www.samsung.com/us/gift-ideas/</v>
      </c>
      <c r="BP27" s="14" t="str">
        <f>[1]MiscBanners!$U$4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BQ27" s="14" t="str">
        <f>[1]MiscBanners!$P$4</f>
        <v>NULL</v>
      </c>
      <c r="BR27" s="14" t="str">
        <f>[1]MiscBanners!$Q$4</f>
        <v>NULL</v>
      </c>
      <c r="BS27" s="14" t="str">
        <f>[1]MiscBanners!$R$4</f>
        <v>NULL</v>
      </c>
      <c r="BT27" s="45" t="s">
        <v>354</v>
      </c>
      <c r="BX27" s="66"/>
      <c r="CE27" s="45" t="s">
        <v>376</v>
      </c>
      <c r="CF27" s="14" t="s">
        <v>122</v>
      </c>
      <c r="CG27" s="14" t="s">
        <v>122</v>
      </c>
      <c r="CH27" s="14" t="s">
        <v>122</v>
      </c>
      <c r="CI27" s="66" t="s">
        <v>366</v>
      </c>
      <c r="CJ27" s="14" t="s">
        <v>122</v>
      </c>
      <c r="CK27" s="14" t="s">
        <v>367</v>
      </c>
      <c r="CL27" s="14">
        <v>0</v>
      </c>
      <c r="CM27" s="14" t="s">
        <v>122</v>
      </c>
      <c r="CN27" s="14" t="s">
        <v>122</v>
      </c>
      <c r="CO27" s="14" t="s">
        <v>122</v>
      </c>
      <c r="CP27" s="45" t="s">
        <v>356</v>
      </c>
      <c r="CQ27" s="14" t="s">
        <v>122</v>
      </c>
      <c r="CR27" s="14" t="s">
        <v>122</v>
      </c>
      <c r="CS27" s="14" t="s">
        <v>122</v>
      </c>
      <c r="CT27" s="66" t="s">
        <v>368</v>
      </c>
      <c r="CU27" s="14" t="s">
        <v>122</v>
      </c>
      <c r="CV27" s="14" t="s">
        <v>367</v>
      </c>
      <c r="CW27" s="14">
        <v>0</v>
      </c>
      <c r="CX27" s="14" t="s">
        <v>122</v>
      </c>
      <c r="CY27" s="14" t="s">
        <v>122</v>
      </c>
      <c r="CZ27" s="14" t="s">
        <v>122</v>
      </c>
      <c r="DA27" s="45" t="s">
        <v>357</v>
      </c>
      <c r="DB27" s="14" t="s">
        <v>122</v>
      </c>
      <c r="DC27" s="14" t="s">
        <v>122</v>
      </c>
      <c r="DD27" s="14" t="s">
        <v>122</v>
      </c>
      <c r="DE27" s="66" t="s">
        <v>383</v>
      </c>
      <c r="DF27" s="14" t="s">
        <v>122</v>
      </c>
      <c r="DG27" s="14">
        <v>0</v>
      </c>
      <c r="DH27" s="14">
        <v>0</v>
      </c>
      <c r="DI27" s="14" t="s">
        <v>122</v>
      </c>
      <c r="DJ27" s="14" t="s">
        <v>122</v>
      </c>
      <c r="DK27" s="14" t="s">
        <v>122</v>
      </c>
      <c r="DL27" s="45"/>
      <c r="DP27" s="66"/>
    </row>
    <row r="28" spans="1:126" s="14" customFormat="1" ht="85.5" customHeight="1" x14ac:dyDescent="0.25">
      <c r="A28" s="67" t="s">
        <v>369</v>
      </c>
      <c r="B28" s="14" t="s">
        <v>386</v>
      </c>
      <c r="C28" s="14" t="s">
        <v>393</v>
      </c>
      <c r="D28" s="14" t="str">
        <f>'[1]Dynamic Banners'!$M$7</f>
        <v xml:space="preserve">Cyber Monday may be over, but shop and save all Cyber Week long. </v>
      </c>
      <c r="E28" s="14" t="str">
        <f>'[1]Dynamic Banners'!$M$7</f>
        <v xml:space="preserve">Cyber Monday may be over, but shop and save all Cyber Week long. </v>
      </c>
      <c r="F28" s="14" t="str">
        <f>[1]MiscBanners!$B$4</f>
        <v>https://www.samsung.com/us/shop/all-deals/</v>
      </c>
      <c r="G28"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H28" s="23" t="s">
        <v>191</v>
      </c>
      <c r="I28" s="83" t="s">
        <v>379</v>
      </c>
      <c r="J28" s="23" t="str">
        <f>[1]MiscBanners!$B$4</f>
        <v>https://www.samsung.com/us/shop/all-deals/</v>
      </c>
      <c r="K28"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L28" s="45" t="s">
        <v>374</v>
      </c>
      <c r="M28" s="23" t="str">
        <f>[1]CCModuleCopy!$D$13</f>
        <v>NULL</v>
      </c>
      <c r="N28" s="23" t="str">
        <f>[1]CCModuleCopy!$E$13</f>
        <v xml:space="preserve">Work and game smarter, not harder with these must-have computing offers. Expand the way you play, store and create and get up to 30% off monitors, up to 60% off memory cards, up to 35% off SSD and more. </v>
      </c>
      <c r="O28" s="14" t="str">
        <f>[1]CCModuleCopy!$L$13</f>
        <v>Shop all</v>
      </c>
      <c r="P28" s="23" t="str">
        <f>[1]CCModuleCopy!$M$13</f>
        <v>https://www.samsung.com/us/shop/all-deals/laptop-and-computer-deals/</v>
      </c>
      <c r="Q28" s="14" t="str">
        <f>[1]CCModuleCopy!$N$13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R28" s="45" t="s">
        <v>391</v>
      </c>
      <c r="S28" s="14" t="str">
        <f>[1]CCModuleCopy!$C$5</f>
        <v>Save up to $1000 instantly on the latest and greatest Galaxy smartphones</v>
      </c>
      <c r="T28" s="23" t="str">
        <f>[1]CCModuleCopy!$D$5</f>
        <v>NULL</v>
      </c>
      <c r="U28" s="23" t="str">
        <f>[1]CCModuleCopy!$E$5</f>
        <v>Black Friday prices and trade-in values are in full effect, giving you access to some of our best offers of the year on  Galaxy Note20 5G, S20 FE 5G, Z Fold2 5G and select A series devices.
Plus, get $30 or more instant credit toward accessories with any smartphone purchase to complete your Galaxy Ecosystem.†</v>
      </c>
      <c r="V28" s="14" t="str">
        <f>[1]CCModuleCopy!$L$5</f>
        <v>Shop all</v>
      </c>
      <c r="W28" s="23" t="str">
        <f>[1]CCModuleCopy!$M$5</f>
        <v>https://www.samsung.com/us/shop/all-deals/cell-phone-deals/</v>
      </c>
      <c r="X28" s="14" t="str">
        <f>[1]CCModuleCopy!$N$5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Y28" s="45" t="s">
        <v>371</v>
      </c>
      <c r="Z28" s="14" t="str">
        <f>[1]CCModuleCopy!$C$7</f>
        <v>Get up to $3000 off select 8K, 4K and Lifestyle TVs</v>
      </c>
      <c r="AA28" s="23" t="str">
        <f>[1]CCModuleCopy!$D$7</f>
        <v>NULL</v>
      </c>
      <c r="AB28" s="23" t="str">
        <f>[1]CCModuleCopy!$E$7</f>
        <v xml:space="preserve">Discover the mind-blowing, true-to-live resolution of QLED technology.
Save up to $3000 on 8K TVs, up to $1800 on select 4K TVs, up to $1300 on Lifestyle TVs and up to $400 on select soundbars and more. 
Plus, buy and try select Lifestyle TVs, soundbars and The Premiere Projector with our new 100-day, risk-free trial. </v>
      </c>
      <c r="AC28" s="14" t="str">
        <f>[1]CCModuleCopy!$L$7</f>
        <v>Shop all</v>
      </c>
      <c r="AD28" s="23" t="str">
        <f>[1]CCModuleCopy!$M$7</f>
        <v>https://www.samsung.com/us/shop/all-deals/tv-and-home-theater-deals/</v>
      </c>
      <c r="AE28" s="14" t="str">
        <f>[1]CCModuleCopy!$N$7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AF28" s="45" t="s">
        <v>372</v>
      </c>
      <c r="AG28" s="14" t="str">
        <f>[1]CCModuleCopy!$C$15</f>
        <v>Save up to $150 on select tablets</v>
      </c>
      <c r="AH28" s="23" t="str">
        <f>[1]CCModuleCopy!$D$15</f>
        <v>NULL</v>
      </c>
      <c r="AI28" s="23" t="str">
        <f>[1]CCModuleCopy!$E$15</f>
        <v xml:space="preserve">Empower how you create, work, learn, game and more with our powerful line of tablets. Shop our offers on great products from the new Galaxy Tab S7+ to the Galaxy Tab S6 Lite. </v>
      </c>
      <c r="AJ28" s="14" t="str">
        <f>[1]CCModuleCopy!$L$15</f>
        <v>Shop all</v>
      </c>
      <c r="AK28" s="23" t="str">
        <f>[1]CCModuleCopy!$M$15</f>
        <v>https://www.samsung.com/us/shop/all-deals/tablets-wearables-cell-phone-accessories-deals/</v>
      </c>
      <c r="AL28" s="66" t="str">
        <f>[1]CCModuleCopy!$N$15</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AM28" s="45" t="s">
        <v>373</v>
      </c>
      <c r="AN28" s="14" t="str">
        <f>[1]CCModuleCopy!$B$11</f>
        <v>ME_HeadImage_Wearables_500xV.jpg</v>
      </c>
      <c r="AO28" s="14" t="str">
        <f>[1]CCModuleCopy!$C$11</f>
        <v>Get up to $100 off select watches and earbuds</v>
      </c>
      <c r="AP28" s="14" t="str">
        <f>[1]CCModuleCopy!$D$11</f>
        <v>NULL</v>
      </c>
      <c r="AQ28" s="14" t="str">
        <f>[1]CCModuleCopy!$E$11</f>
        <v>Shop our exclusive Black Friday offers on Galaxy Watch3 Titanium, Watch3, Buds+ and more, suited for every lifestyle and every holiday shopping budget. 
Plus, now you can flex your fashion muscles with the new Samsung Design Studio. Create a Galaxy Watch as unique as you, today.</v>
      </c>
      <c r="AR28" s="14" t="str">
        <f>[1]CCModuleCopy!$L$11</f>
        <v>Shop all</v>
      </c>
      <c r="AS28" s="14" t="str">
        <f>[1]CCModuleCopy!$M$11</f>
        <v>https://www.samsung.com/us/shop/all-deals/tablets-wearables-cell-phone-accessories-deals/</v>
      </c>
      <c r="AT28" s="14" t="str">
        <f>[1]CCModuleCopy!$N$11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AU28" s="14" t="str">
        <f>[1]CCModuleCopy!$O$11</f>
        <v>NULL</v>
      </c>
      <c r="AV28" s="14" t="str">
        <f>[1]CCModuleCopy!$P$11</f>
        <v>NULL</v>
      </c>
      <c r="AW28" s="14" t="str">
        <f>[1]CCModuleCopy!$Q$11</f>
        <v>NULL</v>
      </c>
      <c r="AX28" s="45" t="s">
        <v>375</v>
      </c>
      <c r="AY28" s="14" t="str">
        <f>[1]CCModuleCopy!$B$9</f>
        <v>HA_HeadImage_Shop_HA_500xV.jpg</v>
      </c>
      <c r="AZ28" s="14" t="str">
        <f>[1]CCModuleCopy!$C$9</f>
        <v>Save up to 50% on everything you need to upgrade your home and home care</v>
      </c>
      <c r="BA28" s="14" t="str">
        <f>[1]CCModuleCopy!$D$9</f>
        <v>NULL</v>
      </c>
      <c r="BB28" s="14" t="str">
        <f>[1]CCModuleCopy!$E$9</f>
        <v xml:space="preserve">Complete your domestic oasis or prepare for holiday festivities, and even the clean up that comes after, today. 
Get an additional 10% off when you buy 4 or more eligible kitchen appliances. Save even more with early Black Friday prices for select categories.α 
Plus, buy and try a Jet Stick Cordless Vacuum with our new 100-day, risk-free trial. </v>
      </c>
      <c r="BC28" s="14" t="str">
        <f>[1]CCModuleCopy!$L$9</f>
        <v>Shop all</v>
      </c>
      <c r="BD28" s="14" t="str">
        <f>[1]CCModuleCopy!$M$9</f>
        <v>https://www.samsung.com/us/shop/all-deals/home-appliance-and-smart-home-sales/</v>
      </c>
      <c r="BE28" s="14" t="str">
        <f>[1]CCModuleCopy!$N$9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BF28" s="14" t="str">
        <f>[1]CCModuleCopy!$O$9</f>
        <v>NULL</v>
      </c>
      <c r="BG28" s="14" t="str">
        <f>[1]CCModuleCopy!$P$9</f>
        <v>NULL</v>
      </c>
      <c r="BH28" s="14" t="str">
        <f>[1]CCModuleCopy!$Q$9</f>
        <v>NULL</v>
      </c>
      <c r="BI28" s="45" t="s">
        <v>353</v>
      </c>
      <c r="BJ28" s="14" t="str">
        <f>[1]MiscBanners!$I$4</f>
        <v>Give-wonder-500xV.jpg</v>
      </c>
      <c r="BK28" s="14" t="str">
        <f>[1]MiscBanners!$J$4</f>
        <v>The gift that keeps on giving</v>
      </c>
      <c r="BL28" s="14" t="str">
        <f>[1]MiscBanners!$K$4</f>
        <v>NULL</v>
      </c>
      <c r="BM28" s="66" t="str">
        <f>[1]MiscBanners!$L$4</f>
        <v>Discover even more exclusive offers on your favorite products and unlock the power of smart and savvy gifting.</v>
      </c>
      <c r="BN28" s="14" t="str">
        <f>[1]MiscBanners!$M$4</f>
        <v>Shop now</v>
      </c>
      <c r="BO28" s="14" t="str">
        <f>[1]MiscBanners!$N$4</f>
        <v>https://www.samsung.com/us/gift-ideas/</v>
      </c>
      <c r="BP28" s="14" t="str">
        <f>[1]MiscBanners!$U$4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BQ28" s="14" t="str">
        <f>[1]MiscBanners!$P$4</f>
        <v>NULL</v>
      </c>
      <c r="BR28" s="14" t="str">
        <f>[1]MiscBanners!$Q$4</f>
        <v>NULL</v>
      </c>
      <c r="BS28" s="14" t="str">
        <f>[1]MiscBanners!$R$4</f>
        <v>NULL</v>
      </c>
      <c r="BT28" s="45" t="s">
        <v>354</v>
      </c>
      <c r="BX28" s="66"/>
      <c r="CE28" s="45" t="s">
        <v>376</v>
      </c>
      <c r="CF28" s="14" t="s">
        <v>122</v>
      </c>
      <c r="CG28" s="14" t="s">
        <v>122</v>
      </c>
      <c r="CH28" s="14" t="s">
        <v>122</v>
      </c>
      <c r="CI28" s="66" t="s">
        <v>366</v>
      </c>
      <c r="CJ28" s="14" t="s">
        <v>122</v>
      </c>
      <c r="CK28" s="14" t="s">
        <v>367</v>
      </c>
      <c r="CL28" s="14">
        <v>0</v>
      </c>
      <c r="CM28" s="14" t="s">
        <v>122</v>
      </c>
      <c r="CN28" s="14" t="s">
        <v>122</v>
      </c>
      <c r="CO28" s="14" t="s">
        <v>122</v>
      </c>
      <c r="CP28" s="45" t="s">
        <v>356</v>
      </c>
      <c r="CQ28" s="14" t="s">
        <v>122</v>
      </c>
      <c r="CR28" s="14" t="s">
        <v>122</v>
      </c>
      <c r="CS28" s="14" t="s">
        <v>122</v>
      </c>
      <c r="CT28" s="66" t="s">
        <v>368</v>
      </c>
      <c r="CU28" s="14" t="s">
        <v>122</v>
      </c>
      <c r="CV28" s="14" t="s">
        <v>367</v>
      </c>
      <c r="CW28" s="14">
        <v>0</v>
      </c>
      <c r="CX28" s="14" t="s">
        <v>122</v>
      </c>
      <c r="CY28" s="14" t="s">
        <v>122</v>
      </c>
      <c r="CZ28" s="14" t="s">
        <v>122</v>
      </c>
      <c r="DA28" s="45" t="s">
        <v>357</v>
      </c>
      <c r="DB28" s="14" t="s">
        <v>122</v>
      </c>
      <c r="DC28" s="14" t="s">
        <v>122</v>
      </c>
      <c r="DD28" s="14" t="s">
        <v>122</v>
      </c>
      <c r="DE28" s="66" t="s">
        <v>383</v>
      </c>
      <c r="DF28" s="14" t="s">
        <v>122</v>
      </c>
      <c r="DG28" s="14">
        <v>0</v>
      </c>
      <c r="DH28" s="14">
        <v>0</v>
      </c>
      <c r="DI28" s="14" t="s">
        <v>122</v>
      </c>
      <c r="DJ28" s="14" t="s">
        <v>122</v>
      </c>
      <c r="DK28" s="14" t="s">
        <v>122</v>
      </c>
      <c r="DL28" s="45"/>
      <c r="DP28" s="66"/>
    </row>
    <row r="29" spans="1:126" s="14" customFormat="1" ht="88.5" customHeight="1" x14ac:dyDescent="0.25">
      <c r="A29" s="67" t="s">
        <v>369</v>
      </c>
      <c r="B29" s="14" t="s">
        <v>388</v>
      </c>
      <c r="C29" s="14" t="s">
        <v>393</v>
      </c>
      <c r="D29" s="14" t="str">
        <f>'[1]Dynamic Banners'!$M$7</f>
        <v xml:space="preserve">Cyber Monday may be over, but shop and save all Cyber Week long. </v>
      </c>
      <c r="E29" s="14" t="str">
        <f>'[1]Dynamic Banners'!$M$7</f>
        <v xml:space="preserve">Cyber Monday may be over, but shop and save all Cyber Week long. </v>
      </c>
      <c r="F29" s="14" t="str">
        <f>[1]MiscBanners!$B$4</f>
        <v>https://www.samsung.com/us/shop/all-deals/</v>
      </c>
      <c r="G29"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H29" s="23" t="s">
        <v>191</v>
      </c>
      <c r="I29" s="83" t="s">
        <v>379</v>
      </c>
      <c r="J29" s="23" t="str">
        <f>[1]MiscBanners!$B$4</f>
        <v>https://www.samsung.com/us/shop/all-deals/</v>
      </c>
      <c r="K29" s="14"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L29" s="45" t="s">
        <v>375</v>
      </c>
      <c r="M29" s="23" t="str">
        <f>[1]CCModuleCopy!$D$9</f>
        <v>NULL</v>
      </c>
      <c r="N29" s="23" t="str">
        <f>[1]CCModuleCopy!$E$9</f>
        <v xml:space="preserve">Complete your domestic oasis or prepare for holiday festivities, and even the clean up that comes after, today. 
Get an additional 10% off when you buy 4 or more eligible kitchen appliances. Save even more with early Black Friday prices for select categories.α 
Plus, buy and try a Jet Stick Cordless Vacuum with our new 100-day, risk-free trial. </v>
      </c>
      <c r="O29" s="14" t="str">
        <f>[1]CCModuleCopy!$L$9</f>
        <v>Shop all</v>
      </c>
      <c r="P29" s="23" t="str">
        <f>[1]CCModuleCopy!$M$9</f>
        <v>https://www.samsung.com/us/shop/all-deals/home-appliance-and-smart-home-sales/</v>
      </c>
      <c r="Q29" s="14" t="str">
        <f>[1]CCModuleCopy!$N$9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R29" s="45" t="s">
        <v>391</v>
      </c>
      <c r="S29" s="14" t="str">
        <f>[1]CCModuleCopy!$C$5</f>
        <v>Save up to $1000 instantly on the latest and greatest Galaxy smartphones</v>
      </c>
      <c r="T29" s="23" t="str">
        <f>[1]CCModuleCopy!$D$5</f>
        <v>NULL</v>
      </c>
      <c r="U29" s="23" t="str">
        <f>[1]CCModuleCopy!$E$5</f>
        <v>Black Friday prices and trade-in values are in full effect, giving you access to some of our best offers of the year on  Galaxy Note20 5G, S20 FE 5G, Z Fold2 5G and select A series devices.
Plus, get $30 or more instant credit toward accessories with any smartphone purchase to complete your Galaxy Ecosystem.†</v>
      </c>
      <c r="V29" s="14" t="str">
        <f>[1]CCModuleCopy!$L$5</f>
        <v>Shop all</v>
      </c>
      <c r="W29" s="23" t="str">
        <f>[1]CCModuleCopy!$M$5</f>
        <v>https://www.samsung.com/us/shop/all-deals/cell-phone-deals/</v>
      </c>
      <c r="X29" s="14" t="str">
        <f>[1]CCModuleCopy!$N$5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Y29" s="45" t="s">
        <v>371</v>
      </c>
      <c r="Z29" s="14" t="str">
        <f>[1]CCModuleCopy!$C$7</f>
        <v>Get up to $3000 off select 8K, 4K and Lifestyle TVs</v>
      </c>
      <c r="AA29" s="23" t="str">
        <f>[1]CCModuleCopy!$D$7</f>
        <v>NULL</v>
      </c>
      <c r="AB29" s="23" t="str">
        <f>[1]CCModuleCopy!$E$7</f>
        <v xml:space="preserve">Discover the mind-blowing, true-to-live resolution of QLED technology.
Save up to $3000 on 8K TVs, up to $1800 on select 4K TVs, up to $1300 on Lifestyle TVs and up to $400 on select soundbars and more. 
Plus, buy and try select Lifestyle TVs, soundbars and The Premiere Projector with our new 100-day, risk-free trial. </v>
      </c>
      <c r="AC29" s="14" t="str">
        <f>[1]CCModuleCopy!$L$7</f>
        <v>Shop all</v>
      </c>
      <c r="AD29" s="23" t="str">
        <f>[1]CCModuleCopy!$M$7</f>
        <v>https://www.samsung.com/us/shop/all-deals/tv-and-home-theater-deals/</v>
      </c>
      <c r="AE29" s="14" t="str">
        <f>[1]CCModuleCopy!$N$7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AF29" s="45" t="s">
        <v>372</v>
      </c>
      <c r="AG29" s="14" t="str">
        <f>[1]CCModuleCopy!$C$15</f>
        <v>Save up to $150 on select tablets</v>
      </c>
      <c r="AH29" s="23" t="str">
        <f>[1]CCModuleCopy!$D$15</f>
        <v>NULL</v>
      </c>
      <c r="AI29" s="23" t="str">
        <f>[1]CCModuleCopy!$E$15</f>
        <v xml:space="preserve">Empower how you create, work, learn, game and more with our powerful line of tablets. Shop our offers on great products from the new Galaxy Tab S7+ to the Galaxy Tab S6 Lite. </v>
      </c>
      <c r="AJ29" s="14" t="str">
        <f>[1]CCModuleCopy!$L$15</f>
        <v>Shop all</v>
      </c>
      <c r="AK29" s="23" t="str">
        <f>[1]CCModuleCopy!$M$15</f>
        <v>https://www.samsung.com/us/shop/all-deals/tablets-wearables-cell-phone-accessories-deals/</v>
      </c>
      <c r="AL29" s="66" t="str">
        <f>[1]CCModuleCopy!$N$15</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AM29" s="45" t="s">
        <v>373</v>
      </c>
      <c r="AN29" s="14" t="str">
        <f>[1]CCModuleCopy!$B$11</f>
        <v>ME_HeadImage_Wearables_500xV.jpg</v>
      </c>
      <c r="AO29" s="14" t="str">
        <f>[1]CCModuleCopy!$C$11</f>
        <v>Get up to $100 off select watches and earbuds</v>
      </c>
      <c r="AP29" s="14" t="str">
        <f>[1]CCModuleCopy!$D$11</f>
        <v>NULL</v>
      </c>
      <c r="AQ29" s="14" t="str">
        <f>[1]CCModuleCopy!$E$11</f>
        <v>Shop our exclusive Black Friday offers on Galaxy Watch3 Titanium, Watch3, Buds+ and more, suited for every lifestyle and every holiday shopping budget. 
Plus, now you can flex your fashion muscles with the new Samsung Design Studio. Create a Galaxy Watch as unique as you, today.</v>
      </c>
      <c r="AR29" s="14" t="str">
        <f>[1]CCModuleCopy!$L$11</f>
        <v>Shop all</v>
      </c>
      <c r="AS29" s="14" t="str">
        <f>[1]CCModuleCopy!$M$11</f>
        <v>https://www.samsung.com/us/shop/all-deals/tablets-wearables-cell-phone-accessories-deals/</v>
      </c>
      <c r="AT29" s="14" t="str">
        <f>[1]CCModuleCopy!$N$11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AU29" s="14" t="str">
        <f>[1]CCModuleCopy!$O$11</f>
        <v>NULL</v>
      </c>
      <c r="AV29" s="14" t="str">
        <f>[1]CCModuleCopy!$P$11</f>
        <v>NULL</v>
      </c>
      <c r="AW29" s="14" t="str">
        <f>[1]CCModuleCopy!$Q$11</f>
        <v>NULL</v>
      </c>
      <c r="AX29" s="45" t="s">
        <v>374</v>
      </c>
      <c r="AY29" s="14" t="str">
        <f>[1]CCModuleCopy!$B$13</f>
        <v>CE_HeadImage_Computing_500xV.jpg</v>
      </c>
      <c r="AZ29" s="14" t="str">
        <f>[1]CCModuleCopy!$C$13</f>
        <v>Get up to 60% off memory cards, SSD, monitors and more</v>
      </c>
      <c r="BA29" s="14" t="str">
        <f>[1]CCModuleCopy!$D$13</f>
        <v>NULL</v>
      </c>
      <c r="BB29" s="14" t="str">
        <f>[1]CCModuleCopy!$E$13</f>
        <v xml:space="preserve">Work and game smarter, not harder with these must-have computing offers. Expand the way you play, store and create and get up to 30% off monitors, up to 60% off memory cards, up to 35% off SSD and more. </v>
      </c>
      <c r="BC29" s="14" t="str">
        <f>[1]CCModuleCopy!$L$13</f>
        <v>Shop all</v>
      </c>
      <c r="BD29" s="14" t="str">
        <f>[1]CCModuleCopy!$M$13</f>
        <v>https://www.samsung.com/us/shop/all-deals/laptop-and-computer-deals/</v>
      </c>
      <c r="BE29" s="14" t="str">
        <f>[1]CCModuleCopy!$N$13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BF29" s="14" t="str">
        <f>[1]CCModuleCopy!$O$13</f>
        <v>NULL</v>
      </c>
      <c r="BG29" s="14" t="str">
        <f>[1]CCModuleCopy!$P$13</f>
        <v>NULL</v>
      </c>
      <c r="BH29" s="14" t="str">
        <f>[1]CCModuleCopy!$Q$13</f>
        <v>NULL</v>
      </c>
      <c r="BI29" s="45" t="s">
        <v>353</v>
      </c>
      <c r="BJ29" s="14" t="str">
        <f>[1]MiscBanners!$I$4</f>
        <v>Give-wonder-500xV.jpg</v>
      </c>
      <c r="BK29" s="14" t="str">
        <f>[1]MiscBanners!$J$4</f>
        <v>The gift that keeps on giving</v>
      </c>
      <c r="BL29" s="14" t="str">
        <f>[1]MiscBanners!$K$4</f>
        <v>NULL</v>
      </c>
      <c r="BM29" s="66" t="str">
        <f>[1]MiscBanners!$L$4</f>
        <v>Discover even more exclusive offers on your favorite products and unlock the power of smart and savvy gifting.</v>
      </c>
      <c r="BN29" s="14" t="str">
        <f>[1]MiscBanners!$M$4</f>
        <v>Shop now</v>
      </c>
      <c r="BO29" s="14" t="str">
        <f>[1]MiscBanners!$N$4</f>
        <v>https://www.samsung.com/us/gift-ideas/</v>
      </c>
      <c r="BP29" s="14" t="str">
        <f>[1]MiscBanners!$U$4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BQ29" s="14" t="str">
        <f>[1]MiscBanners!$P$4</f>
        <v>NULL</v>
      </c>
      <c r="BR29" s="14" t="str">
        <f>[1]MiscBanners!$Q$4</f>
        <v>NULL</v>
      </c>
      <c r="BS29" s="14" t="str">
        <f>[1]MiscBanners!$R$4</f>
        <v>NULL</v>
      </c>
      <c r="BT29" s="45" t="s">
        <v>354</v>
      </c>
      <c r="BX29" s="66"/>
      <c r="CE29" s="45" t="s">
        <v>376</v>
      </c>
      <c r="CF29" s="14" t="s">
        <v>122</v>
      </c>
      <c r="CG29" s="14" t="s">
        <v>122</v>
      </c>
      <c r="CH29" s="14" t="s">
        <v>122</v>
      </c>
      <c r="CI29" s="66" t="s">
        <v>366</v>
      </c>
      <c r="CJ29" s="14" t="s">
        <v>122</v>
      </c>
      <c r="CK29" s="14" t="s">
        <v>367</v>
      </c>
      <c r="CL29" s="14">
        <v>0</v>
      </c>
      <c r="CM29" s="14" t="s">
        <v>122</v>
      </c>
      <c r="CN29" s="14" t="s">
        <v>122</v>
      </c>
      <c r="CO29" s="14" t="s">
        <v>122</v>
      </c>
      <c r="CP29" s="45" t="s">
        <v>356</v>
      </c>
      <c r="CQ29" s="14" t="s">
        <v>122</v>
      </c>
      <c r="CR29" s="14" t="s">
        <v>122</v>
      </c>
      <c r="CS29" s="14" t="s">
        <v>122</v>
      </c>
      <c r="CT29" s="66" t="s">
        <v>368</v>
      </c>
      <c r="CU29" s="14" t="s">
        <v>122</v>
      </c>
      <c r="CV29" s="14" t="s">
        <v>367</v>
      </c>
      <c r="CW29" s="14">
        <v>0</v>
      </c>
      <c r="CX29" s="14" t="s">
        <v>122</v>
      </c>
      <c r="CY29" s="14" t="s">
        <v>122</v>
      </c>
      <c r="CZ29" s="14" t="s">
        <v>122</v>
      </c>
      <c r="DA29" s="45" t="s">
        <v>357</v>
      </c>
      <c r="DB29" s="14" t="s">
        <v>122</v>
      </c>
      <c r="DC29" s="14" t="s">
        <v>122</v>
      </c>
      <c r="DD29" s="14" t="s">
        <v>122</v>
      </c>
      <c r="DE29" s="66" t="s">
        <v>383</v>
      </c>
      <c r="DF29" s="14" t="s">
        <v>122</v>
      </c>
      <c r="DG29" s="14">
        <v>0</v>
      </c>
      <c r="DH29" s="14">
        <v>0</v>
      </c>
      <c r="DI29" s="14" t="s">
        <v>122</v>
      </c>
      <c r="DJ29" s="14" t="s">
        <v>122</v>
      </c>
      <c r="DK29" s="14" t="s">
        <v>122</v>
      </c>
      <c r="DL29" s="45"/>
      <c r="DP29" s="6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workbookViewId="0">
      <selection activeCell="C7" sqref="C7"/>
    </sheetView>
  </sheetViews>
  <sheetFormatPr defaultRowHeight="15" x14ac:dyDescent="0.25"/>
  <cols>
    <col min="1" max="1" width="24.5703125" customWidth="1"/>
    <col min="2" max="2" width="39.140625" customWidth="1"/>
    <col min="3" max="3" width="32.42578125" customWidth="1"/>
    <col min="4" max="4" width="10.42578125" bestFit="1" customWidth="1"/>
    <col min="5" max="5" width="37.140625" customWidth="1"/>
    <col min="6" max="6" width="8.42578125" bestFit="1" customWidth="1"/>
    <col min="7" max="8" width="38.5703125" customWidth="1"/>
    <col min="9" max="9" width="40.7109375" customWidth="1"/>
    <col min="10" max="10" width="56.7109375" customWidth="1"/>
    <col min="11" max="11" width="46.140625" customWidth="1"/>
  </cols>
  <sheetData>
    <row r="1" spans="1:9" s="13" customFormat="1" x14ac:dyDescent="0.25">
      <c r="A1" s="10" t="s">
        <v>32</v>
      </c>
      <c r="B1" s="11" t="s">
        <v>33</v>
      </c>
      <c r="C1" s="11" t="s">
        <v>34</v>
      </c>
      <c r="D1" s="11" t="s">
        <v>35</v>
      </c>
      <c r="E1" s="11" t="s">
        <v>36</v>
      </c>
      <c r="F1" s="12" t="s">
        <v>37</v>
      </c>
      <c r="G1" s="12" t="s">
        <v>38</v>
      </c>
      <c r="H1" s="11" t="s">
        <v>39</v>
      </c>
      <c r="I1" s="11" t="s">
        <v>40</v>
      </c>
    </row>
    <row r="2" spans="1:9" ht="96" customHeight="1" x14ac:dyDescent="0.25">
      <c r="A2" s="3" t="s">
        <v>41</v>
      </c>
      <c r="B2" s="14" t="s">
        <v>212</v>
      </c>
      <c r="C2" s="58" t="s">
        <v>122</v>
      </c>
      <c r="D2" s="58" t="s">
        <v>122</v>
      </c>
      <c r="E2" s="3"/>
      <c r="F2" s="58" t="s">
        <v>122</v>
      </c>
      <c r="G2" s="59" t="s">
        <v>19</v>
      </c>
      <c r="H2" s="60" t="s">
        <v>42</v>
      </c>
      <c r="I2" s="61" t="s">
        <v>209</v>
      </c>
    </row>
    <row r="3" spans="1:9" ht="96" customHeight="1" x14ac:dyDescent="0.25">
      <c r="A3" s="14" t="s">
        <v>43</v>
      </c>
      <c r="B3" s="14" t="s">
        <v>44</v>
      </c>
      <c r="C3" s="16" t="s">
        <v>45</v>
      </c>
      <c r="D3" s="58" t="s">
        <v>122</v>
      </c>
      <c r="E3" s="16" t="s">
        <v>46</v>
      </c>
      <c r="F3" s="16" t="s">
        <v>47</v>
      </c>
      <c r="G3" s="16" t="s">
        <v>48</v>
      </c>
      <c r="H3" s="60" t="s">
        <v>49</v>
      </c>
      <c r="I3" s="61" t="s">
        <v>50</v>
      </c>
    </row>
    <row r="4" spans="1:9" ht="67.5" customHeight="1" x14ac:dyDescent="0.25">
      <c r="A4" s="3" t="s">
        <v>219</v>
      </c>
      <c r="B4" s="66" t="s">
        <v>212</v>
      </c>
      <c r="C4" s="3"/>
      <c r="D4" s="3"/>
      <c r="E4" s="3"/>
      <c r="F4" s="3"/>
      <c r="G4" s="3"/>
      <c r="H4" s="3"/>
      <c r="I4" s="3"/>
    </row>
  </sheetData>
  <hyperlinks>
    <hyperlink ref="G2" r:id="rId1"/>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40"/>
  <sheetViews>
    <sheetView workbookViewId="0">
      <pane ySplit="3" topLeftCell="A4" activePane="bottomLeft" state="frozen"/>
      <selection pane="bottomLeft" activeCell="H4" sqref="H4"/>
    </sheetView>
  </sheetViews>
  <sheetFormatPr defaultRowHeight="15" x14ac:dyDescent="0.25"/>
  <cols>
    <col min="1" max="1" width="6.5703125" customWidth="1"/>
    <col min="2" max="2" width="10.5703125" customWidth="1"/>
    <col min="3" max="3" width="13.7109375" customWidth="1"/>
    <col min="4" max="4" width="29.85546875" customWidth="1"/>
    <col min="5" max="5" width="29.7109375" hidden="1" customWidth="1"/>
    <col min="6" max="6" width="29.7109375" customWidth="1"/>
    <col min="7" max="7" width="35.140625" customWidth="1"/>
    <col min="8" max="8" width="38.5703125" customWidth="1"/>
    <col min="9" max="9" width="15.7109375" customWidth="1"/>
    <col min="10" max="10" width="25.42578125" style="9" customWidth="1"/>
    <col min="11" max="11" width="33" style="63" customWidth="1"/>
    <col min="12" max="12" width="18" hidden="1" customWidth="1"/>
    <col min="13" max="15" width="0" hidden="1" customWidth="1"/>
    <col min="16" max="16" width="0.140625" style="9" customWidth="1"/>
    <col min="17" max="17" width="32.5703125" style="63" customWidth="1"/>
  </cols>
  <sheetData>
    <row r="1" spans="1:20" x14ac:dyDescent="0.25">
      <c r="A1" s="25" t="s">
        <v>110</v>
      </c>
      <c r="D1" t="s">
        <v>111</v>
      </c>
      <c r="G1" s="26" t="s">
        <v>112</v>
      </c>
    </row>
    <row r="2" spans="1:20" x14ac:dyDescent="0.25">
      <c r="I2" s="96" t="s">
        <v>113</v>
      </c>
      <c r="J2" s="96"/>
      <c r="K2" s="96"/>
      <c r="L2" s="96"/>
      <c r="M2" s="96"/>
      <c r="N2" s="96"/>
      <c r="O2" s="97" t="s">
        <v>114</v>
      </c>
      <c r="P2" s="97"/>
      <c r="Q2" s="97"/>
      <c r="R2" s="97"/>
      <c r="S2" s="97"/>
      <c r="T2" s="97"/>
    </row>
    <row r="3" spans="1:20" s="15" customFormat="1" ht="30" x14ac:dyDescent="0.25">
      <c r="A3" s="27" t="s">
        <v>218</v>
      </c>
      <c r="B3" s="27" t="s">
        <v>115</v>
      </c>
      <c r="C3" s="27" t="s">
        <v>116</v>
      </c>
      <c r="D3" s="27" t="s">
        <v>117</v>
      </c>
      <c r="E3" s="27" t="s">
        <v>33</v>
      </c>
      <c r="F3" s="27" t="s">
        <v>33</v>
      </c>
      <c r="G3" s="27" t="s">
        <v>51</v>
      </c>
      <c r="H3" s="27" t="s">
        <v>52</v>
      </c>
      <c r="I3" s="27" t="s">
        <v>53</v>
      </c>
      <c r="J3" s="27" t="s">
        <v>38</v>
      </c>
      <c r="K3" s="64" t="s">
        <v>54</v>
      </c>
      <c r="L3" s="27" t="s">
        <v>118</v>
      </c>
      <c r="M3" s="28" t="s">
        <v>119</v>
      </c>
      <c r="N3" s="27" t="s">
        <v>120</v>
      </c>
      <c r="O3" s="27" t="s">
        <v>53</v>
      </c>
      <c r="P3" s="27" t="s">
        <v>38</v>
      </c>
      <c r="Q3" s="64" t="s">
        <v>54</v>
      </c>
      <c r="R3" s="27" t="s">
        <v>118</v>
      </c>
      <c r="S3" s="28" t="s">
        <v>119</v>
      </c>
      <c r="T3" s="27" t="s">
        <v>120</v>
      </c>
    </row>
    <row r="4" spans="1:20" s="9" customFormat="1" ht="117" customHeight="1" x14ac:dyDescent="0.25">
      <c r="A4" s="14"/>
      <c r="B4" s="14" t="s">
        <v>28</v>
      </c>
      <c r="C4" s="14" t="s">
        <v>31</v>
      </c>
      <c r="D4" s="29" t="s">
        <v>56</v>
      </c>
      <c r="E4" s="18" t="s">
        <v>57</v>
      </c>
      <c r="F4" s="18" t="s">
        <v>57</v>
      </c>
      <c r="G4" s="19" t="s">
        <v>58</v>
      </c>
      <c r="H4" s="19" t="s">
        <v>59</v>
      </c>
      <c r="I4" s="30" t="s">
        <v>55</v>
      </c>
      <c r="J4" s="31" t="s">
        <v>60</v>
      </c>
      <c r="K4" s="65" t="s">
        <v>121</v>
      </c>
      <c r="L4" s="31" t="s">
        <v>122</v>
      </c>
      <c r="M4" s="31" t="s">
        <v>122</v>
      </c>
      <c r="N4" s="31" t="s">
        <v>122</v>
      </c>
      <c r="O4" s="32" t="s">
        <v>55</v>
      </c>
      <c r="P4" s="33" t="s">
        <v>60</v>
      </c>
      <c r="Q4" s="62" t="s">
        <v>68</v>
      </c>
      <c r="R4" s="33" t="s">
        <v>122</v>
      </c>
      <c r="S4" s="33" t="s">
        <v>122</v>
      </c>
      <c r="T4" s="33" t="s">
        <v>122</v>
      </c>
    </row>
    <row r="5" spans="1:20" s="9" customFormat="1" ht="116.25" customHeight="1" x14ac:dyDescent="0.25">
      <c r="A5" s="14"/>
      <c r="B5" s="14" t="s">
        <v>28</v>
      </c>
      <c r="C5" s="14" t="s">
        <v>31</v>
      </c>
      <c r="D5" s="29" t="s">
        <v>123</v>
      </c>
      <c r="E5" s="18" t="s">
        <v>124</v>
      </c>
      <c r="F5" s="18" t="s">
        <v>124</v>
      </c>
      <c r="G5" s="19" t="s">
        <v>125</v>
      </c>
      <c r="H5" s="19" t="s">
        <v>126</v>
      </c>
      <c r="I5" s="30" t="s">
        <v>55</v>
      </c>
      <c r="J5" s="30" t="s">
        <v>127</v>
      </c>
      <c r="K5" s="65" t="s">
        <v>128</v>
      </c>
      <c r="L5" s="31" t="s">
        <v>122</v>
      </c>
      <c r="M5" s="31" t="s">
        <v>122</v>
      </c>
      <c r="N5" s="31" t="s">
        <v>122</v>
      </c>
      <c r="O5" s="32" t="s">
        <v>55</v>
      </c>
      <c r="P5" s="32" t="s">
        <v>127</v>
      </c>
      <c r="Q5" s="62" t="s">
        <v>129</v>
      </c>
      <c r="R5" s="33" t="s">
        <v>122</v>
      </c>
      <c r="S5" s="33" t="s">
        <v>122</v>
      </c>
      <c r="T5" s="33" t="s">
        <v>122</v>
      </c>
    </row>
    <row r="6" spans="1:20" s="9" customFormat="1" ht="104.25" customHeight="1" x14ac:dyDescent="0.25">
      <c r="A6" s="14"/>
      <c r="B6" s="14" t="s">
        <v>28</v>
      </c>
      <c r="C6" s="14" t="s">
        <v>31</v>
      </c>
      <c r="D6" s="29" t="s">
        <v>61</v>
      </c>
      <c r="E6" s="18" t="s">
        <v>62</v>
      </c>
      <c r="F6" s="18" t="s">
        <v>62</v>
      </c>
      <c r="G6" s="19" t="s">
        <v>63</v>
      </c>
      <c r="H6" s="19" t="s">
        <v>130</v>
      </c>
      <c r="I6" s="30" t="s">
        <v>55</v>
      </c>
      <c r="J6" s="31" t="s">
        <v>64</v>
      </c>
      <c r="K6" s="65" t="s">
        <v>131</v>
      </c>
      <c r="L6" s="31" t="s">
        <v>122</v>
      </c>
      <c r="M6" s="31" t="s">
        <v>122</v>
      </c>
      <c r="N6" s="31" t="s">
        <v>122</v>
      </c>
      <c r="O6" s="32" t="s">
        <v>55</v>
      </c>
      <c r="P6" s="33" t="s">
        <v>64</v>
      </c>
      <c r="Q6" s="62" t="s">
        <v>69</v>
      </c>
      <c r="R6" s="33" t="s">
        <v>122</v>
      </c>
      <c r="S6" s="33" t="s">
        <v>122</v>
      </c>
      <c r="T6" s="33" t="s">
        <v>122</v>
      </c>
    </row>
    <row r="7" spans="1:20" s="9" customFormat="1" ht="122.25" customHeight="1" x14ac:dyDescent="0.25">
      <c r="A7" s="14"/>
      <c r="B7" s="14" t="s">
        <v>28</v>
      </c>
      <c r="C7" s="14" t="s">
        <v>31</v>
      </c>
      <c r="D7" s="14" t="s">
        <v>65</v>
      </c>
      <c r="E7" s="18" t="s">
        <v>66</v>
      </c>
      <c r="F7" s="18" t="s">
        <v>66</v>
      </c>
      <c r="G7" s="14" t="s">
        <v>398</v>
      </c>
      <c r="H7" s="14" t="s">
        <v>132</v>
      </c>
      <c r="I7" s="31" t="s">
        <v>55</v>
      </c>
      <c r="J7" s="31" t="s">
        <v>67</v>
      </c>
      <c r="K7" s="65" t="s">
        <v>133</v>
      </c>
      <c r="L7" s="31" t="s">
        <v>122</v>
      </c>
      <c r="M7" s="31" t="s">
        <v>122</v>
      </c>
      <c r="N7" s="31" t="s">
        <v>122</v>
      </c>
      <c r="O7" s="33" t="s">
        <v>55</v>
      </c>
      <c r="P7" s="33" t="s">
        <v>67</v>
      </c>
      <c r="Q7" s="62" t="s">
        <v>70</v>
      </c>
      <c r="R7" s="33" t="s">
        <v>122</v>
      </c>
      <c r="S7" s="33" t="s">
        <v>122</v>
      </c>
      <c r="T7" s="33" t="s">
        <v>122</v>
      </c>
    </row>
    <row r="8" spans="1:20" s="9" customFormat="1" x14ac:dyDescent="0.25">
      <c r="K8" s="63"/>
      <c r="Q8" s="63"/>
    </row>
    <row r="9" spans="1:20" s="9" customFormat="1" x14ac:dyDescent="0.25">
      <c r="K9" s="63"/>
      <c r="Q9" s="63"/>
    </row>
    <row r="10" spans="1:20" s="9" customFormat="1" x14ac:dyDescent="0.25">
      <c r="K10" s="63"/>
      <c r="Q10" s="63"/>
    </row>
    <row r="11" spans="1:20" s="9" customFormat="1" x14ac:dyDescent="0.25">
      <c r="K11" s="63"/>
      <c r="Q11" s="63"/>
    </row>
    <row r="12" spans="1:20" s="9" customFormat="1" x14ac:dyDescent="0.25">
      <c r="K12" s="63"/>
      <c r="Q12" s="63"/>
    </row>
    <row r="13" spans="1:20" s="9" customFormat="1" x14ac:dyDescent="0.25">
      <c r="K13" s="63"/>
      <c r="Q13" s="63"/>
    </row>
    <row r="14" spans="1:20" s="9" customFormat="1" x14ac:dyDescent="0.25">
      <c r="K14" s="63"/>
      <c r="Q14" s="63"/>
    </row>
    <row r="15" spans="1:20" s="9" customFormat="1" x14ac:dyDescent="0.25">
      <c r="K15" s="63"/>
      <c r="Q15" s="63"/>
    </row>
    <row r="16" spans="1:20" s="9" customFormat="1" x14ac:dyDescent="0.25">
      <c r="K16" s="63"/>
      <c r="Q16" s="63"/>
    </row>
    <row r="17" spans="11:17" s="9" customFormat="1" x14ac:dyDescent="0.25">
      <c r="K17" s="63"/>
      <c r="Q17" s="63"/>
    </row>
    <row r="18" spans="11:17" s="9" customFormat="1" x14ac:dyDescent="0.25">
      <c r="K18" s="63"/>
      <c r="Q18" s="63"/>
    </row>
    <row r="19" spans="11:17" s="9" customFormat="1" x14ac:dyDescent="0.25">
      <c r="K19" s="63"/>
      <c r="Q19" s="63"/>
    </row>
    <row r="20" spans="11:17" s="9" customFormat="1" x14ac:dyDescent="0.25">
      <c r="K20" s="63"/>
      <c r="Q20" s="63"/>
    </row>
    <row r="21" spans="11:17" s="9" customFormat="1" x14ac:dyDescent="0.25">
      <c r="K21" s="63"/>
      <c r="Q21" s="63"/>
    </row>
    <row r="22" spans="11:17" s="9" customFormat="1" x14ac:dyDescent="0.25">
      <c r="K22" s="63"/>
      <c r="Q22" s="63"/>
    </row>
    <row r="23" spans="11:17" s="9" customFormat="1" x14ac:dyDescent="0.25">
      <c r="K23" s="63"/>
      <c r="Q23" s="63"/>
    </row>
    <row r="24" spans="11:17" s="9" customFormat="1" x14ac:dyDescent="0.25">
      <c r="K24" s="63"/>
      <c r="Q24" s="63"/>
    </row>
    <row r="25" spans="11:17" s="9" customFormat="1" x14ac:dyDescent="0.25">
      <c r="K25" s="63"/>
      <c r="Q25" s="63"/>
    </row>
    <row r="26" spans="11:17" s="9" customFormat="1" x14ac:dyDescent="0.25">
      <c r="K26" s="63"/>
      <c r="Q26" s="63"/>
    </row>
    <row r="27" spans="11:17" s="9" customFormat="1" x14ac:dyDescent="0.25">
      <c r="K27" s="63"/>
      <c r="Q27" s="63"/>
    </row>
    <row r="28" spans="11:17" s="9" customFormat="1" x14ac:dyDescent="0.25">
      <c r="K28" s="63"/>
      <c r="Q28" s="63"/>
    </row>
    <row r="29" spans="11:17" s="9" customFormat="1" x14ac:dyDescent="0.25">
      <c r="K29" s="63"/>
      <c r="Q29" s="63"/>
    </row>
    <row r="30" spans="11:17" s="9" customFormat="1" x14ac:dyDescent="0.25">
      <c r="K30" s="63"/>
      <c r="Q30" s="63"/>
    </row>
    <row r="31" spans="11:17" s="9" customFormat="1" x14ac:dyDescent="0.25">
      <c r="K31" s="63"/>
      <c r="Q31" s="63"/>
    </row>
    <row r="32" spans="11:17" s="9" customFormat="1" x14ac:dyDescent="0.25">
      <c r="K32" s="63"/>
      <c r="Q32" s="63"/>
    </row>
    <row r="33" spans="11:17" s="9" customFormat="1" x14ac:dyDescent="0.25">
      <c r="K33" s="63"/>
      <c r="Q33" s="63"/>
    </row>
    <row r="34" spans="11:17" s="9" customFormat="1" x14ac:dyDescent="0.25">
      <c r="K34" s="63"/>
      <c r="Q34" s="63"/>
    </row>
    <row r="35" spans="11:17" s="9" customFormat="1" x14ac:dyDescent="0.25">
      <c r="K35" s="63"/>
      <c r="Q35" s="63"/>
    </row>
    <row r="36" spans="11:17" s="9" customFormat="1" x14ac:dyDescent="0.25">
      <c r="K36" s="63"/>
      <c r="Q36" s="63"/>
    </row>
    <row r="37" spans="11:17" s="9" customFormat="1" x14ac:dyDescent="0.25">
      <c r="K37" s="63"/>
      <c r="Q37" s="63"/>
    </row>
    <row r="38" spans="11:17" s="9" customFormat="1" x14ac:dyDescent="0.25">
      <c r="K38" s="63"/>
      <c r="Q38" s="63"/>
    </row>
    <row r="39" spans="11:17" s="9" customFormat="1" x14ac:dyDescent="0.25">
      <c r="K39" s="63"/>
      <c r="Q39" s="63"/>
    </row>
    <row r="40" spans="11:17" s="9" customFormat="1" x14ac:dyDescent="0.25">
      <c r="K40" s="63"/>
      <c r="Q40" s="63"/>
    </row>
    <row r="41" spans="11:17" s="9" customFormat="1" x14ac:dyDescent="0.25">
      <c r="K41" s="63"/>
      <c r="Q41" s="63"/>
    </row>
    <row r="42" spans="11:17" s="9" customFormat="1" x14ac:dyDescent="0.25">
      <c r="K42" s="63"/>
      <c r="Q42" s="63"/>
    </row>
    <row r="43" spans="11:17" s="9" customFormat="1" x14ac:dyDescent="0.25">
      <c r="K43" s="63"/>
      <c r="Q43" s="63"/>
    </row>
    <row r="44" spans="11:17" s="9" customFormat="1" x14ac:dyDescent="0.25">
      <c r="K44" s="63"/>
      <c r="Q44" s="63"/>
    </row>
    <row r="45" spans="11:17" s="9" customFormat="1" x14ac:dyDescent="0.25">
      <c r="K45" s="63"/>
      <c r="Q45" s="63"/>
    </row>
    <row r="46" spans="11:17" s="9" customFormat="1" x14ac:dyDescent="0.25">
      <c r="K46" s="63"/>
      <c r="Q46" s="63"/>
    </row>
    <row r="47" spans="11:17" s="9" customFormat="1" x14ac:dyDescent="0.25">
      <c r="K47" s="63"/>
      <c r="Q47" s="63"/>
    </row>
    <row r="48" spans="11:17" s="9" customFormat="1" x14ac:dyDescent="0.25">
      <c r="K48" s="63"/>
      <c r="Q48" s="63"/>
    </row>
    <row r="49" spans="11:17" s="9" customFormat="1" x14ac:dyDescent="0.25">
      <c r="K49" s="63"/>
      <c r="Q49" s="63"/>
    </row>
    <row r="50" spans="11:17" s="9" customFormat="1" x14ac:dyDescent="0.25">
      <c r="K50" s="63"/>
      <c r="Q50" s="63"/>
    </row>
    <row r="51" spans="11:17" s="9" customFormat="1" x14ac:dyDescent="0.25">
      <c r="K51" s="63"/>
      <c r="Q51" s="63"/>
    </row>
    <row r="52" spans="11:17" s="9" customFormat="1" x14ac:dyDescent="0.25">
      <c r="K52" s="63"/>
      <c r="Q52" s="63"/>
    </row>
    <row r="53" spans="11:17" s="9" customFormat="1" x14ac:dyDescent="0.25">
      <c r="K53" s="63"/>
      <c r="Q53" s="63"/>
    </row>
    <row r="54" spans="11:17" s="9" customFormat="1" x14ac:dyDescent="0.25">
      <c r="K54" s="63"/>
      <c r="Q54" s="63"/>
    </row>
    <row r="55" spans="11:17" s="9" customFormat="1" x14ac:dyDescent="0.25">
      <c r="K55" s="63"/>
      <c r="Q55" s="63"/>
    </row>
    <row r="56" spans="11:17" s="9" customFormat="1" x14ac:dyDescent="0.25">
      <c r="K56" s="63"/>
      <c r="Q56" s="63"/>
    </row>
    <row r="57" spans="11:17" s="9" customFormat="1" x14ac:dyDescent="0.25">
      <c r="K57" s="63"/>
      <c r="Q57" s="63"/>
    </row>
    <row r="58" spans="11:17" s="9" customFormat="1" x14ac:dyDescent="0.25">
      <c r="K58" s="63"/>
      <c r="Q58" s="63"/>
    </row>
    <row r="59" spans="11:17" s="9" customFormat="1" x14ac:dyDescent="0.25">
      <c r="K59" s="63"/>
      <c r="Q59" s="63"/>
    </row>
    <row r="60" spans="11:17" s="9" customFormat="1" x14ac:dyDescent="0.25">
      <c r="K60" s="63"/>
      <c r="Q60" s="63"/>
    </row>
    <row r="61" spans="11:17" s="9" customFormat="1" x14ac:dyDescent="0.25">
      <c r="K61" s="63"/>
      <c r="Q61" s="63"/>
    </row>
    <row r="62" spans="11:17" s="9" customFormat="1" x14ac:dyDescent="0.25">
      <c r="K62" s="63"/>
      <c r="Q62" s="63"/>
    </row>
    <row r="63" spans="11:17" s="9" customFormat="1" x14ac:dyDescent="0.25">
      <c r="K63" s="63"/>
      <c r="Q63" s="63"/>
    </row>
    <row r="64" spans="11:17" s="9" customFormat="1" x14ac:dyDescent="0.25">
      <c r="K64" s="63"/>
      <c r="Q64" s="63"/>
    </row>
    <row r="65" spans="11:17" s="9" customFormat="1" x14ac:dyDescent="0.25">
      <c r="K65" s="63"/>
      <c r="Q65" s="63"/>
    </row>
    <row r="66" spans="11:17" s="9" customFormat="1" x14ac:dyDescent="0.25">
      <c r="K66" s="63"/>
      <c r="Q66" s="63"/>
    </row>
    <row r="67" spans="11:17" s="9" customFormat="1" x14ac:dyDescent="0.25">
      <c r="K67" s="63"/>
      <c r="Q67" s="63"/>
    </row>
    <row r="68" spans="11:17" s="9" customFormat="1" x14ac:dyDescent="0.25">
      <c r="K68" s="63"/>
      <c r="Q68" s="63"/>
    </row>
    <row r="69" spans="11:17" s="9" customFormat="1" x14ac:dyDescent="0.25">
      <c r="K69" s="63"/>
      <c r="Q69" s="63"/>
    </row>
    <row r="70" spans="11:17" s="9" customFormat="1" x14ac:dyDescent="0.25">
      <c r="K70" s="63"/>
      <c r="Q70" s="63"/>
    </row>
    <row r="71" spans="11:17" s="9" customFormat="1" x14ac:dyDescent="0.25">
      <c r="K71" s="63"/>
      <c r="Q71" s="63"/>
    </row>
    <row r="72" spans="11:17" s="9" customFormat="1" x14ac:dyDescent="0.25">
      <c r="K72" s="63"/>
      <c r="Q72" s="63"/>
    </row>
    <row r="73" spans="11:17" s="9" customFormat="1" x14ac:dyDescent="0.25">
      <c r="K73" s="63"/>
      <c r="Q73" s="63"/>
    </row>
    <row r="74" spans="11:17" s="9" customFormat="1" x14ac:dyDescent="0.25">
      <c r="K74" s="63"/>
      <c r="Q74" s="63"/>
    </row>
    <row r="75" spans="11:17" s="9" customFormat="1" x14ac:dyDescent="0.25">
      <c r="K75" s="63"/>
      <c r="Q75" s="63"/>
    </row>
    <row r="76" spans="11:17" s="9" customFormat="1" x14ac:dyDescent="0.25">
      <c r="K76" s="63"/>
      <c r="Q76" s="63"/>
    </row>
    <row r="77" spans="11:17" s="9" customFormat="1" x14ac:dyDescent="0.25">
      <c r="K77" s="63"/>
      <c r="Q77" s="63"/>
    </row>
    <row r="78" spans="11:17" s="9" customFormat="1" x14ac:dyDescent="0.25">
      <c r="K78" s="63"/>
      <c r="Q78" s="63"/>
    </row>
    <row r="79" spans="11:17" s="9" customFormat="1" x14ac:dyDescent="0.25">
      <c r="K79" s="63"/>
      <c r="Q79" s="63"/>
    </row>
    <row r="80" spans="11:17" s="9" customFormat="1" x14ac:dyDescent="0.25">
      <c r="K80" s="63"/>
      <c r="Q80" s="63"/>
    </row>
    <row r="81" spans="11:17" s="9" customFormat="1" x14ac:dyDescent="0.25">
      <c r="K81" s="63"/>
      <c r="Q81" s="63"/>
    </row>
    <row r="82" spans="11:17" s="9" customFormat="1" x14ac:dyDescent="0.25">
      <c r="K82" s="63"/>
      <c r="Q82" s="63"/>
    </row>
    <row r="83" spans="11:17" s="9" customFormat="1" x14ac:dyDescent="0.25">
      <c r="K83" s="63"/>
      <c r="Q83" s="63"/>
    </row>
    <row r="84" spans="11:17" s="9" customFormat="1" x14ac:dyDescent="0.25">
      <c r="K84" s="63"/>
      <c r="Q84" s="63"/>
    </row>
    <row r="85" spans="11:17" s="9" customFormat="1" x14ac:dyDescent="0.25">
      <c r="K85" s="63"/>
      <c r="Q85" s="63"/>
    </row>
    <row r="86" spans="11:17" s="9" customFormat="1" x14ac:dyDescent="0.25">
      <c r="K86" s="63"/>
      <c r="Q86" s="63"/>
    </row>
    <row r="87" spans="11:17" s="9" customFormat="1" x14ac:dyDescent="0.25">
      <c r="K87" s="63"/>
      <c r="Q87" s="63"/>
    </row>
    <row r="88" spans="11:17" s="9" customFormat="1" x14ac:dyDescent="0.25">
      <c r="K88" s="63"/>
      <c r="Q88" s="63"/>
    </row>
    <row r="89" spans="11:17" s="9" customFormat="1" x14ac:dyDescent="0.25">
      <c r="K89" s="63"/>
      <c r="Q89" s="63"/>
    </row>
    <row r="90" spans="11:17" s="9" customFormat="1" x14ac:dyDescent="0.25">
      <c r="K90" s="63"/>
      <c r="Q90" s="63"/>
    </row>
    <row r="91" spans="11:17" s="9" customFormat="1" x14ac:dyDescent="0.25">
      <c r="K91" s="63"/>
      <c r="Q91" s="63"/>
    </row>
    <row r="92" spans="11:17" s="9" customFormat="1" x14ac:dyDescent="0.25">
      <c r="K92" s="63"/>
      <c r="Q92" s="63"/>
    </row>
    <row r="93" spans="11:17" s="9" customFormat="1" x14ac:dyDescent="0.25">
      <c r="K93" s="63"/>
      <c r="Q93" s="63"/>
    </row>
    <row r="94" spans="11:17" s="9" customFormat="1" x14ac:dyDescent="0.25">
      <c r="K94" s="63"/>
      <c r="Q94" s="63"/>
    </row>
    <row r="95" spans="11:17" s="9" customFormat="1" x14ac:dyDescent="0.25">
      <c r="K95" s="63"/>
      <c r="Q95" s="63"/>
    </row>
    <row r="96" spans="11:17" s="9" customFormat="1" x14ac:dyDescent="0.25">
      <c r="K96" s="63"/>
      <c r="Q96" s="63"/>
    </row>
    <row r="97" spans="11:17" s="9" customFormat="1" x14ac:dyDescent="0.25">
      <c r="K97" s="63"/>
      <c r="Q97" s="63"/>
    </row>
    <row r="98" spans="11:17" s="9" customFormat="1" x14ac:dyDescent="0.25">
      <c r="K98" s="63"/>
      <c r="Q98" s="63"/>
    </row>
    <row r="99" spans="11:17" s="9" customFormat="1" x14ac:dyDescent="0.25">
      <c r="K99" s="63"/>
      <c r="Q99" s="63"/>
    </row>
    <row r="100" spans="11:17" s="9" customFormat="1" x14ac:dyDescent="0.25">
      <c r="K100" s="63"/>
      <c r="Q100" s="63"/>
    </row>
    <row r="101" spans="11:17" s="9" customFormat="1" x14ac:dyDescent="0.25">
      <c r="K101" s="63"/>
      <c r="Q101" s="63"/>
    </row>
    <row r="102" spans="11:17" s="9" customFormat="1" x14ac:dyDescent="0.25">
      <c r="K102" s="63"/>
      <c r="Q102" s="63"/>
    </row>
    <row r="103" spans="11:17" s="9" customFormat="1" x14ac:dyDescent="0.25">
      <c r="K103" s="63"/>
      <c r="Q103" s="63"/>
    </row>
    <row r="104" spans="11:17" s="9" customFormat="1" x14ac:dyDescent="0.25">
      <c r="K104" s="63"/>
      <c r="Q104" s="63"/>
    </row>
    <row r="105" spans="11:17" s="9" customFormat="1" x14ac:dyDescent="0.25">
      <c r="K105" s="63"/>
      <c r="Q105" s="63"/>
    </row>
    <row r="106" spans="11:17" s="9" customFormat="1" x14ac:dyDescent="0.25">
      <c r="K106" s="63"/>
      <c r="Q106" s="63"/>
    </row>
    <row r="107" spans="11:17" s="9" customFormat="1" x14ac:dyDescent="0.25">
      <c r="K107" s="63"/>
      <c r="Q107" s="63"/>
    </row>
    <row r="108" spans="11:17" s="9" customFormat="1" x14ac:dyDescent="0.25">
      <c r="K108" s="63"/>
      <c r="Q108" s="63"/>
    </row>
    <row r="109" spans="11:17" s="9" customFormat="1" x14ac:dyDescent="0.25">
      <c r="K109" s="63"/>
      <c r="Q109" s="63"/>
    </row>
    <row r="110" spans="11:17" s="9" customFormat="1" x14ac:dyDescent="0.25">
      <c r="K110" s="63"/>
      <c r="Q110" s="63"/>
    </row>
    <row r="111" spans="11:17" s="9" customFormat="1" x14ac:dyDescent="0.25">
      <c r="K111" s="63"/>
      <c r="Q111" s="63"/>
    </row>
    <row r="112" spans="11:17" s="9" customFormat="1" x14ac:dyDescent="0.25">
      <c r="K112" s="63"/>
      <c r="Q112" s="63"/>
    </row>
    <row r="113" spans="11:17" s="9" customFormat="1" x14ac:dyDescent="0.25">
      <c r="K113" s="63"/>
      <c r="Q113" s="63"/>
    </row>
    <row r="114" spans="11:17" s="9" customFormat="1" x14ac:dyDescent="0.25">
      <c r="K114" s="63"/>
      <c r="Q114" s="63"/>
    </row>
    <row r="115" spans="11:17" s="9" customFormat="1" x14ac:dyDescent="0.25">
      <c r="K115" s="63"/>
      <c r="Q115" s="63"/>
    </row>
    <row r="116" spans="11:17" s="9" customFormat="1" x14ac:dyDescent="0.25">
      <c r="K116" s="63"/>
      <c r="Q116" s="63"/>
    </row>
    <row r="117" spans="11:17" s="9" customFormat="1" x14ac:dyDescent="0.25">
      <c r="K117" s="63"/>
      <c r="Q117" s="63"/>
    </row>
    <row r="118" spans="11:17" s="9" customFormat="1" x14ac:dyDescent="0.25">
      <c r="K118" s="63"/>
      <c r="Q118" s="63"/>
    </row>
    <row r="119" spans="11:17" s="9" customFormat="1" x14ac:dyDescent="0.25">
      <c r="K119" s="63"/>
      <c r="Q119" s="63"/>
    </row>
    <row r="120" spans="11:17" s="9" customFormat="1" x14ac:dyDescent="0.25">
      <c r="K120" s="63"/>
      <c r="Q120" s="63"/>
    </row>
    <row r="121" spans="11:17" s="9" customFormat="1" x14ac:dyDescent="0.25">
      <c r="K121" s="63"/>
      <c r="Q121" s="63"/>
    </row>
    <row r="122" spans="11:17" s="9" customFormat="1" x14ac:dyDescent="0.25">
      <c r="K122" s="63"/>
      <c r="Q122" s="63"/>
    </row>
    <row r="123" spans="11:17" s="9" customFormat="1" x14ac:dyDescent="0.25">
      <c r="K123" s="63"/>
      <c r="Q123" s="63"/>
    </row>
    <row r="124" spans="11:17" s="9" customFormat="1" x14ac:dyDescent="0.25">
      <c r="K124" s="63"/>
      <c r="Q124" s="63"/>
    </row>
    <row r="125" spans="11:17" s="9" customFormat="1" x14ac:dyDescent="0.25">
      <c r="K125" s="63"/>
      <c r="Q125" s="63"/>
    </row>
    <row r="126" spans="11:17" s="9" customFormat="1" x14ac:dyDescent="0.25">
      <c r="K126" s="63"/>
      <c r="Q126" s="63"/>
    </row>
    <row r="127" spans="11:17" s="9" customFormat="1" x14ac:dyDescent="0.25">
      <c r="K127" s="63"/>
      <c r="Q127" s="63"/>
    </row>
    <row r="128" spans="11:17" s="9" customFormat="1" x14ac:dyDescent="0.25">
      <c r="K128" s="63"/>
      <c r="Q128" s="63"/>
    </row>
    <row r="129" spans="11:17" s="9" customFormat="1" x14ac:dyDescent="0.25">
      <c r="K129" s="63"/>
      <c r="Q129" s="63"/>
    </row>
    <row r="130" spans="11:17" s="9" customFormat="1" x14ac:dyDescent="0.25">
      <c r="K130" s="63"/>
      <c r="Q130" s="63"/>
    </row>
    <row r="131" spans="11:17" s="9" customFormat="1" x14ac:dyDescent="0.25">
      <c r="K131" s="63"/>
      <c r="Q131" s="63"/>
    </row>
    <row r="132" spans="11:17" s="9" customFormat="1" x14ac:dyDescent="0.25">
      <c r="K132" s="63"/>
      <c r="Q132" s="63"/>
    </row>
    <row r="133" spans="11:17" s="9" customFormat="1" x14ac:dyDescent="0.25">
      <c r="K133" s="63"/>
      <c r="Q133" s="63"/>
    </row>
    <row r="134" spans="11:17" s="9" customFormat="1" x14ac:dyDescent="0.25">
      <c r="K134" s="63"/>
      <c r="Q134" s="63"/>
    </row>
    <row r="135" spans="11:17" s="9" customFormat="1" x14ac:dyDescent="0.25">
      <c r="K135" s="63"/>
      <c r="Q135" s="63"/>
    </row>
    <row r="136" spans="11:17" s="9" customFormat="1" x14ac:dyDescent="0.25">
      <c r="K136" s="63"/>
      <c r="Q136" s="63"/>
    </row>
    <row r="137" spans="11:17" s="9" customFormat="1" x14ac:dyDescent="0.25">
      <c r="K137" s="63"/>
      <c r="Q137" s="63"/>
    </row>
    <row r="138" spans="11:17" s="9" customFormat="1" x14ac:dyDescent="0.25">
      <c r="K138" s="63"/>
      <c r="Q138" s="63"/>
    </row>
    <row r="139" spans="11:17" s="9" customFormat="1" x14ac:dyDescent="0.25">
      <c r="K139" s="63"/>
      <c r="Q139" s="63"/>
    </row>
    <row r="140" spans="11:17" s="9" customFormat="1" x14ac:dyDescent="0.25">
      <c r="K140" s="63"/>
      <c r="Q140" s="63"/>
    </row>
  </sheetData>
  <mergeCells count="2">
    <mergeCell ref="I2:N2"/>
    <mergeCell ref="O2:T2"/>
  </mergeCells>
  <hyperlinks>
    <hyperlink ref="H47" r:id="rId1" display="https://www.samsung.com/us/mobile/audio/headphones/galaxy-buds-plus-white-sm-r175nzwaxar/"/>
    <hyperlink ref="H103" r:id="rId2" display="https://www.samsung.com/us/mobile/audio/headphones/galaxy-buds-plus-white-sm-r175nzwaxar/"/>
    <hyperlink ref="H29" r:id="rId3" display="https://www.samsung.com/us/televisions-home-theater/tvs/all-tvs/?technology=Crystal+UHD+TVs"/>
    <hyperlink ref="H85" r:id="rId4" display="https://www.samsung.com/us/televisions-home-theater/tvs/all-tvs/?technology=Crystal+UHD+TVs"/>
  </hyperlinks>
  <pageMargins left="0.7" right="0.7" top="0.75" bottom="0.75" header="0.3" footer="0.3"/>
  <drawing r:id="rId5"/>
  <extLst>
    <ext xmlns:x14="http://schemas.microsoft.com/office/spreadsheetml/2009/9/main" uri="{CCE6A557-97BC-4b89-ADB6-D9C93CAAB3DF}">
      <x14:dataValidations xmlns:xm="http://schemas.microsoft.com/office/excel/2006/main" count="1">
        <x14:dataValidation type="list" allowBlank="1" showInputMessage="1" showErrorMessage="1">
          <x14:formula1>
            <xm:f>'C:\Users\SDSA\Downloads\[ME Holiday Deals_FINAL (1).xlsx]Sources Pricing'!#REF!</xm:f>
          </x14:formula1>
          <xm:sqref>J4:J16 J68:J72 J75:J79 J124:J128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
  <sheetViews>
    <sheetView topLeftCell="A10" workbookViewId="0">
      <selection activeCell="G11" sqref="G11"/>
    </sheetView>
  </sheetViews>
  <sheetFormatPr defaultColWidth="9" defaultRowHeight="15" x14ac:dyDescent="0.25"/>
  <cols>
    <col min="1" max="1" width="19.5703125" style="9" bestFit="1" customWidth="1"/>
    <col min="2" max="2" width="43.140625" style="9" customWidth="1"/>
    <col min="3" max="3" width="28.7109375" style="9" customWidth="1"/>
    <col min="4" max="4" width="7.85546875" style="9" bestFit="1" customWidth="1"/>
    <col min="5" max="5" width="44.85546875" style="9" customWidth="1"/>
    <col min="6" max="6" width="9" style="9"/>
    <col min="7" max="7" width="11.28515625" style="9" customWidth="1"/>
    <col min="8" max="8" width="13.5703125" style="9" customWidth="1"/>
    <col min="9" max="12" width="9" style="9"/>
    <col min="13" max="13" width="13.7109375" style="9" customWidth="1"/>
    <col min="14" max="14" width="15.5703125" style="9" customWidth="1"/>
    <col min="15" max="16384" width="9" style="9"/>
  </cols>
  <sheetData>
    <row r="1" spans="1:17" ht="30" x14ac:dyDescent="0.25">
      <c r="A1" s="34" t="s">
        <v>134</v>
      </c>
      <c r="F1" s="98" t="s">
        <v>113</v>
      </c>
      <c r="G1" s="98"/>
      <c r="H1" s="98"/>
      <c r="I1" s="98"/>
      <c r="J1" s="98"/>
      <c r="K1" s="98"/>
      <c r="L1" s="99" t="s">
        <v>114</v>
      </c>
      <c r="M1" s="99"/>
      <c r="N1" s="99"/>
      <c r="O1" s="99"/>
      <c r="P1" s="99"/>
      <c r="Q1" s="99"/>
    </row>
    <row r="2" spans="1:17" s="36" customFormat="1" ht="30" x14ac:dyDescent="0.25">
      <c r="A2" s="35"/>
      <c r="B2" s="35" t="s">
        <v>33</v>
      </c>
      <c r="C2" s="35" t="s">
        <v>34</v>
      </c>
      <c r="D2" s="35" t="s">
        <v>135</v>
      </c>
      <c r="E2" s="35" t="s">
        <v>71</v>
      </c>
      <c r="F2" s="35" t="s">
        <v>37</v>
      </c>
      <c r="G2" s="35" t="s">
        <v>38</v>
      </c>
      <c r="H2" s="35" t="s">
        <v>54</v>
      </c>
      <c r="I2" s="35" t="s">
        <v>136</v>
      </c>
      <c r="J2" s="35" t="s">
        <v>119</v>
      </c>
      <c r="K2" s="35" t="s">
        <v>120</v>
      </c>
      <c r="L2" s="35" t="s">
        <v>37</v>
      </c>
      <c r="M2" s="35" t="s">
        <v>38</v>
      </c>
      <c r="N2" s="35" t="s">
        <v>54</v>
      </c>
      <c r="O2" s="35" t="s">
        <v>136</v>
      </c>
      <c r="P2" s="35" t="s">
        <v>119</v>
      </c>
      <c r="Q2" s="35" t="s">
        <v>120</v>
      </c>
    </row>
    <row r="3" spans="1:17" ht="120.75" customHeight="1" x14ac:dyDescent="0.25">
      <c r="A3" s="37" t="s">
        <v>137</v>
      </c>
      <c r="B3" s="18" t="s">
        <v>72</v>
      </c>
      <c r="C3" s="14" t="s">
        <v>138</v>
      </c>
      <c r="D3" s="14" t="s">
        <v>122</v>
      </c>
      <c r="E3" s="14" t="s">
        <v>139</v>
      </c>
      <c r="F3" s="31" t="s">
        <v>73</v>
      </c>
      <c r="G3" s="65" t="s">
        <v>74</v>
      </c>
      <c r="H3" s="31" t="s">
        <v>75</v>
      </c>
      <c r="I3" s="31" t="s">
        <v>122</v>
      </c>
      <c r="J3" s="31" t="s">
        <v>122</v>
      </c>
      <c r="K3" s="31" t="s">
        <v>122</v>
      </c>
      <c r="L3" s="33" t="s">
        <v>140</v>
      </c>
      <c r="M3" s="33" t="s">
        <v>140</v>
      </c>
      <c r="N3" s="33" t="s">
        <v>140</v>
      </c>
      <c r="O3" s="33" t="s">
        <v>140</v>
      </c>
      <c r="P3" s="33" t="s">
        <v>140</v>
      </c>
      <c r="Q3" s="33" t="s">
        <v>140</v>
      </c>
    </row>
    <row r="4" spans="1:17" ht="9" customHeight="1" x14ac:dyDescent="0.25">
      <c r="A4" s="14"/>
      <c r="B4" s="14"/>
      <c r="C4" s="14"/>
      <c r="D4" s="14"/>
      <c r="E4" s="14"/>
      <c r="F4" s="31"/>
      <c r="G4" s="31"/>
      <c r="H4" s="31"/>
      <c r="I4" s="31"/>
      <c r="J4" s="31"/>
      <c r="K4" s="31"/>
      <c r="L4" s="33"/>
      <c r="M4" s="33"/>
      <c r="N4" s="33"/>
      <c r="O4" s="33"/>
      <c r="P4" s="33"/>
      <c r="Q4" s="33"/>
    </row>
    <row r="5" spans="1:17" ht="119.25" customHeight="1" x14ac:dyDescent="0.25">
      <c r="A5" s="37" t="s">
        <v>141</v>
      </c>
      <c r="B5" s="18" t="s">
        <v>72</v>
      </c>
      <c r="C5" s="14" t="s">
        <v>138</v>
      </c>
      <c r="D5" s="14" t="s">
        <v>122</v>
      </c>
      <c r="E5" s="14" t="s">
        <v>142</v>
      </c>
      <c r="F5" s="31" t="s">
        <v>140</v>
      </c>
      <c r="G5" s="31" t="s">
        <v>140</v>
      </c>
      <c r="H5" s="31" t="s">
        <v>140</v>
      </c>
      <c r="I5" s="31" t="s">
        <v>140</v>
      </c>
      <c r="J5" s="31" t="s">
        <v>140</v>
      </c>
      <c r="K5" s="31" t="s">
        <v>140</v>
      </c>
      <c r="L5" s="33" t="s">
        <v>73</v>
      </c>
      <c r="M5" s="33" t="s">
        <v>74</v>
      </c>
      <c r="N5" s="33" t="s">
        <v>85</v>
      </c>
      <c r="O5" s="33" t="s">
        <v>122</v>
      </c>
      <c r="P5" s="33" t="s">
        <v>122</v>
      </c>
      <c r="Q5" s="33" t="s">
        <v>122</v>
      </c>
    </row>
    <row r="6" spans="1:17" ht="9.75" customHeight="1" x14ac:dyDescent="0.25">
      <c r="A6" s="14"/>
      <c r="B6" s="14"/>
      <c r="C6" s="14"/>
      <c r="D6" s="14"/>
      <c r="E6" s="14"/>
      <c r="F6" s="31"/>
      <c r="G6" s="31"/>
      <c r="H6" s="31"/>
      <c r="I6" s="31"/>
      <c r="J6" s="31"/>
      <c r="K6" s="31"/>
      <c r="L6" s="33"/>
      <c r="M6" s="33"/>
      <c r="N6" s="33"/>
      <c r="O6" s="33"/>
      <c r="P6" s="33"/>
      <c r="Q6" s="33"/>
    </row>
    <row r="7" spans="1:17" ht="99.95" customHeight="1" x14ac:dyDescent="0.25">
      <c r="A7" s="38" t="s">
        <v>143</v>
      </c>
      <c r="B7" s="18" t="s">
        <v>76</v>
      </c>
      <c r="C7" s="14" t="s">
        <v>144</v>
      </c>
      <c r="D7" s="14" t="s">
        <v>122</v>
      </c>
      <c r="E7" s="14" t="s">
        <v>145</v>
      </c>
      <c r="F7" s="31" t="s">
        <v>73</v>
      </c>
      <c r="G7" s="65" t="s">
        <v>77</v>
      </c>
      <c r="H7" s="31" t="s">
        <v>78</v>
      </c>
      <c r="I7" s="31" t="s">
        <v>122</v>
      </c>
      <c r="J7" s="31" t="s">
        <v>122</v>
      </c>
      <c r="K7" s="31" t="s">
        <v>122</v>
      </c>
      <c r="L7" s="33" t="s">
        <v>73</v>
      </c>
      <c r="M7" s="33" t="s">
        <v>77</v>
      </c>
      <c r="N7" s="33" t="s">
        <v>86</v>
      </c>
      <c r="O7" s="33" t="s">
        <v>122</v>
      </c>
      <c r="P7" s="33" t="s">
        <v>122</v>
      </c>
      <c r="Q7" s="33" t="s">
        <v>122</v>
      </c>
    </row>
    <row r="8" spans="1:17" ht="9" customHeight="1" x14ac:dyDescent="0.25">
      <c r="A8" s="14"/>
      <c r="B8" s="14"/>
      <c r="C8" s="14"/>
      <c r="D8" s="14"/>
      <c r="E8" s="14"/>
      <c r="F8" s="31"/>
      <c r="G8" s="31"/>
      <c r="H8" s="31"/>
      <c r="I8" s="31"/>
      <c r="J8" s="31"/>
      <c r="K8" s="31"/>
      <c r="L8" s="33"/>
      <c r="M8" s="33"/>
      <c r="N8" s="33"/>
      <c r="O8" s="33"/>
      <c r="P8" s="33"/>
      <c r="Q8" s="33"/>
    </row>
    <row r="9" spans="1:17" ht="159.75" customHeight="1" x14ac:dyDescent="0.25">
      <c r="A9" s="39" t="s">
        <v>146</v>
      </c>
      <c r="B9" s="18" t="s">
        <v>82</v>
      </c>
      <c r="C9" s="14" t="s">
        <v>147</v>
      </c>
      <c r="D9" s="14" t="s">
        <v>122</v>
      </c>
      <c r="E9" s="14" t="s">
        <v>148</v>
      </c>
      <c r="F9" s="31" t="s">
        <v>73</v>
      </c>
      <c r="G9" s="31" t="s">
        <v>83</v>
      </c>
      <c r="H9" s="31" t="s">
        <v>84</v>
      </c>
      <c r="I9" s="31" t="s">
        <v>122</v>
      </c>
      <c r="J9" s="31" t="s">
        <v>122</v>
      </c>
      <c r="K9" s="31" t="s">
        <v>122</v>
      </c>
      <c r="L9" s="33" t="s">
        <v>73</v>
      </c>
      <c r="M9" s="33" t="s">
        <v>83</v>
      </c>
      <c r="N9" s="33" t="s">
        <v>87</v>
      </c>
      <c r="O9" s="33" t="s">
        <v>122</v>
      </c>
      <c r="P9" s="33" t="s">
        <v>122</v>
      </c>
      <c r="Q9" s="33" t="s">
        <v>122</v>
      </c>
    </row>
    <row r="10" spans="1:17" ht="9" customHeight="1" x14ac:dyDescent="0.25">
      <c r="A10" s="14"/>
      <c r="B10" s="14"/>
      <c r="C10" s="14"/>
      <c r="D10" s="14"/>
      <c r="E10" s="14"/>
      <c r="F10" s="31"/>
      <c r="G10" s="31"/>
      <c r="H10" s="31"/>
      <c r="I10" s="31"/>
      <c r="J10" s="31"/>
      <c r="K10" s="31"/>
      <c r="L10" s="33"/>
      <c r="M10" s="33"/>
      <c r="N10" s="33"/>
      <c r="O10" s="33"/>
      <c r="P10" s="33"/>
      <c r="Q10" s="33"/>
    </row>
    <row r="11" spans="1:17" ht="132" customHeight="1" x14ac:dyDescent="0.25">
      <c r="A11" s="40" t="s">
        <v>149</v>
      </c>
      <c r="B11" s="18" t="s">
        <v>150</v>
      </c>
      <c r="C11" s="14" t="s">
        <v>151</v>
      </c>
      <c r="D11" s="14" t="s">
        <v>122</v>
      </c>
      <c r="E11" s="14" t="s">
        <v>152</v>
      </c>
      <c r="F11" s="31" t="s">
        <v>73</v>
      </c>
      <c r="G11" s="31" t="s">
        <v>400</v>
      </c>
      <c r="H11" s="31" t="s">
        <v>153</v>
      </c>
      <c r="I11" s="31" t="s">
        <v>122</v>
      </c>
      <c r="J11" s="31" t="s">
        <v>122</v>
      </c>
      <c r="K11" s="31" t="s">
        <v>122</v>
      </c>
      <c r="L11" s="33" t="s">
        <v>73</v>
      </c>
      <c r="M11" s="33" t="s">
        <v>79</v>
      </c>
      <c r="N11" s="33" t="s">
        <v>154</v>
      </c>
      <c r="O11" s="33" t="s">
        <v>122</v>
      </c>
      <c r="P11" s="33" t="s">
        <v>122</v>
      </c>
      <c r="Q11" s="33" t="s">
        <v>122</v>
      </c>
    </row>
    <row r="12" spans="1:17" ht="9.75" customHeight="1" x14ac:dyDescent="0.25">
      <c r="A12" s="14"/>
      <c r="B12" s="14"/>
      <c r="C12" s="14"/>
      <c r="D12" s="14"/>
      <c r="E12" s="14"/>
      <c r="F12" s="31"/>
      <c r="G12" s="31"/>
      <c r="H12" s="31"/>
      <c r="I12" s="31"/>
      <c r="J12" s="31"/>
      <c r="K12" s="31"/>
      <c r="L12" s="33"/>
      <c r="M12" s="33"/>
      <c r="N12" s="33"/>
      <c r="O12" s="33"/>
      <c r="P12" s="33"/>
      <c r="Q12" s="33"/>
    </row>
    <row r="13" spans="1:17" ht="120" customHeight="1" x14ac:dyDescent="0.25">
      <c r="A13" s="41" t="s">
        <v>155</v>
      </c>
      <c r="B13" s="18" t="s">
        <v>80</v>
      </c>
      <c r="C13" s="14" t="s">
        <v>156</v>
      </c>
      <c r="D13" s="14" t="s">
        <v>122</v>
      </c>
      <c r="E13" s="14" t="s">
        <v>157</v>
      </c>
      <c r="F13" s="31" t="s">
        <v>73</v>
      </c>
      <c r="G13" s="31" t="s">
        <v>399</v>
      </c>
      <c r="H13" s="31" t="s">
        <v>158</v>
      </c>
      <c r="I13" s="31" t="s">
        <v>122</v>
      </c>
      <c r="J13" s="31" t="s">
        <v>122</v>
      </c>
      <c r="K13" s="31" t="s">
        <v>122</v>
      </c>
      <c r="L13" s="33" t="s">
        <v>73</v>
      </c>
      <c r="M13" s="33" t="s">
        <v>81</v>
      </c>
      <c r="N13" s="33" t="s">
        <v>88</v>
      </c>
      <c r="O13" s="33" t="s">
        <v>122</v>
      </c>
      <c r="P13" s="33" t="s">
        <v>122</v>
      </c>
      <c r="Q13" s="33" t="s">
        <v>122</v>
      </c>
    </row>
    <row r="14" spans="1:17" ht="14.25" customHeight="1" x14ac:dyDescent="0.25">
      <c r="A14" s="14"/>
      <c r="B14" s="14"/>
      <c r="C14" s="14"/>
      <c r="D14" s="14"/>
      <c r="E14" s="14"/>
      <c r="F14" s="31"/>
      <c r="G14" s="31"/>
      <c r="H14" s="31"/>
      <c r="I14" s="31"/>
      <c r="J14" s="31"/>
      <c r="K14" s="31"/>
      <c r="L14" s="33"/>
      <c r="M14" s="33"/>
      <c r="N14" s="33"/>
      <c r="O14" s="33"/>
      <c r="P14" s="33"/>
      <c r="Q14" s="33"/>
    </row>
    <row r="15" spans="1:17" ht="99.95" customHeight="1" x14ac:dyDescent="0.25">
      <c r="A15" s="42" t="s">
        <v>159</v>
      </c>
      <c r="B15" s="14" t="s">
        <v>160</v>
      </c>
      <c r="C15" s="14" t="s">
        <v>161</v>
      </c>
      <c r="D15" s="14" t="s">
        <v>122</v>
      </c>
      <c r="E15" s="14" t="s">
        <v>162</v>
      </c>
      <c r="F15" s="31" t="s">
        <v>73</v>
      </c>
      <c r="G15" s="31" t="s">
        <v>399</v>
      </c>
      <c r="H15" s="31" t="s">
        <v>153</v>
      </c>
      <c r="I15" s="31" t="s">
        <v>122</v>
      </c>
      <c r="J15" s="31" t="s">
        <v>122</v>
      </c>
      <c r="K15" s="31" t="s">
        <v>122</v>
      </c>
      <c r="L15" s="33" t="s">
        <v>73</v>
      </c>
      <c r="M15" s="33" t="s">
        <v>79</v>
      </c>
      <c r="N15" s="33" t="s">
        <v>154</v>
      </c>
      <c r="O15" s="33" t="s">
        <v>122</v>
      </c>
      <c r="P15" s="33" t="s">
        <v>122</v>
      </c>
      <c r="Q15" s="33" t="s">
        <v>122</v>
      </c>
    </row>
  </sheetData>
  <mergeCells count="2">
    <mergeCell ref="F1:K1"/>
    <mergeCell ref="L1:Q1"/>
  </mergeCells>
  <hyperlinks>
    <hyperlink ref="M15" r:id="rId1"/>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5"/>
  <sheetViews>
    <sheetView topLeftCell="B1" workbookViewId="0">
      <selection activeCell="E22" sqref="E22"/>
    </sheetView>
  </sheetViews>
  <sheetFormatPr defaultRowHeight="15" x14ac:dyDescent="0.25"/>
  <cols>
    <col min="1" max="1" width="40.7109375" customWidth="1"/>
    <col min="2" max="2" width="25.7109375" bestFit="1" customWidth="1"/>
    <col min="3" max="4" width="32.5703125" customWidth="1"/>
    <col min="5" max="5" width="20.140625" customWidth="1"/>
    <col min="6" max="6" width="11.85546875" customWidth="1"/>
    <col min="7" max="7" width="33.42578125" customWidth="1"/>
    <col min="8" max="8" width="14.85546875" bestFit="1" customWidth="1"/>
    <col min="9" max="9" width="31.28515625" bestFit="1" customWidth="1"/>
    <col min="10" max="10" width="23" bestFit="1" customWidth="1"/>
    <col min="11" max="11" width="10.42578125" bestFit="1" customWidth="1"/>
    <col min="12" max="12" width="26.7109375" customWidth="1"/>
    <col min="13" max="13" width="8.42578125" bestFit="1" customWidth="1"/>
    <col min="14" max="14" width="16" customWidth="1"/>
    <col min="15" max="15" width="7.7109375" bestFit="1" customWidth="1"/>
    <col min="17" max="17" width="5.28515625" bestFit="1" customWidth="1"/>
    <col min="18" max="18" width="9" bestFit="1" customWidth="1"/>
    <col min="20" max="20" width="24.7109375" customWidth="1"/>
  </cols>
  <sheetData>
    <row r="2" spans="1:24" x14ac:dyDescent="0.25">
      <c r="C2" s="52" t="s">
        <v>113</v>
      </c>
      <c r="D2" s="53" t="s">
        <v>114</v>
      </c>
      <c r="M2" s="100" t="s">
        <v>113</v>
      </c>
      <c r="N2" s="101"/>
      <c r="O2" s="101"/>
      <c r="P2" s="101"/>
      <c r="Q2" s="101"/>
      <c r="R2" s="101"/>
      <c r="S2" s="102" t="s">
        <v>114</v>
      </c>
      <c r="T2" s="102"/>
      <c r="U2" s="102"/>
      <c r="V2" s="102"/>
      <c r="W2" s="102"/>
      <c r="X2" s="102"/>
    </row>
    <row r="3" spans="1:24" s="13" customFormat="1" x14ac:dyDescent="0.25">
      <c r="A3" s="11" t="s">
        <v>204</v>
      </c>
      <c r="B3" s="11" t="s">
        <v>205</v>
      </c>
      <c r="C3" s="11" t="s">
        <v>54</v>
      </c>
      <c r="D3" s="11" t="s">
        <v>54</v>
      </c>
      <c r="E3" s="54" t="s">
        <v>206</v>
      </c>
      <c r="F3" s="54" t="s">
        <v>207</v>
      </c>
      <c r="G3" s="54" t="s">
        <v>33</v>
      </c>
      <c r="H3" s="54" t="s">
        <v>0</v>
      </c>
      <c r="I3" s="12" t="s">
        <v>208</v>
      </c>
      <c r="J3" s="11" t="s">
        <v>34</v>
      </c>
      <c r="K3" s="11" t="s">
        <v>35</v>
      </c>
      <c r="L3" s="11" t="s">
        <v>36</v>
      </c>
      <c r="M3" s="12" t="s">
        <v>37</v>
      </c>
      <c r="N3" s="12" t="s">
        <v>38</v>
      </c>
      <c r="O3" s="11" t="s">
        <v>54</v>
      </c>
      <c r="P3" s="12" t="s">
        <v>136</v>
      </c>
      <c r="Q3" s="12" t="s">
        <v>119</v>
      </c>
      <c r="R3" s="11" t="s">
        <v>120</v>
      </c>
      <c r="S3" s="12" t="s">
        <v>37</v>
      </c>
      <c r="T3" s="12" t="s">
        <v>38</v>
      </c>
      <c r="U3" s="11" t="s">
        <v>54</v>
      </c>
      <c r="V3" s="12" t="s">
        <v>136</v>
      </c>
      <c r="W3" s="12" t="s">
        <v>119</v>
      </c>
      <c r="X3" s="11" t="s">
        <v>120</v>
      </c>
    </row>
    <row r="4" spans="1:24" ht="102" customHeight="1" x14ac:dyDescent="0.25">
      <c r="A4" s="9"/>
      <c r="B4" s="20" t="s">
        <v>19</v>
      </c>
      <c r="C4" s="43" t="s">
        <v>42</v>
      </c>
      <c r="D4" s="8" t="s">
        <v>209</v>
      </c>
      <c r="E4" s="55" t="s">
        <v>210</v>
      </c>
      <c r="F4" s="56" t="s">
        <v>211</v>
      </c>
      <c r="G4" t="s">
        <v>212</v>
      </c>
      <c r="H4" s="57" t="s">
        <v>43</v>
      </c>
      <c r="I4" s="9" t="s">
        <v>44</v>
      </c>
      <c r="J4" s="17" t="s">
        <v>45</v>
      </c>
      <c r="K4" s="17" t="s">
        <v>122</v>
      </c>
      <c r="L4" s="17" t="s">
        <v>46</v>
      </c>
      <c r="M4" s="17" t="s">
        <v>47</v>
      </c>
      <c r="N4" s="17" t="s">
        <v>48</v>
      </c>
      <c r="O4" s="17" t="s">
        <v>49</v>
      </c>
      <c r="P4" s="9" t="s">
        <v>122</v>
      </c>
      <c r="Q4" s="9" t="s">
        <v>122</v>
      </c>
      <c r="R4" s="9" t="s">
        <v>122</v>
      </c>
      <c r="S4" s="17" t="s">
        <v>47</v>
      </c>
      <c r="T4" s="17" t="s">
        <v>48</v>
      </c>
      <c r="U4" t="s">
        <v>50</v>
      </c>
      <c r="V4" s="9" t="s">
        <v>122</v>
      </c>
      <c r="W4" s="9" t="s">
        <v>122</v>
      </c>
      <c r="X4" s="9" t="s">
        <v>122</v>
      </c>
    </row>
    <row r="5" spans="1:24" x14ac:dyDescent="0.25">
      <c r="H5" t="s">
        <v>213</v>
      </c>
      <c r="J5" s="51" t="s">
        <v>122</v>
      </c>
      <c r="K5" s="51" t="s">
        <v>122</v>
      </c>
      <c r="L5" s="51"/>
      <c r="M5" s="51" t="s">
        <v>122</v>
      </c>
      <c r="N5" s="51"/>
      <c r="Q5" s="51" t="s">
        <v>122</v>
      </c>
      <c r="R5" s="51" t="s">
        <v>122</v>
      </c>
      <c r="S5" s="51" t="s">
        <v>122</v>
      </c>
      <c r="V5" s="51" t="s">
        <v>122</v>
      </c>
      <c r="W5" s="51" t="s">
        <v>122</v>
      </c>
      <c r="X5" s="51" t="s">
        <v>122</v>
      </c>
    </row>
  </sheetData>
  <mergeCells count="2">
    <mergeCell ref="M2:R2"/>
    <mergeCell ref="S2:X2"/>
  </mergeCells>
  <hyperlinks>
    <hyperlink ref="B4" r:id="rId1"/>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
  <sheetViews>
    <sheetView topLeftCell="G1" workbookViewId="0">
      <selection activeCell="R7" sqref="R7"/>
    </sheetView>
  </sheetViews>
  <sheetFormatPr defaultColWidth="9" defaultRowHeight="15" x14ac:dyDescent="0.25"/>
  <cols>
    <col min="1" max="1" width="17.7109375" style="9" hidden="1" customWidth="1"/>
    <col min="2" max="2" width="24.42578125" style="9" hidden="1" customWidth="1"/>
    <col min="3" max="3" width="21.85546875" style="9" hidden="1" customWidth="1"/>
    <col min="4" max="4" width="19.140625" style="9" hidden="1" customWidth="1"/>
    <col min="5" max="5" width="29.7109375" style="9" hidden="1" customWidth="1"/>
    <col min="6" max="6" width="30.7109375" style="9" hidden="1" customWidth="1"/>
    <col min="7" max="7" width="15.7109375" style="9" customWidth="1"/>
    <col min="8" max="8" width="17.85546875" style="9" customWidth="1"/>
    <col min="9" max="9" width="13.85546875" style="9" customWidth="1"/>
    <col min="10" max="10" width="13.5703125" style="9" customWidth="1"/>
    <col min="11" max="11" width="13.85546875" style="9" customWidth="1"/>
    <col min="12" max="12" width="17.28515625" style="9" bestFit="1" customWidth="1"/>
    <col min="13" max="13" width="39.85546875" style="9" customWidth="1"/>
    <col min="14" max="14" width="39" style="9" customWidth="1"/>
    <col min="15" max="15" width="31.42578125" style="9" customWidth="1"/>
    <col min="16" max="16" width="15.85546875" style="9" bestFit="1" customWidth="1"/>
    <col min="17" max="17" width="15.7109375" style="9" bestFit="1" customWidth="1"/>
    <col min="18" max="20" width="15.7109375" style="9" customWidth="1"/>
    <col min="21" max="16384" width="9" style="9"/>
  </cols>
  <sheetData>
    <row r="1" spans="1:20" ht="30" x14ac:dyDescent="0.25">
      <c r="A1" s="44" t="s">
        <v>163</v>
      </c>
      <c r="B1" s="45" t="s">
        <v>164</v>
      </c>
      <c r="C1" s="14"/>
      <c r="D1" s="14"/>
      <c r="E1" s="14"/>
      <c r="F1" s="14"/>
      <c r="G1" s="14"/>
      <c r="H1" s="14"/>
      <c r="I1" s="14"/>
      <c r="J1" s="14"/>
      <c r="K1" s="14"/>
      <c r="L1" s="14"/>
      <c r="M1" s="14"/>
      <c r="N1" s="14"/>
      <c r="O1" s="14"/>
      <c r="P1" s="14"/>
      <c r="Q1" s="14"/>
      <c r="R1" s="14"/>
      <c r="S1" s="14"/>
      <c r="T1" s="14"/>
    </row>
    <row r="2" spans="1:20" x14ac:dyDescent="0.25">
      <c r="A2" s="14"/>
      <c r="B2" s="14"/>
      <c r="C2" s="14"/>
      <c r="D2" s="14"/>
      <c r="E2" s="14"/>
      <c r="F2" s="14"/>
      <c r="G2" s="14"/>
      <c r="H2" s="14"/>
      <c r="I2" s="14"/>
      <c r="J2" s="14"/>
      <c r="K2" s="14"/>
      <c r="L2" s="14"/>
      <c r="M2" s="14"/>
      <c r="N2" s="14"/>
      <c r="O2" s="14"/>
      <c r="P2" s="14"/>
      <c r="Q2" s="14"/>
      <c r="R2" s="14"/>
      <c r="S2" s="14"/>
      <c r="T2" s="14"/>
    </row>
    <row r="3" spans="1:20" ht="30" x14ac:dyDescent="0.25">
      <c r="A3" s="46" t="s">
        <v>165</v>
      </c>
      <c r="B3" s="46" t="s">
        <v>166</v>
      </c>
      <c r="C3" s="46" t="s">
        <v>167</v>
      </c>
      <c r="D3" s="46" t="s">
        <v>168</v>
      </c>
      <c r="E3" s="46" t="s">
        <v>169</v>
      </c>
      <c r="F3" s="46" t="s">
        <v>170</v>
      </c>
      <c r="G3" s="46" t="s">
        <v>171</v>
      </c>
      <c r="H3" s="46" t="s">
        <v>172</v>
      </c>
      <c r="I3" s="46" t="s">
        <v>173</v>
      </c>
      <c r="J3" s="46" t="s">
        <v>174</v>
      </c>
      <c r="K3" s="47" t="s">
        <v>175</v>
      </c>
      <c r="L3" s="47" t="s">
        <v>176</v>
      </c>
      <c r="M3" s="47" t="s">
        <v>177</v>
      </c>
      <c r="N3" s="47" t="s">
        <v>178</v>
      </c>
      <c r="O3" s="47" t="s">
        <v>179</v>
      </c>
      <c r="P3" s="47" t="s">
        <v>180</v>
      </c>
      <c r="Q3" s="47" t="s">
        <v>181</v>
      </c>
      <c r="R3" s="47" t="s">
        <v>182</v>
      </c>
      <c r="S3" s="47" t="s">
        <v>183</v>
      </c>
      <c r="T3" s="47" t="s">
        <v>184</v>
      </c>
    </row>
    <row r="4" spans="1:20" ht="45" x14ac:dyDescent="0.25">
      <c r="A4" s="14" t="s">
        <v>185</v>
      </c>
      <c r="B4" s="14" t="s">
        <v>185</v>
      </c>
      <c r="C4" s="14" t="s">
        <v>140</v>
      </c>
      <c r="D4" s="14" t="s">
        <v>140</v>
      </c>
      <c r="E4" s="14" t="s">
        <v>185</v>
      </c>
      <c r="F4" s="14"/>
      <c r="G4" s="48">
        <v>44162</v>
      </c>
      <c r="H4" s="14" t="s">
        <v>186</v>
      </c>
      <c r="I4" s="48">
        <v>44162</v>
      </c>
      <c r="J4" s="14" t="s">
        <v>187</v>
      </c>
      <c r="K4" s="45" t="s">
        <v>188</v>
      </c>
      <c r="L4" s="14" t="s">
        <v>189</v>
      </c>
      <c r="M4" s="14" t="s">
        <v>190</v>
      </c>
      <c r="N4" s="14" t="s">
        <v>191</v>
      </c>
      <c r="O4" s="14" t="s">
        <v>192</v>
      </c>
      <c r="P4" s="14" t="s">
        <v>122</v>
      </c>
      <c r="Q4" s="14" t="s">
        <v>19</v>
      </c>
      <c r="R4" s="49" t="s">
        <v>42</v>
      </c>
      <c r="S4" s="14" t="s">
        <v>122</v>
      </c>
      <c r="T4" s="14" t="s">
        <v>122</v>
      </c>
    </row>
    <row r="5" spans="1:20" ht="45" x14ac:dyDescent="0.25">
      <c r="A5" s="14" t="s">
        <v>185</v>
      </c>
      <c r="B5" s="14" t="s">
        <v>185</v>
      </c>
      <c r="C5" s="14" t="s">
        <v>140</v>
      </c>
      <c r="D5" s="14" t="s">
        <v>140</v>
      </c>
      <c r="E5" s="14" t="s">
        <v>185</v>
      </c>
      <c r="F5" s="14"/>
      <c r="G5" s="48">
        <v>44163</v>
      </c>
      <c r="H5" s="14" t="s">
        <v>193</v>
      </c>
      <c r="I5" s="48">
        <v>44164</v>
      </c>
      <c r="J5" s="14" t="s">
        <v>187</v>
      </c>
      <c r="K5" s="45" t="s">
        <v>188</v>
      </c>
      <c r="L5" s="14" t="s">
        <v>194</v>
      </c>
      <c r="M5" s="14" t="s">
        <v>195</v>
      </c>
      <c r="N5" s="14" t="s">
        <v>191</v>
      </c>
      <c r="O5" s="14" t="s">
        <v>192</v>
      </c>
      <c r="P5" s="14" t="s">
        <v>122</v>
      </c>
      <c r="Q5" s="50" t="s">
        <v>19</v>
      </c>
      <c r="R5" s="49" t="s">
        <v>42</v>
      </c>
      <c r="S5" s="14" t="s">
        <v>122</v>
      </c>
      <c r="T5" s="14" t="s">
        <v>122</v>
      </c>
    </row>
    <row r="6" spans="1:20" ht="45" x14ac:dyDescent="0.25">
      <c r="A6" s="14" t="s">
        <v>185</v>
      </c>
      <c r="B6" s="14" t="s">
        <v>185</v>
      </c>
      <c r="C6" s="14" t="s">
        <v>140</v>
      </c>
      <c r="D6" s="14" t="s">
        <v>140</v>
      </c>
      <c r="E6" s="14" t="s">
        <v>185</v>
      </c>
      <c r="F6" s="14"/>
      <c r="G6" s="48">
        <v>44165</v>
      </c>
      <c r="H6" s="14" t="s">
        <v>193</v>
      </c>
      <c r="I6" s="48">
        <v>44165</v>
      </c>
      <c r="J6" s="14" t="s">
        <v>187</v>
      </c>
      <c r="K6" s="45" t="s">
        <v>188</v>
      </c>
      <c r="L6" s="14" t="s">
        <v>196</v>
      </c>
      <c r="M6" s="14" t="s">
        <v>197</v>
      </c>
      <c r="N6" s="14" t="s">
        <v>198</v>
      </c>
      <c r="O6" s="14" t="s">
        <v>122</v>
      </c>
      <c r="P6" s="14" t="s">
        <v>73</v>
      </c>
      <c r="Q6" s="14" t="s">
        <v>19</v>
      </c>
      <c r="R6" s="49" t="s">
        <v>42</v>
      </c>
      <c r="S6" s="14" t="s">
        <v>122</v>
      </c>
      <c r="T6" s="14" t="s">
        <v>122</v>
      </c>
    </row>
    <row r="7" spans="1:20" ht="45" x14ac:dyDescent="0.25">
      <c r="A7" s="14" t="s">
        <v>185</v>
      </c>
      <c r="B7" s="14" t="s">
        <v>185</v>
      </c>
      <c r="C7" s="14" t="s">
        <v>140</v>
      </c>
      <c r="D7" s="14" t="s">
        <v>140</v>
      </c>
      <c r="E7" s="14" t="s">
        <v>185</v>
      </c>
      <c r="F7" s="14"/>
      <c r="G7" s="48">
        <v>44166</v>
      </c>
      <c r="H7" s="14" t="s">
        <v>193</v>
      </c>
      <c r="I7" s="48">
        <v>44171</v>
      </c>
      <c r="J7" s="14" t="s">
        <v>199</v>
      </c>
      <c r="K7" s="45" t="s">
        <v>200</v>
      </c>
      <c r="L7" s="14" t="s">
        <v>201</v>
      </c>
      <c r="M7" s="14" t="s">
        <v>202</v>
      </c>
      <c r="N7" s="14" t="s">
        <v>203</v>
      </c>
      <c r="O7" s="14" t="s">
        <v>122</v>
      </c>
      <c r="P7" s="14" t="s">
        <v>73</v>
      </c>
      <c r="Q7" s="50" t="s">
        <v>19</v>
      </c>
      <c r="R7" s="49" t="s">
        <v>42</v>
      </c>
      <c r="S7" s="14" t="s">
        <v>122</v>
      </c>
      <c r="T7" s="14" t="s">
        <v>122</v>
      </c>
    </row>
  </sheetData>
  <hyperlinks>
    <hyperlink ref="Q7" r:id="rId1"/>
    <hyperlink ref="Q5" r:id="rId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A10" sqref="A10"/>
    </sheetView>
  </sheetViews>
  <sheetFormatPr defaultRowHeight="15" x14ac:dyDescent="0.25"/>
  <cols>
    <col min="1" max="1" width="54.140625" customWidth="1"/>
    <col min="2" max="2" width="85.7109375" customWidth="1"/>
    <col min="3" max="4" width="71.28515625" customWidth="1"/>
  </cols>
  <sheetData>
    <row r="1" spans="1:13" x14ac:dyDescent="0.25">
      <c r="A1" s="1" t="s">
        <v>0</v>
      </c>
      <c r="B1" s="2" t="s">
        <v>89</v>
      </c>
      <c r="C1" s="2" t="s">
        <v>90</v>
      </c>
      <c r="D1" s="2" t="s">
        <v>91</v>
      </c>
      <c r="E1" s="3"/>
      <c r="F1" s="3"/>
      <c r="G1" s="3"/>
      <c r="H1" s="3"/>
      <c r="I1" s="3"/>
      <c r="J1" s="3"/>
      <c r="K1" s="3"/>
      <c r="L1" s="3"/>
      <c r="M1" s="3"/>
    </row>
    <row r="2" spans="1:13" x14ac:dyDescent="0.25">
      <c r="A2" s="4" t="s">
        <v>92</v>
      </c>
      <c r="B2" s="5" t="s">
        <v>93</v>
      </c>
      <c r="C2" s="5" t="s">
        <v>94</v>
      </c>
      <c r="D2" s="5" t="s">
        <v>214</v>
      </c>
      <c r="E2" s="3"/>
      <c r="F2" s="3"/>
      <c r="G2" s="3"/>
      <c r="H2" s="3"/>
      <c r="I2" s="3"/>
      <c r="J2" s="3"/>
      <c r="K2" s="3"/>
      <c r="L2" s="3"/>
      <c r="M2" s="3"/>
    </row>
    <row r="3" spans="1:13" x14ac:dyDescent="0.25">
      <c r="A3" s="4" t="s">
        <v>95</v>
      </c>
      <c r="B3" s="5" t="s">
        <v>96</v>
      </c>
      <c r="C3" s="5" t="s">
        <v>97</v>
      </c>
      <c r="D3" s="5" t="s">
        <v>215</v>
      </c>
      <c r="E3" s="3"/>
      <c r="F3" s="3"/>
      <c r="G3" s="3"/>
      <c r="H3" s="3"/>
      <c r="I3" s="3"/>
      <c r="J3" s="3"/>
      <c r="K3" s="3"/>
      <c r="L3" s="3"/>
      <c r="M3" s="3"/>
    </row>
    <row r="4" spans="1:13" x14ac:dyDescent="0.25">
      <c r="A4" s="4" t="s">
        <v>98</v>
      </c>
      <c r="B4" s="5" t="s">
        <v>99</v>
      </c>
      <c r="C4" s="5" t="s">
        <v>100</v>
      </c>
      <c r="D4" s="5" t="s">
        <v>216</v>
      </c>
      <c r="E4" s="3"/>
      <c r="F4" s="3"/>
      <c r="G4" s="3"/>
      <c r="H4" s="3"/>
      <c r="I4" s="3"/>
      <c r="J4" s="3"/>
      <c r="K4" s="3"/>
      <c r="L4" s="3"/>
      <c r="M4" s="3"/>
    </row>
    <row r="5" spans="1:13" x14ac:dyDescent="0.25">
      <c r="A5" s="4" t="s">
        <v>101</v>
      </c>
      <c r="B5" s="5" t="s">
        <v>102</v>
      </c>
      <c r="C5" s="5" t="s">
        <v>103</v>
      </c>
      <c r="D5" s="5" t="s">
        <v>217</v>
      </c>
      <c r="E5" s="3"/>
      <c r="F5" s="3"/>
      <c r="G5" s="3"/>
      <c r="H5" s="3"/>
      <c r="I5" s="3"/>
      <c r="J5" s="3"/>
      <c r="K5" s="3"/>
      <c r="L5" s="3"/>
      <c r="M5" s="3"/>
    </row>
    <row r="6" spans="1:13" x14ac:dyDescent="0.25">
      <c r="A6" s="4" t="s">
        <v>104</v>
      </c>
      <c r="B6" s="5"/>
      <c r="C6" s="5" t="s">
        <v>105</v>
      </c>
      <c r="D6" s="5"/>
      <c r="E6" s="3"/>
      <c r="F6" s="3"/>
      <c r="G6" s="3"/>
      <c r="H6" s="3"/>
      <c r="I6" s="3"/>
      <c r="J6" s="3"/>
      <c r="K6" s="3"/>
      <c r="L6" s="3"/>
      <c r="M6" s="3"/>
    </row>
    <row r="7" spans="1:13" x14ac:dyDescent="0.25">
      <c r="A7" s="4" t="s">
        <v>106</v>
      </c>
      <c r="B7" s="5"/>
      <c r="C7" s="5" t="s">
        <v>107</v>
      </c>
      <c r="D7" s="5"/>
      <c r="E7" s="3"/>
      <c r="F7" s="3"/>
      <c r="G7" s="3"/>
      <c r="H7" s="3"/>
      <c r="I7" s="3"/>
      <c r="J7" s="3"/>
      <c r="K7" s="3"/>
      <c r="L7" s="3"/>
      <c r="M7" s="3"/>
    </row>
    <row r="8" spans="1:13" x14ac:dyDescent="0.25">
      <c r="A8" s="4"/>
      <c r="B8" s="5"/>
      <c r="C8" s="21" t="s">
        <v>108</v>
      </c>
      <c r="D8" s="3"/>
      <c r="E8" s="3"/>
      <c r="F8" s="3"/>
      <c r="G8" s="3"/>
      <c r="H8" s="3"/>
      <c r="I8" s="3"/>
      <c r="J8" s="3"/>
      <c r="K8" s="3"/>
      <c r="L8" s="3"/>
      <c r="M8" s="3"/>
    </row>
    <row r="9" spans="1:13" x14ac:dyDescent="0.25">
      <c r="A9" s="4"/>
      <c r="B9" s="5"/>
      <c r="C9" s="21" t="s">
        <v>109</v>
      </c>
      <c r="D9" s="3"/>
      <c r="E9" s="3"/>
      <c r="F9" s="3"/>
      <c r="G9" s="3"/>
      <c r="H9" s="3"/>
      <c r="I9" s="3"/>
      <c r="J9" s="3"/>
      <c r="K9" s="3"/>
      <c r="L9" s="3"/>
      <c r="M9" s="3"/>
    </row>
    <row r="10" spans="1:13" x14ac:dyDescent="0.25">
      <c r="A10" s="4"/>
      <c r="B10" s="5"/>
      <c r="C10" s="3"/>
      <c r="D10" s="3"/>
      <c r="E10" s="3"/>
      <c r="F10" s="3"/>
      <c r="G10" s="3"/>
      <c r="H10" s="3"/>
      <c r="I10" s="3"/>
      <c r="J10" s="3"/>
      <c r="K10" s="3"/>
      <c r="L10" s="3"/>
      <c r="M10" s="3"/>
    </row>
    <row r="11" spans="1:13" x14ac:dyDescent="0.25">
      <c r="A11" s="4"/>
      <c r="B11" s="5" t="s">
        <v>402</v>
      </c>
      <c r="C11" s="3"/>
      <c r="D11" s="3"/>
      <c r="E11" s="3"/>
      <c r="F11" s="3"/>
      <c r="G11" s="3"/>
      <c r="H11" s="3"/>
      <c r="I11" s="3"/>
      <c r="J11" s="3"/>
      <c r="K11" s="3"/>
      <c r="L11" s="3"/>
      <c r="M11" s="3"/>
    </row>
    <row r="12" spans="1:13" x14ac:dyDescent="0.25">
      <c r="A12" s="4"/>
      <c r="B12" s="5"/>
      <c r="C12" s="3"/>
      <c r="D12" s="3"/>
      <c r="E12" s="3"/>
      <c r="F12" s="3"/>
      <c r="G12" s="3"/>
      <c r="H12" s="3"/>
      <c r="I12" s="3"/>
      <c r="J12" s="3"/>
      <c r="K12" s="3"/>
      <c r="L12" s="3"/>
      <c r="M12" s="3"/>
    </row>
    <row r="13" spans="1:13" x14ac:dyDescent="0.25">
      <c r="A13" s="4"/>
      <c r="B13" s="5"/>
      <c r="C13" s="3"/>
      <c r="D13" s="3"/>
      <c r="E13" s="3"/>
      <c r="F13" s="3"/>
      <c r="G13" s="3"/>
      <c r="H13" s="3"/>
      <c r="I13" s="3"/>
      <c r="J13" s="3"/>
      <c r="K13" s="3"/>
      <c r="L13" s="3"/>
      <c r="M13" s="3"/>
    </row>
    <row r="14" spans="1:13" x14ac:dyDescent="0.25">
      <c r="A14" s="4"/>
      <c r="B14" s="5"/>
      <c r="C14" s="3"/>
      <c r="D14" s="3"/>
      <c r="E14" s="3"/>
      <c r="F14" s="3"/>
      <c r="G14" s="3"/>
      <c r="H14" s="3"/>
      <c r="I14" s="3"/>
      <c r="J14" s="3"/>
      <c r="K14" s="3"/>
      <c r="L14" s="3"/>
      <c r="M14" s="3"/>
    </row>
    <row r="15" spans="1:13" x14ac:dyDescent="0.25">
      <c r="A15" s="3"/>
      <c r="B15" s="4"/>
      <c r="C15" s="3"/>
      <c r="D15" s="3"/>
      <c r="E15" s="3"/>
      <c r="F15" s="3"/>
      <c r="G15" s="3"/>
      <c r="H15" s="3"/>
      <c r="I15" s="3"/>
      <c r="J15" s="3"/>
      <c r="K15" s="3"/>
      <c r="L15" s="3"/>
      <c r="M15" s="3"/>
    </row>
    <row r="16" spans="1:13" x14ac:dyDescent="0.25">
      <c r="A16" s="3"/>
      <c r="B16" s="4"/>
      <c r="C16" s="3"/>
      <c r="D16" s="3"/>
      <c r="E16" s="3"/>
      <c r="F16" s="3"/>
      <c r="G16" s="3"/>
      <c r="H16" s="3"/>
      <c r="I16" s="3"/>
      <c r="J16" s="3"/>
      <c r="K16" s="3"/>
      <c r="L16" s="3"/>
      <c r="M16" s="3"/>
    </row>
    <row r="17" spans="1:13" x14ac:dyDescent="0.25">
      <c r="A17" s="3"/>
      <c r="B17" s="4"/>
      <c r="C17" s="3"/>
      <c r="D17" s="3"/>
      <c r="E17" s="3"/>
      <c r="F17" s="3"/>
      <c r="G17" s="3"/>
      <c r="H17" s="3"/>
      <c r="I17" s="3"/>
      <c r="J17" s="3"/>
      <c r="K17" s="3"/>
      <c r="L17" s="3"/>
      <c r="M17" s="3"/>
    </row>
    <row r="18" spans="1:13" x14ac:dyDescent="0.25">
      <c r="B18" s="7"/>
    </row>
    <row r="19" spans="1:13" x14ac:dyDescent="0.25">
      <c r="B19" s="7"/>
    </row>
    <row r="21" spans="1:13" x14ac:dyDescent="0.25">
      <c r="A21" s="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B30" sqref="B30"/>
    </sheetView>
  </sheetViews>
  <sheetFormatPr defaultRowHeight="15" x14ac:dyDescent="0.25"/>
  <cols>
    <col min="1" max="1" width="54.140625" customWidth="1"/>
    <col min="2" max="2" width="85.7109375" customWidth="1"/>
    <col min="3" max="3" width="71.28515625" customWidth="1"/>
  </cols>
  <sheetData>
    <row r="1" spans="1:13" x14ac:dyDescent="0.25">
      <c r="A1" s="1" t="s">
        <v>0</v>
      </c>
      <c r="B1" s="2" t="s">
        <v>1</v>
      </c>
      <c r="C1" s="3"/>
      <c r="D1" s="3"/>
      <c r="E1" s="3"/>
      <c r="F1" s="3"/>
      <c r="G1" s="3"/>
      <c r="H1" s="3"/>
      <c r="I1" s="3"/>
      <c r="J1" s="3"/>
      <c r="K1" s="3"/>
      <c r="L1" s="3"/>
      <c r="M1" s="3"/>
    </row>
    <row r="2" spans="1:13" x14ac:dyDescent="0.25">
      <c r="A2" s="4" t="s">
        <v>2</v>
      </c>
      <c r="B2" s="5" t="s">
        <v>3</v>
      </c>
      <c r="C2" s="5"/>
      <c r="D2" s="3"/>
      <c r="E2" s="3"/>
      <c r="F2" s="3"/>
      <c r="G2" s="3"/>
      <c r="H2" s="3"/>
      <c r="I2" s="3"/>
      <c r="J2" s="3"/>
      <c r="K2" s="3"/>
      <c r="L2" s="3"/>
      <c r="M2" s="3"/>
    </row>
    <row r="3" spans="1:13" x14ac:dyDescent="0.25">
      <c r="A3" s="4" t="s">
        <v>4</v>
      </c>
      <c r="B3" s="5" t="s">
        <v>5</v>
      </c>
      <c r="C3" s="3"/>
      <c r="D3" s="3"/>
      <c r="E3" s="3"/>
      <c r="F3" s="3"/>
      <c r="G3" s="3"/>
      <c r="H3" s="3"/>
      <c r="I3" s="3"/>
      <c r="J3" s="3"/>
      <c r="K3" s="3"/>
      <c r="L3" s="3"/>
      <c r="M3" s="3"/>
    </row>
    <row r="4" spans="1:13" x14ac:dyDescent="0.25">
      <c r="A4" s="4" t="s">
        <v>6</v>
      </c>
      <c r="B4" s="5" t="s">
        <v>7</v>
      </c>
      <c r="C4" s="3"/>
      <c r="D4" s="3"/>
      <c r="E4" s="3"/>
      <c r="F4" s="3"/>
      <c r="G4" s="3"/>
      <c r="H4" s="3"/>
      <c r="I4" s="3"/>
      <c r="J4" s="3"/>
      <c r="K4" s="3"/>
      <c r="L4" s="3"/>
      <c r="M4" s="3"/>
    </row>
    <row r="5" spans="1:13" x14ac:dyDescent="0.25">
      <c r="A5" s="4" t="s">
        <v>8</v>
      </c>
      <c r="B5" s="5" t="s">
        <v>9</v>
      </c>
      <c r="C5" s="3"/>
      <c r="D5" s="3"/>
      <c r="E5" s="3"/>
      <c r="F5" s="3"/>
      <c r="G5" s="3"/>
      <c r="H5" s="3"/>
      <c r="I5" s="3"/>
      <c r="J5" s="3"/>
      <c r="K5" s="3"/>
      <c r="L5" s="3"/>
      <c r="M5" s="3"/>
    </row>
    <row r="6" spans="1:13" x14ac:dyDescent="0.25">
      <c r="A6" s="4" t="s">
        <v>10</v>
      </c>
      <c r="B6" s="5" t="s">
        <v>11</v>
      </c>
      <c r="C6" s="6"/>
      <c r="D6" s="3"/>
      <c r="E6" s="3"/>
      <c r="F6" s="3"/>
      <c r="G6" s="3"/>
      <c r="H6" s="3"/>
      <c r="I6" s="3"/>
      <c r="J6" s="3"/>
      <c r="K6" s="3"/>
      <c r="L6" s="3"/>
      <c r="M6" s="3"/>
    </row>
    <row r="7" spans="1:13" x14ac:dyDescent="0.25">
      <c r="A7" s="4" t="s">
        <v>12</v>
      </c>
      <c r="B7" s="5" t="s">
        <v>13</v>
      </c>
      <c r="C7" s="3"/>
      <c r="D7" s="3"/>
      <c r="E7" s="3"/>
      <c r="F7" s="3"/>
      <c r="G7" s="3"/>
      <c r="H7" s="3"/>
      <c r="I7" s="3"/>
      <c r="J7" s="3"/>
      <c r="K7" s="3"/>
      <c r="L7" s="3"/>
      <c r="M7" s="3"/>
    </row>
    <row r="8" spans="1:13" x14ac:dyDescent="0.25">
      <c r="A8" s="4" t="s">
        <v>14</v>
      </c>
      <c r="B8" s="5" t="s">
        <v>15</v>
      </c>
      <c r="C8" s="3"/>
      <c r="D8" s="3"/>
      <c r="E8" s="3"/>
      <c r="F8" s="3"/>
      <c r="G8" s="3"/>
      <c r="H8" s="3"/>
      <c r="I8" s="3"/>
      <c r="J8" s="3"/>
      <c r="K8" s="3"/>
      <c r="L8" s="3"/>
      <c r="M8" s="3"/>
    </row>
    <row r="9" spans="1:13" x14ac:dyDescent="0.25">
      <c r="A9" s="4" t="s">
        <v>16</v>
      </c>
      <c r="B9" s="5" t="s">
        <v>17</v>
      </c>
      <c r="C9" s="3"/>
      <c r="D9" s="3"/>
      <c r="E9" s="3"/>
      <c r="F9" s="3"/>
      <c r="G9" s="3"/>
      <c r="H9" s="3"/>
      <c r="I9" s="3"/>
      <c r="J9" s="3"/>
      <c r="K9" s="3"/>
      <c r="L9" s="3"/>
      <c r="M9" s="3"/>
    </row>
    <row r="10" spans="1:13" x14ac:dyDescent="0.25">
      <c r="A10" s="4" t="s">
        <v>18</v>
      </c>
      <c r="B10" s="5" t="s">
        <v>19</v>
      </c>
      <c r="C10" s="3"/>
      <c r="D10" s="3"/>
      <c r="E10" s="3"/>
      <c r="F10" s="3"/>
      <c r="G10" s="3"/>
      <c r="H10" s="3"/>
      <c r="I10" s="3"/>
      <c r="J10" s="3"/>
      <c r="K10" s="3"/>
      <c r="L10" s="3"/>
      <c r="M10" s="3"/>
    </row>
    <row r="11" spans="1:13" x14ac:dyDescent="0.25">
      <c r="A11" s="4" t="s">
        <v>20</v>
      </c>
      <c r="B11" s="5" t="s">
        <v>21</v>
      </c>
      <c r="C11" s="3"/>
      <c r="D11" s="3"/>
      <c r="E11" s="3"/>
      <c r="F11" s="3"/>
      <c r="G11" s="3"/>
      <c r="H11" s="3"/>
      <c r="I11" s="3"/>
      <c r="J11" s="3"/>
      <c r="K11" s="3"/>
      <c r="L11" s="3"/>
      <c r="M11" s="3"/>
    </row>
    <row r="12" spans="1:13" x14ac:dyDescent="0.25">
      <c r="A12" s="4" t="s">
        <v>22</v>
      </c>
      <c r="B12" s="5" t="s">
        <v>23</v>
      </c>
      <c r="C12" s="3"/>
      <c r="D12" s="3"/>
      <c r="E12" s="3"/>
      <c r="F12" s="3"/>
      <c r="G12" s="3"/>
      <c r="H12" s="3"/>
      <c r="I12" s="3"/>
      <c r="J12" s="3"/>
      <c r="K12" s="3"/>
      <c r="L12" s="3"/>
      <c r="M12" s="3"/>
    </row>
    <row r="13" spans="1:13" x14ac:dyDescent="0.25">
      <c r="A13" s="4" t="s">
        <v>24</v>
      </c>
      <c r="B13" s="5" t="s">
        <v>25</v>
      </c>
      <c r="C13" s="3"/>
      <c r="D13" s="3"/>
      <c r="E13" s="3"/>
      <c r="F13" s="3"/>
      <c r="G13" s="3"/>
      <c r="H13" s="3"/>
      <c r="I13" s="3"/>
      <c r="J13" s="3"/>
      <c r="K13" s="3"/>
      <c r="L13" s="3"/>
      <c r="M13" s="3"/>
    </row>
    <row r="14" spans="1:13" x14ac:dyDescent="0.25">
      <c r="A14" s="4" t="s">
        <v>26</v>
      </c>
      <c r="B14" s="5" t="s">
        <v>27</v>
      </c>
      <c r="C14" s="3"/>
      <c r="D14" s="3"/>
      <c r="E14" s="3"/>
      <c r="F14" s="3"/>
      <c r="G14" s="3"/>
      <c r="H14" s="3"/>
      <c r="I14" s="3"/>
      <c r="J14" s="3"/>
      <c r="K14" s="3"/>
      <c r="L14" s="3"/>
      <c r="M14" s="3"/>
    </row>
    <row r="15" spans="1:13" x14ac:dyDescent="0.25">
      <c r="A15" s="3"/>
      <c r="B15" s="4"/>
      <c r="C15" s="3"/>
      <c r="D15" s="3"/>
      <c r="E15" s="3"/>
      <c r="F15" s="3"/>
      <c r="G15" s="3"/>
      <c r="H15" s="3"/>
      <c r="I15" s="3"/>
      <c r="J15" s="3"/>
      <c r="K15" s="3"/>
      <c r="L15" s="3"/>
      <c r="M15" s="3"/>
    </row>
    <row r="16" spans="1:13" x14ac:dyDescent="0.25">
      <c r="A16" s="3"/>
      <c r="B16" s="4"/>
      <c r="C16" s="3"/>
      <c r="D16" s="3"/>
      <c r="E16" s="3"/>
      <c r="F16" s="3"/>
      <c r="G16" s="3"/>
      <c r="H16" s="3"/>
      <c r="I16" s="3"/>
      <c r="J16" s="3"/>
      <c r="K16" s="3"/>
      <c r="L16" s="3"/>
      <c r="M16" s="3"/>
    </row>
    <row r="17" spans="1:13" x14ac:dyDescent="0.25">
      <c r="A17" s="3"/>
      <c r="B17" s="4"/>
      <c r="C17" s="3"/>
      <c r="D17" s="3"/>
      <c r="E17" s="3"/>
      <c r="F17" s="3"/>
      <c r="G17" s="3"/>
      <c r="H17" s="3"/>
      <c r="I17" s="3"/>
      <c r="J17" s="3"/>
      <c r="K17" s="3"/>
      <c r="L17" s="3"/>
      <c r="M17" s="3"/>
    </row>
    <row r="18" spans="1:13" x14ac:dyDescent="0.25">
      <c r="B18" s="7"/>
    </row>
    <row r="19" spans="1:13" x14ac:dyDescent="0.25">
      <c r="B19" s="7"/>
    </row>
    <row r="21" spans="1:13" x14ac:dyDescent="0.25">
      <c r="A21"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SL_PH1</vt:lpstr>
      <vt:lpstr>SL_PH</vt:lpstr>
      <vt:lpstr>FINAL_MODULE_All_Versions</vt:lpstr>
      <vt:lpstr>DD_Versions</vt:lpstr>
      <vt:lpstr>CC_Versions</vt:lpstr>
      <vt:lpstr>MiscBanners</vt:lpstr>
      <vt:lpstr>Dynamic_Banners</vt:lpstr>
      <vt:lpstr>urlsegment</vt:lpstr>
      <vt:lpstr>EMAILPage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2020-11-26T04:30:23Z</dcterms:modified>
</cp:coreProperties>
</file>
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948" activeTab="1"/>
  </bookViews>
  <sheets>
    <sheet name="DD_NR" sheetId="38" r:id="rId1"/>
    <sheet name="DD_Versions" sheetId="37" r:id="rId2"/>
    <sheet name="CC_Versions" sheetId="36" r:id="rId3"/>
    <sheet name="DD1 EPP 12.15-12.18 1159PM" sheetId="35" r:id="rId4"/>
    <sheet name="DD1 12.15-12.18 1159PM" sheetId="34" r:id="rId5"/>
    <sheet name="CC1 EPP 12.15-12.18 1159PM" sheetId="33" r:id="rId6"/>
    <sheet name="CC1 12.15-12.18 1159PM " sheetId="32" r:id="rId7"/>
    <sheet name="MiscModules" sheetId="2" r:id="rId8"/>
    <sheet name="urlsegment" sheetId="5" r:id="rId9"/>
    <sheet name="EMAILPage" sheetId="6" r:id="rId10"/>
    <sheet name="ListReq" sheetId="39" r:id="rId11"/>
  </sheets>
  <externalReferences>
    <externalReference r:id="rId12"/>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P6" i="35" l="1"/>
  <c r="DO6" i="35"/>
  <c r="DN6" i="35"/>
  <c r="DM6" i="35"/>
  <c r="DL6" i="35"/>
  <c r="DK6" i="35"/>
  <c r="DJ6" i="35"/>
  <c r="DI6" i="35"/>
  <c r="DH6" i="35"/>
  <c r="DG6" i="35"/>
  <c r="DE6" i="35"/>
  <c r="DD6" i="35"/>
  <c r="DC6" i="35"/>
  <c r="DB6" i="35"/>
  <c r="DA6" i="35"/>
  <c r="CZ6" i="35"/>
  <c r="CY6" i="35"/>
  <c r="CX6" i="35"/>
  <c r="CW6" i="35"/>
  <c r="CV6" i="35"/>
  <c r="CT6" i="35"/>
  <c r="CS6" i="35"/>
  <c r="CR6" i="35"/>
  <c r="CQ6" i="35"/>
  <c r="CP6" i="35"/>
  <c r="CO6" i="35"/>
  <c r="CN6" i="35"/>
  <c r="CM6" i="35"/>
  <c r="CL6" i="35"/>
  <c r="CK6" i="35"/>
  <c r="CI6" i="35"/>
  <c r="CH6" i="35"/>
  <c r="CG6" i="35"/>
  <c r="CF6" i="35"/>
  <c r="CE6" i="35"/>
  <c r="CD6" i="35"/>
  <c r="CC6" i="35"/>
  <c r="CB6" i="35"/>
  <c r="CA6" i="35"/>
  <c r="BZ6" i="35"/>
  <c r="BX6" i="35"/>
  <c r="BW6" i="35"/>
  <c r="BV6" i="35"/>
  <c r="BU6" i="35"/>
  <c r="BT6" i="35"/>
  <c r="BS6" i="35"/>
  <c r="BR6" i="35"/>
  <c r="BQ6" i="35"/>
  <c r="BP6" i="35"/>
  <c r="BO6" i="35"/>
  <c r="BM6" i="35"/>
  <c r="BL6" i="35"/>
  <c r="BK6" i="35"/>
  <c r="BJ6" i="35"/>
  <c r="BI6" i="35"/>
  <c r="BH6" i="35"/>
  <c r="BG6" i="35"/>
  <c r="BF6" i="35"/>
  <c r="BE6" i="35"/>
  <c r="BD6" i="35"/>
  <c r="BB6" i="35"/>
  <c r="BA6" i="35"/>
  <c r="AZ6" i="35"/>
  <c r="AY6" i="35"/>
  <c r="AX6" i="35"/>
  <c r="AW6" i="35"/>
  <c r="AV6" i="35"/>
  <c r="AU6" i="35"/>
  <c r="AT6" i="35"/>
  <c r="AS6" i="35"/>
  <c r="AO6" i="35"/>
  <c r="AN6" i="35"/>
  <c r="AM6" i="35"/>
  <c r="AL6" i="35"/>
  <c r="AK6" i="35"/>
  <c r="AJ6" i="35"/>
  <c r="AI6" i="35"/>
  <c r="AH6" i="35"/>
  <c r="AG6" i="35"/>
  <c r="AF6" i="35"/>
  <c r="AD6" i="35"/>
  <c r="AC6" i="35"/>
  <c r="AB6" i="35"/>
  <c r="AA6" i="35"/>
  <c r="Z6" i="35"/>
  <c r="Y6" i="35"/>
  <c r="X6" i="35"/>
  <c r="W6" i="35"/>
  <c r="V6" i="35"/>
  <c r="U6" i="35"/>
  <c r="S6" i="35"/>
  <c r="R6" i="35"/>
  <c r="Q6" i="35"/>
  <c r="P6" i="35"/>
  <c r="O6" i="35"/>
  <c r="N6" i="35"/>
  <c r="M6" i="35"/>
  <c r="L6" i="35"/>
  <c r="K6" i="35"/>
  <c r="DP5" i="35"/>
  <c r="DO5" i="35"/>
  <c r="DN5" i="35"/>
  <c r="DM5" i="35"/>
  <c r="DL5" i="35"/>
  <c r="DK5" i="35"/>
  <c r="DJ5" i="35"/>
  <c r="DI5" i="35"/>
  <c r="DH5" i="35"/>
  <c r="DG5" i="35"/>
  <c r="DE5" i="35"/>
  <c r="DD5" i="35"/>
  <c r="DC5" i="35"/>
  <c r="DB5" i="35"/>
  <c r="DA5" i="35"/>
  <c r="CZ5" i="35"/>
  <c r="CY5" i="35"/>
  <c r="CX5" i="35"/>
  <c r="CW5" i="35"/>
  <c r="CV5" i="35"/>
  <c r="CT5" i="35"/>
  <c r="CS5" i="35"/>
  <c r="CR5" i="35"/>
  <c r="CQ5" i="35"/>
  <c r="CP5" i="35"/>
  <c r="CO5" i="35"/>
  <c r="CN5" i="35"/>
  <c r="CM5" i="35"/>
  <c r="CL5" i="35"/>
  <c r="CK5" i="35"/>
  <c r="CI5" i="35"/>
  <c r="CH5" i="35"/>
  <c r="CG5" i="35"/>
  <c r="CF5" i="35"/>
  <c r="CE5" i="35"/>
  <c r="CD5" i="35"/>
  <c r="CC5" i="35"/>
  <c r="CB5" i="35"/>
  <c r="CA5" i="35"/>
  <c r="BZ5" i="35"/>
  <c r="BX5" i="35"/>
  <c r="BW5" i="35"/>
  <c r="BV5" i="35"/>
  <c r="BU5" i="35"/>
  <c r="BT5" i="35"/>
  <c r="BS5" i="35"/>
  <c r="BR5" i="35"/>
  <c r="BQ5" i="35"/>
  <c r="BP5" i="35"/>
  <c r="BO5" i="35"/>
  <c r="BM5" i="35"/>
  <c r="BL5" i="35"/>
  <c r="BK5" i="35"/>
  <c r="BJ5" i="35"/>
  <c r="BI5" i="35"/>
  <c r="BH5" i="35"/>
  <c r="BG5" i="35"/>
  <c r="BF5" i="35"/>
  <c r="BE5" i="35"/>
  <c r="BD5" i="35"/>
  <c r="BB5" i="35"/>
  <c r="BA5" i="35"/>
  <c r="AZ5" i="35"/>
  <c r="AY5" i="35"/>
  <c r="AX5" i="35"/>
  <c r="AW5" i="35"/>
  <c r="AV5" i="35"/>
  <c r="AU5" i="35"/>
  <c r="AT5" i="35"/>
  <c r="AS5" i="35"/>
  <c r="AO5" i="35"/>
  <c r="AN5" i="35"/>
  <c r="AM5" i="35"/>
  <c r="AL5" i="35"/>
  <c r="AK5" i="35"/>
  <c r="AJ5" i="35"/>
  <c r="AI5" i="35"/>
  <c r="AH5" i="35"/>
  <c r="AG5" i="35"/>
  <c r="AF5" i="35"/>
  <c r="AD5" i="35"/>
  <c r="AC5" i="35"/>
  <c r="AB5" i="35"/>
  <c r="AA5" i="35"/>
  <c r="Z5" i="35"/>
  <c r="Y5" i="35"/>
  <c r="X5" i="35"/>
  <c r="W5" i="35"/>
  <c r="V5" i="35"/>
  <c r="U5" i="35"/>
  <c r="S5" i="35"/>
  <c r="R5" i="35"/>
  <c r="Q5" i="35"/>
  <c r="P5" i="35"/>
  <c r="O5" i="35"/>
  <c r="N5" i="35"/>
  <c r="M5" i="35"/>
  <c r="L5" i="35"/>
  <c r="K5" i="35"/>
  <c r="EL4" i="35"/>
  <c r="EK4" i="35"/>
  <c r="EJ4" i="35"/>
  <c r="EI4" i="35"/>
  <c r="EH4" i="35"/>
  <c r="EG4" i="35"/>
  <c r="EF4" i="35"/>
  <c r="EE4" i="35"/>
  <c r="ED4" i="35"/>
  <c r="EC4" i="35"/>
  <c r="EA4" i="35"/>
  <c r="DZ4" i="35"/>
  <c r="DY4" i="35"/>
  <c r="DX4" i="35"/>
  <c r="DW4" i="35"/>
  <c r="DV4" i="35"/>
  <c r="DU4" i="35"/>
  <c r="DT4" i="35"/>
  <c r="DS4" i="35"/>
  <c r="DR4" i="35"/>
  <c r="DP4" i="35"/>
  <c r="DO4" i="35"/>
  <c r="DN4" i="35"/>
  <c r="DM4" i="35"/>
  <c r="DL4" i="35"/>
  <c r="DK4" i="35"/>
  <c r="DJ4" i="35"/>
  <c r="DI4" i="35"/>
  <c r="DH4" i="35"/>
  <c r="DG4" i="35"/>
  <c r="DE4" i="35"/>
  <c r="DD4" i="35"/>
  <c r="DC4" i="35"/>
  <c r="DB4" i="35"/>
  <c r="DA4" i="35"/>
  <c r="CZ4" i="35"/>
  <c r="CY4" i="35"/>
  <c r="CX4" i="35"/>
  <c r="CW4" i="35"/>
  <c r="CV4" i="35"/>
  <c r="CT4" i="35"/>
  <c r="CS4" i="35"/>
  <c r="CR4" i="35"/>
  <c r="CQ4" i="35"/>
  <c r="CP4" i="35"/>
  <c r="CO4" i="35"/>
  <c r="CN4" i="35"/>
  <c r="CM4" i="35"/>
  <c r="CL4" i="35"/>
  <c r="CK4" i="35"/>
  <c r="CI4" i="35"/>
  <c r="CH4" i="35"/>
  <c r="CG4" i="35"/>
  <c r="CF4" i="35"/>
  <c r="CE4" i="35"/>
  <c r="CD4" i="35"/>
  <c r="CC4" i="35"/>
  <c r="CB4" i="35"/>
  <c r="CA4" i="35"/>
  <c r="BZ4" i="35"/>
  <c r="BX4" i="35"/>
  <c r="BW4" i="35"/>
  <c r="BV4" i="35"/>
  <c r="BU4" i="35"/>
  <c r="BT4" i="35"/>
  <c r="BS4" i="35"/>
  <c r="BR4" i="35"/>
  <c r="BQ4" i="35"/>
  <c r="BP4" i="35"/>
  <c r="BO4" i="35"/>
  <c r="BM4" i="35"/>
  <c r="BL4" i="35"/>
  <c r="BK4" i="35"/>
  <c r="BJ4" i="35"/>
  <c r="BI4" i="35"/>
  <c r="BH4" i="35"/>
  <c r="BG4" i="35"/>
  <c r="BF4" i="35"/>
  <c r="BE4" i="35"/>
  <c r="BD4" i="35"/>
  <c r="BB4" i="35"/>
  <c r="BA4" i="35"/>
  <c r="AZ4" i="35"/>
  <c r="AY4" i="35"/>
  <c r="AX4" i="35"/>
  <c r="AW4" i="35"/>
  <c r="AV4" i="35"/>
  <c r="AU4" i="35"/>
  <c r="AT4" i="35"/>
  <c r="AS4" i="35"/>
  <c r="AO4" i="35"/>
  <c r="AN4" i="35"/>
  <c r="AM4" i="35"/>
  <c r="AL4" i="35"/>
  <c r="AK4" i="35"/>
  <c r="AJ4" i="35"/>
  <c r="AI4" i="35"/>
  <c r="AH4" i="35"/>
  <c r="AG4" i="35"/>
  <c r="AF4" i="35"/>
  <c r="AD4" i="35"/>
  <c r="AC4" i="35"/>
  <c r="AB4" i="35"/>
  <c r="AA4" i="35"/>
  <c r="Z4" i="35"/>
  <c r="Y4" i="35"/>
  <c r="X4" i="35"/>
  <c r="W4" i="35"/>
  <c r="V4" i="35"/>
  <c r="U4" i="35"/>
  <c r="S4" i="35"/>
  <c r="R4" i="35"/>
  <c r="Q4" i="35"/>
  <c r="P4" i="35"/>
  <c r="O4" i="35"/>
  <c r="N4" i="35"/>
  <c r="M4" i="35"/>
  <c r="L4" i="35"/>
  <c r="K4" i="35"/>
  <c r="EL3" i="35"/>
  <c r="EK3" i="35"/>
  <c r="EJ3" i="35"/>
  <c r="EI3" i="35"/>
  <c r="EH3" i="35"/>
  <c r="EG3" i="35"/>
  <c r="EF3" i="35"/>
  <c r="EE3" i="35"/>
  <c r="ED3" i="35"/>
  <c r="EC3" i="35"/>
  <c r="EA3" i="35"/>
  <c r="DZ3" i="35"/>
  <c r="DY3" i="35"/>
  <c r="DX3" i="35"/>
  <c r="DW3" i="35"/>
  <c r="DV3" i="35"/>
  <c r="DU3" i="35"/>
  <c r="DT3" i="35"/>
  <c r="DS3" i="35"/>
  <c r="DR3" i="35"/>
  <c r="DP3" i="35"/>
  <c r="DO3" i="35"/>
  <c r="DN3" i="35"/>
  <c r="DM3" i="35"/>
  <c r="DL3" i="35"/>
  <c r="DK3" i="35"/>
  <c r="DJ3" i="35"/>
  <c r="DI3" i="35"/>
  <c r="DH3" i="35"/>
  <c r="DG3" i="35"/>
  <c r="DE3" i="35"/>
  <c r="DD3" i="35"/>
  <c r="DC3" i="35"/>
  <c r="DB3" i="35"/>
  <c r="DA3" i="35"/>
  <c r="CZ3" i="35"/>
  <c r="CY3" i="35"/>
  <c r="CX3" i="35"/>
  <c r="CW3" i="35"/>
  <c r="CV3" i="35"/>
  <c r="CT3" i="35"/>
  <c r="CS3" i="35"/>
  <c r="CR3" i="35"/>
  <c r="CQ3" i="35"/>
  <c r="CP3" i="35"/>
  <c r="CO3" i="35"/>
  <c r="CN3" i="35"/>
  <c r="CM3" i="35"/>
  <c r="CL3" i="35"/>
  <c r="CK3" i="35"/>
  <c r="CI3" i="35"/>
  <c r="CH3" i="35"/>
  <c r="CG3" i="35"/>
  <c r="CF3" i="35"/>
  <c r="CE3" i="35"/>
  <c r="CD3" i="35"/>
  <c r="CC3" i="35"/>
  <c r="CB3" i="35"/>
  <c r="CA3" i="35"/>
  <c r="BZ3" i="35"/>
  <c r="BX3" i="35"/>
  <c r="BW3" i="35"/>
  <c r="BV3" i="35"/>
  <c r="BU3" i="35"/>
  <c r="BT3" i="35"/>
  <c r="BS3" i="35"/>
  <c r="BR3" i="35"/>
  <c r="BQ3" i="35"/>
  <c r="BP3" i="35"/>
  <c r="BO3" i="35"/>
  <c r="BM3" i="35"/>
  <c r="BL3" i="35"/>
  <c r="BK3" i="35"/>
  <c r="BJ3" i="35"/>
  <c r="BI3" i="35"/>
  <c r="BH3" i="35"/>
  <c r="BG3" i="35"/>
  <c r="BF3" i="35"/>
  <c r="BE3" i="35"/>
  <c r="BD3" i="35"/>
  <c r="BB3" i="35"/>
  <c r="BA3" i="35"/>
  <c r="AZ3" i="35"/>
  <c r="AY3" i="35"/>
  <c r="AX3" i="35"/>
  <c r="AW3" i="35"/>
  <c r="AV3" i="35"/>
  <c r="AU3" i="35"/>
  <c r="AT3" i="35"/>
  <c r="AS3" i="35"/>
  <c r="AO3" i="35"/>
  <c r="AN3" i="35"/>
  <c r="AM3" i="35"/>
  <c r="AL3" i="35"/>
  <c r="AK3" i="35"/>
  <c r="AJ3" i="35"/>
  <c r="AI3" i="35"/>
  <c r="AH3" i="35"/>
  <c r="AG3" i="35"/>
  <c r="AF3" i="35"/>
  <c r="AD3" i="35"/>
  <c r="AC3" i="35"/>
  <c r="AB3" i="35"/>
  <c r="AA3" i="35"/>
  <c r="Z3" i="35"/>
  <c r="Y3" i="35"/>
  <c r="X3" i="35"/>
  <c r="W3" i="35"/>
  <c r="V3" i="35"/>
  <c r="U3" i="35"/>
  <c r="S3" i="35"/>
  <c r="R3" i="35"/>
  <c r="Q3" i="35"/>
  <c r="P3" i="35"/>
  <c r="O3" i="35"/>
  <c r="N3" i="35"/>
  <c r="M3" i="35"/>
  <c r="L3" i="35"/>
  <c r="K3" i="35"/>
  <c r="EL2" i="35"/>
  <c r="EK2" i="35"/>
  <c r="EJ2" i="35"/>
  <c r="EI2" i="35"/>
  <c r="EH2" i="35"/>
  <c r="EG2" i="35"/>
  <c r="EF2" i="35"/>
  <c r="EE2" i="35"/>
  <c r="ED2" i="35"/>
  <c r="EC2" i="35"/>
  <c r="EA2" i="35"/>
  <c r="DZ2" i="35"/>
  <c r="DY2" i="35"/>
  <c r="DX2" i="35"/>
  <c r="DW2" i="35"/>
  <c r="DV2" i="35"/>
  <c r="DU2" i="35"/>
  <c r="DT2" i="35"/>
  <c r="DS2" i="35"/>
  <c r="DR2" i="35"/>
  <c r="DP2" i="35"/>
  <c r="DO2" i="35"/>
  <c r="DN2" i="35"/>
  <c r="DM2" i="35"/>
  <c r="DL2" i="35"/>
  <c r="DK2" i="35"/>
  <c r="DJ2" i="35"/>
  <c r="DI2" i="35"/>
  <c r="DH2" i="35"/>
  <c r="DG2" i="35"/>
  <c r="DE2" i="35"/>
  <c r="DD2" i="35"/>
  <c r="DC2" i="35"/>
  <c r="DB2" i="35"/>
  <c r="DA2" i="35"/>
  <c r="CZ2" i="35"/>
  <c r="CY2" i="35"/>
  <c r="CX2" i="35"/>
  <c r="CW2" i="35"/>
  <c r="CV2" i="35"/>
  <c r="CT2" i="35"/>
  <c r="CS2" i="35"/>
  <c r="CR2" i="35"/>
  <c r="CQ2" i="35"/>
  <c r="CP2" i="35"/>
  <c r="CO2" i="35"/>
  <c r="CN2" i="35"/>
  <c r="CM2" i="35"/>
  <c r="CL2" i="35"/>
  <c r="CK2" i="35"/>
  <c r="CI2" i="35"/>
  <c r="CH2" i="35"/>
  <c r="CG2" i="35"/>
  <c r="CF2" i="35"/>
  <c r="CE2" i="35"/>
  <c r="CD2" i="35"/>
  <c r="CC2" i="35"/>
  <c r="CB2" i="35"/>
  <c r="CA2" i="35"/>
  <c r="BZ2" i="35"/>
  <c r="BX2" i="35"/>
  <c r="BW2" i="35"/>
  <c r="BV2" i="35"/>
  <c r="BU2" i="35"/>
  <c r="BT2" i="35"/>
  <c r="BS2" i="35"/>
  <c r="BR2" i="35"/>
  <c r="BQ2" i="35"/>
  <c r="BP2" i="35"/>
  <c r="BO2" i="35"/>
  <c r="BM2" i="35"/>
  <c r="BL2" i="35"/>
  <c r="BK2" i="35"/>
  <c r="BJ2" i="35"/>
  <c r="BI2" i="35"/>
  <c r="BH2" i="35"/>
  <c r="BG2" i="35"/>
  <c r="BF2" i="35"/>
  <c r="BE2" i="35"/>
  <c r="BD2" i="35"/>
  <c r="BB2" i="35"/>
  <c r="BA2" i="35"/>
  <c r="AZ2" i="35"/>
  <c r="AY2" i="35"/>
  <c r="AX2" i="35"/>
  <c r="AW2" i="35"/>
  <c r="AV2" i="35"/>
  <c r="AU2" i="35"/>
  <c r="AT2" i="35"/>
  <c r="AS2" i="35"/>
  <c r="AO2" i="35"/>
  <c r="AN2" i="35"/>
  <c r="AM2" i="35"/>
  <c r="AL2" i="35"/>
  <c r="AK2" i="35"/>
  <c r="AJ2" i="35"/>
  <c r="AI2" i="35"/>
  <c r="AH2" i="35"/>
  <c r="AG2" i="35"/>
  <c r="AF2" i="35"/>
  <c r="AD2" i="35"/>
  <c r="AC2" i="35"/>
  <c r="AB2" i="35"/>
  <c r="AA2" i="35"/>
  <c r="Z2" i="35"/>
  <c r="Y2" i="35"/>
  <c r="X2" i="35"/>
  <c r="W2" i="35"/>
  <c r="V2" i="35"/>
  <c r="U2" i="35"/>
  <c r="S2" i="35"/>
  <c r="R2" i="35"/>
  <c r="Q2" i="35"/>
  <c r="P2" i="35"/>
  <c r="O2" i="35"/>
  <c r="N2" i="35"/>
  <c r="M2" i="35"/>
  <c r="L2" i="35"/>
  <c r="K2" i="35"/>
  <c r="DE10" i="34"/>
  <c r="DD10" i="34"/>
  <c r="DC10" i="34"/>
  <c r="DB10" i="34"/>
  <c r="DA10" i="34"/>
  <c r="CZ10" i="34"/>
  <c r="CY10" i="34"/>
  <c r="CX10" i="34"/>
  <c r="CW10" i="34"/>
  <c r="CV10" i="34"/>
  <c r="CT10" i="34"/>
  <c r="CS10" i="34"/>
  <c r="CR10" i="34"/>
  <c r="CQ10" i="34"/>
  <c r="CP10" i="34"/>
  <c r="CO10" i="34"/>
  <c r="CN10" i="34"/>
  <c r="CM10" i="34"/>
  <c r="CL10" i="34"/>
  <c r="CK10" i="34"/>
  <c r="CI10" i="34"/>
  <c r="CH10" i="34"/>
  <c r="CG10" i="34"/>
  <c r="CF10" i="34"/>
  <c r="CE10" i="34"/>
  <c r="CD10" i="34"/>
  <c r="CC10" i="34"/>
  <c r="CB10" i="34"/>
  <c r="CA10" i="34"/>
  <c r="BZ10" i="34"/>
  <c r="BX10" i="34"/>
  <c r="BW10" i="34"/>
  <c r="BV10" i="34"/>
  <c r="BU10" i="34"/>
  <c r="BT10" i="34"/>
  <c r="BS10" i="34"/>
  <c r="BR10" i="34"/>
  <c r="BQ10" i="34"/>
  <c r="BP10" i="34"/>
  <c r="BO10" i="34"/>
  <c r="BM10" i="34"/>
  <c r="BL10" i="34"/>
  <c r="BK10" i="34"/>
  <c r="BJ10" i="34"/>
  <c r="BI10" i="34"/>
  <c r="BH10" i="34"/>
  <c r="BG10" i="34"/>
  <c r="BF10" i="34"/>
  <c r="BE10" i="34"/>
  <c r="BD10" i="34"/>
  <c r="BB10" i="34"/>
  <c r="BA10" i="34"/>
  <c r="AZ10" i="34"/>
  <c r="AY10" i="34"/>
  <c r="AX10" i="34"/>
  <c r="AW10" i="34"/>
  <c r="AV10" i="34"/>
  <c r="AU10" i="34"/>
  <c r="AT10" i="34"/>
  <c r="AS10" i="34"/>
  <c r="AQ10" i="34"/>
  <c r="AP10" i="34"/>
  <c r="AO10" i="34"/>
  <c r="AN10" i="34"/>
  <c r="AM10" i="34"/>
  <c r="AL10" i="34"/>
  <c r="AK10" i="34"/>
  <c r="AJ10" i="34"/>
  <c r="AI10" i="34"/>
  <c r="AH10" i="34"/>
  <c r="AD10" i="34"/>
  <c r="AC10" i="34"/>
  <c r="AB10" i="34"/>
  <c r="AA10" i="34"/>
  <c r="Z10" i="34"/>
  <c r="Y10" i="34"/>
  <c r="X10" i="34"/>
  <c r="W10" i="34"/>
  <c r="V10" i="34"/>
  <c r="U10" i="34"/>
  <c r="S10" i="34"/>
  <c r="R10" i="34"/>
  <c r="Q10" i="34"/>
  <c r="P10" i="34"/>
  <c r="O10" i="34"/>
  <c r="N10" i="34"/>
  <c r="M10" i="34"/>
  <c r="L10" i="34"/>
  <c r="K10" i="34"/>
  <c r="DE9" i="34"/>
  <c r="DD9" i="34"/>
  <c r="DC9" i="34"/>
  <c r="DB9" i="34"/>
  <c r="DA9" i="34"/>
  <c r="CZ9" i="34"/>
  <c r="CY9" i="34"/>
  <c r="CX9" i="34"/>
  <c r="CW9" i="34"/>
  <c r="CV9" i="34"/>
  <c r="CT9" i="34"/>
  <c r="CS9" i="34"/>
  <c r="CR9" i="34"/>
  <c r="CQ9" i="34"/>
  <c r="CP9" i="34"/>
  <c r="CO9" i="34"/>
  <c r="CN9" i="34"/>
  <c r="CM9" i="34"/>
  <c r="CL9" i="34"/>
  <c r="CK9" i="34"/>
  <c r="CI9" i="34"/>
  <c r="CH9" i="34"/>
  <c r="CG9" i="34"/>
  <c r="CF9" i="34"/>
  <c r="CE9" i="34"/>
  <c r="CD9" i="34"/>
  <c r="CC9" i="34"/>
  <c r="CB9" i="34"/>
  <c r="CA9" i="34"/>
  <c r="BZ9" i="34"/>
  <c r="BX9" i="34"/>
  <c r="BW9" i="34"/>
  <c r="BV9" i="34"/>
  <c r="BU9" i="34"/>
  <c r="BT9" i="34"/>
  <c r="BS9" i="34"/>
  <c r="BR9" i="34"/>
  <c r="BQ9" i="34"/>
  <c r="BP9" i="34"/>
  <c r="BO9" i="34"/>
  <c r="BM9" i="34"/>
  <c r="BL9" i="34"/>
  <c r="BK9" i="34"/>
  <c r="BJ9" i="34"/>
  <c r="BI9" i="34"/>
  <c r="BH9" i="34"/>
  <c r="BG9" i="34"/>
  <c r="BF9" i="34"/>
  <c r="BE9" i="34"/>
  <c r="BD9" i="34"/>
  <c r="BB9" i="34"/>
  <c r="BA9" i="34"/>
  <c r="AZ9" i="34"/>
  <c r="AY9" i="34"/>
  <c r="AX9" i="34"/>
  <c r="AW9" i="34"/>
  <c r="AV9" i="34"/>
  <c r="AU9" i="34"/>
  <c r="AT9" i="34"/>
  <c r="AS9" i="34"/>
  <c r="AQ9" i="34"/>
  <c r="AP9" i="34"/>
  <c r="AO9" i="34"/>
  <c r="AN9" i="34"/>
  <c r="AM9" i="34"/>
  <c r="AL9" i="34"/>
  <c r="AK9" i="34"/>
  <c r="AJ9" i="34"/>
  <c r="AI9" i="34"/>
  <c r="AH9" i="34"/>
  <c r="AD9" i="34"/>
  <c r="AC9" i="34"/>
  <c r="AB9" i="34"/>
  <c r="AA9" i="34"/>
  <c r="Z9" i="34"/>
  <c r="Y9" i="34"/>
  <c r="X9" i="34"/>
  <c r="W9" i="34"/>
  <c r="V9" i="34"/>
  <c r="U9" i="34"/>
  <c r="S9" i="34"/>
  <c r="R9" i="34"/>
  <c r="Q9" i="34"/>
  <c r="P9" i="34"/>
  <c r="O9" i="34"/>
  <c r="N9" i="34"/>
  <c r="M9" i="34"/>
  <c r="L9" i="34"/>
  <c r="K9" i="34"/>
  <c r="DE8" i="34"/>
  <c r="DD8" i="34"/>
  <c r="DC8" i="34"/>
  <c r="DB8" i="34"/>
  <c r="DA8" i="34"/>
  <c r="CZ8" i="34"/>
  <c r="CY8" i="34"/>
  <c r="CX8" i="34"/>
  <c r="CW8" i="34"/>
  <c r="CV8" i="34"/>
  <c r="CT8" i="34"/>
  <c r="CS8" i="34"/>
  <c r="CR8" i="34"/>
  <c r="CQ8" i="34"/>
  <c r="CP8" i="34"/>
  <c r="CO8" i="34"/>
  <c r="CN8" i="34"/>
  <c r="CM8" i="34"/>
  <c r="CL8" i="34"/>
  <c r="CK8" i="34"/>
  <c r="CI8" i="34"/>
  <c r="CH8" i="34"/>
  <c r="CG8" i="34"/>
  <c r="CF8" i="34"/>
  <c r="CE8" i="34"/>
  <c r="CD8" i="34"/>
  <c r="CC8" i="34"/>
  <c r="CB8" i="34"/>
  <c r="CA8" i="34"/>
  <c r="BZ8" i="34"/>
  <c r="BX8" i="34"/>
  <c r="BW8" i="34"/>
  <c r="BV8" i="34"/>
  <c r="BU8" i="34"/>
  <c r="BT8" i="34"/>
  <c r="BS8" i="34"/>
  <c r="BR8" i="34"/>
  <c r="BQ8" i="34"/>
  <c r="BP8" i="34"/>
  <c r="BO8" i="34"/>
  <c r="BM8" i="34"/>
  <c r="BL8" i="34"/>
  <c r="BK8" i="34"/>
  <c r="BJ8" i="34"/>
  <c r="BI8" i="34"/>
  <c r="BH8" i="34"/>
  <c r="BG8" i="34"/>
  <c r="BF8" i="34"/>
  <c r="BE8" i="34"/>
  <c r="BD8" i="34"/>
  <c r="BB8" i="34"/>
  <c r="BA8" i="34"/>
  <c r="AZ8" i="34"/>
  <c r="AY8" i="34"/>
  <c r="AX8" i="34"/>
  <c r="AW8" i="34"/>
  <c r="AV8" i="34"/>
  <c r="AU8" i="34"/>
  <c r="AT8" i="34"/>
  <c r="AS8" i="34"/>
  <c r="AQ8" i="34"/>
  <c r="AP8" i="34"/>
  <c r="AO8" i="34"/>
  <c r="AN8" i="34"/>
  <c r="AM8" i="34"/>
  <c r="AL8" i="34"/>
  <c r="AK8" i="34"/>
  <c r="AJ8" i="34"/>
  <c r="AI8" i="34"/>
  <c r="AH8" i="34"/>
  <c r="AD8" i="34"/>
  <c r="AC8" i="34"/>
  <c r="AB8" i="34"/>
  <c r="AA8" i="34"/>
  <c r="Z8" i="34"/>
  <c r="Y8" i="34"/>
  <c r="X8" i="34"/>
  <c r="W8" i="34"/>
  <c r="V8" i="34"/>
  <c r="U8" i="34"/>
  <c r="S8" i="34"/>
  <c r="R8" i="34"/>
  <c r="Q8" i="34"/>
  <c r="P8" i="34"/>
  <c r="O8" i="34"/>
  <c r="N8" i="34"/>
  <c r="M8" i="34"/>
  <c r="L8" i="34"/>
  <c r="K8" i="34"/>
  <c r="DE7" i="34"/>
  <c r="DD7" i="34"/>
  <c r="DC7" i="34"/>
  <c r="DB7" i="34"/>
  <c r="DA7" i="34"/>
  <c r="CZ7" i="34"/>
  <c r="CY7" i="34"/>
  <c r="CX7" i="34"/>
  <c r="CW7" i="34"/>
  <c r="CV7" i="34"/>
  <c r="CT7" i="34"/>
  <c r="CS7" i="34"/>
  <c r="CR7" i="34"/>
  <c r="CQ7" i="34"/>
  <c r="CP7" i="34"/>
  <c r="CO7" i="34"/>
  <c r="CN7" i="34"/>
  <c r="CM7" i="34"/>
  <c r="CL7" i="34"/>
  <c r="CK7" i="34"/>
  <c r="CI7" i="34"/>
  <c r="CH7" i="34"/>
  <c r="CG7" i="34"/>
  <c r="CF7" i="34"/>
  <c r="CE7" i="34"/>
  <c r="CD7" i="34"/>
  <c r="CC7" i="34"/>
  <c r="CB7" i="34"/>
  <c r="CA7" i="34"/>
  <c r="BZ7" i="34"/>
  <c r="BX7" i="34"/>
  <c r="BW7" i="34"/>
  <c r="BV7" i="34"/>
  <c r="BU7" i="34"/>
  <c r="BT7" i="34"/>
  <c r="BS7" i="34"/>
  <c r="BR7" i="34"/>
  <c r="BQ7" i="34"/>
  <c r="BP7" i="34"/>
  <c r="BO7" i="34"/>
  <c r="BM7" i="34"/>
  <c r="BL7" i="34"/>
  <c r="BK7" i="34"/>
  <c r="BJ7" i="34"/>
  <c r="BI7" i="34"/>
  <c r="BH7" i="34"/>
  <c r="BG7" i="34"/>
  <c r="BF7" i="34"/>
  <c r="BE7" i="34"/>
  <c r="BD7" i="34"/>
  <c r="BB7" i="34"/>
  <c r="BA7" i="34"/>
  <c r="AZ7" i="34"/>
  <c r="AY7" i="34"/>
  <c r="AX7" i="34"/>
  <c r="AW7" i="34"/>
  <c r="AV7" i="34"/>
  <c r="AU7" i="34"/>
  <c r="AT7" i="34"/>
  <c r="AS7" i="34"/>
  <c r="AQ7" i="34"/>
  <c r="AP7" i="34"/>
  <c r="AO7" i="34"/>
  <c r="AN7" i="34"/>
  <c r="AM7" i="34"/>
  <c r="AL7" i="34"/>
  <c r="AK7" i="34"/>
  <c r="AJ7" i="34"/>
  <c r="AI7" i="34"/>
  <c r="AH7" i="34"/>
  <c r="AD7" i="34"/>
  <c r="AC7" i="34"/>
  <c r="AB7" i="34"/>
  <c r="AA7" i="34"/>
  <c r="Z7" i="34"/>
  <c r="Y7" i="34"/>
  <c r="X7" i="34"/>
  <c r="W7" i="34"/>
  <c r="V7" i="34"/>
  <c r="U7" i="34"/>
  <c r="S7" i="34"/>
  <c r="R7" i="34"/>
  <c r="Q7" i="34"/>
  <c r="P7" i="34"/>
  <c r="O7" i="34"/>
  <c r="N7" i="34"/>
  <c r="M7" i="34"/>
  <c r="L7" i="34"/>
  <c r="K7" i="34"/>
  <c r="DP6" i="34"/>
  <c r="DO6" i="34"/>
  <c r="DN6" i="34"/>
  <c r="DM6" i="34"/>
  <c r="DL6" i="34"/>
  <c r="DK6" i="34"/>
  <c r="DJ6" i="34"/>
  <c r="DI6" i="34"/>
  <c r="DH6" i="34"/>
  <c r="DG6" i="34"/>
  <c r="DE6" i="34"/>
  <c r="DD6" i="34"/>
  <c r="DC6" i="34"/>
  <c r="DB6" i="34"/>
  <c r="DA6" i="34"/>
  <c r="CZ6" i="34"/>
  <c r="CY6" i="34"/>
  <c r="CX6" i="34"/>
  <c r="CW6" i="34"/>
  <c r="CV6" i="34"/>
  <c r="CT6" i="34"/>
  <c r="CS6" i="34"/>
  <c r="CR6" i="34"/>
  <c r="CQ6" i="34"/>
  <c r="CP6" i="34"/>
  <c r="CO6" i="34"/>
  <c r="CN6" i="34"/>
  <c r="CM6" i="34"/>
  <c r="CL6" i="34"/>
  <c r="CK6" i="34"/>
  <c r="CI6" i="34"/>
  <c r="CH6" i="34"/>
  <c r="CG6" i="34"/>
  <c r="CF6" i="34"/>
  <c r="CE6" i="34"/>
  <c r="CD6" i="34"/>
  <c r="CC6" i="34"/>
  <c r="CB6" i="34"/>
  <c r="CA6" i="34"/>
  <c r="BZ6" i="34"/>
  <c r="BX6" i="34"/>
  <c r="BW6" i="34"/>
  <c r="BV6" i="34"/>
  <c r="BU6" i="34"/>
  <c r="BT6" i="34"/>
  <c r="BS6" i="34"/>
  <c r="BR6" i="34"/>
  <c r="BQ6" i="34"/>
  <c r="BP6" i="34"/>
  <c r="BO6" i="34"/>
  <c r="BM6" i="34"/>
  <c r="BL6" i="34"/>
  <c r="BK6" i="34"/>
  <c r="BJ6" i="34"/>
  <c r="BI6" i="34"/>
  <c r="BH6" i="34"/>
  <c r="BG6" i="34"/>
  <c r="BF6" i="34"/>
  <c r="BE6" i="34"/>
  <c r="BD6" i="34"/>
  <c r="BB6" i="34"/>
  <c r="BA6" i="34"/>
  <c r="AZ6" i="34"/>
  <c r="AY6" i="34"/>
  <c r="AX6" i="34"/>
  <c r="AW6" i="34"/>
  <c r="AV6" i="34"/>
  <c r="AU6" i="34"/>
  <c r="AT6" i="34"/>
  <c r="AS6" i="34"/>
  <c r="AQ6" i="34"/>
  <c r="AP6" i="34"/>
  <c r="AO6" i="34"/>
  <c r="AN6" i="34"/>
  <c r="AM6" i="34"/>
  <c r="AL6" i="34"/>
  <c r="AK6" i="34"/>
  <c r="AJ6" i="34"/>
  <c r="AI6" i="34"/>
  <c r="AH6" i="34"/>
  <c r="AD6" i="34"/>
  <c r="AC6" i="34"/>
  <c r="AB6" i="34"/>
  <c r="AA6" i="34"/>
  <c r="Z6" i="34"/>
  <c r="Y6" i="34"/>
  <c r="X6" i="34"/>
  <c r="W6" i="34"/>
  <c r="V6" i="34"/>
  <c r="U6" i="34"/>
  <c r="S6" i="34"/>
  <c r="R6" i="34"/>
  <c r="Q6" i="34"/>
  <c r="P6" i="34"/>
  <c r="O6" i="34"/>
  <c r="N6" i="34"/>
  <c r="M6" i="34"/>
  <c r="L6" i="34"/>
  <c r="K6" i="34"/>
  <c r="EA5" i="34"/>
  <c r="DZ5" i="34"/>
  <c r="DY5" i="34"/>
  <c r="DX5" i="34"/>
  <c r="DW5" i="34"/>
  <c r="DV5" i="34"/>
  <c r="DU5" i="34"/>
  <c r="DT5" i="34"/>
  <c r="DS5" i="34"/>
  <c r="DR5" i="34"/>
  <c r="DP5" i="34"/>
  <c r="DO5" i="34"/>
  <c r="DN5" i="34"/>
  <c r="DM5" i="34"/>
  <c r="DL5" i="34"/>
  <c r="DK5" i="34"/>
  <c r="DJ5" i="34"/>
  <c r="DI5" i="34"/>
  <c r="DH5" i="34"/>
  <c r="DG5" i="34"/>
  <c r="DE5" i="34"/>
  <c r="DD5" i="34"/>
  <c r="DC5" i="34"/>
  <c r="DB5" i="34"/>
  <c r="DA5" i="34"/>
  <c r="CZ5" i="34"/>
  <c r="CY5" i="34"/>
  <c r="CX5" i="34"/>
  <c r="CW5" i="34"/>
  <c r="CV5" i="34"/>
  <c r="CT5" i="34"/>
  <c r="CS5" i="34"/>
  <c r="CR5" i="34"/>
  <c r="CQ5" i="34"/>
  <c r="CP5" i="34"/>
  <c r="CO5" i="34"/>
  <c r="CN5" i="34"/>
  <c r="CM5" i="34"/>
  <c r="CL5" i="34"/>
  <c r="CK5" i="34"/>
  <c r="CI5" i="34"/>
  <c r="CH5" i="34"/>
  <c r="CG5" i="34"/>
  <c r="CF5" i="34"/>
  <c r="CE5" i="34"/>
  <c r="CD5" i="34"/>
  <c r="CC5" i="34"/>
  <c r="CB5" i="34"/>
  <c r="CA5" i="34"/>
  <c r="BZ5" i="34"/>
  <c r="BX5" i="34"/>
  <c r="BW5" i="34"/>
  <c r="BV5" i="34"/>
  <c r="BU5" i="34"/>
  <c r="BT5" i="34"/>
  <c r="BS5" i="34"/>
  <c r="BR5" i="34"/>
  <c r="BQ5" i="34"/>
  <c r="BP5" i="34"/>
  <c r="BO5" i="34"/>
  <c r="BM5" i="34"/>
  <c r="BL5" i="34"/>
  <c r="BK5" i="34"/>
  <c r="BJ5" i="34"/>
  <c r="BI5" i="34"/>
  <c r="BH5" i="34"/>
  <c r="BG5" i="34"/>
  <c r="BF5" i="34"/>
  <c r="BE5" i="34"/>
  <c r="BD5" i="34"/>
  <c r="BB5" i="34"/>
  <c r="BA5" i="34"/>
  <c r="AZ5" i="34"/>
  <c r="AY5" i="34"/>
  <c r="AX5" i="34"/>
  <c r="AW5" i="34"/>
  <c r="AV5" i="34"/>
  <c r="AU5" i="34"/>
  <c r="AT5" i="34"/>
  <c r="AS5" i="34"/>
  <c r="AQ5" i="34"/>
  <c r="AP5" i="34"/>
  <c r="AO5" i="34"/>
  <c r="AN5" i="34"/>
  <c r="AM5" i="34"/>
  <c r="AL5" i="34"/>
  <c r="AK5" i="34"/>
  <c r="AJ5" i="34"/>
  <c r="AI5" i="34"/>
  <c r="AH5" i="34"/>
  <c r="AD5" i="34"/>
  <c r="AC5" i="34"/>
  <c r="AB5" i="34"/>
  <c r="AA5" i="34"/>
  <c r="Z5" i="34"/>
  <c r="Y5" i="34"/>
  <c r="X5" i="34"/>
  <c r="W5" i="34"/>
  <c r="V5" i="34"/>
  <c r="U5" i="34"/>
  <c r="S5" i="34"/>
  <c r="R5" i="34"/>
  <c r="Q5" i="34"/>
  <c r="P5" i="34"/>
  <c r="O5" i="34"/>
  <c r="N5" i="34"/>
  <c r="M5" i="34"/>
  <c r="L5" i="34"/>
  <c r="K5" i="34"/>
  <c r="EA4" i="34"/>
  <c r="DZ4" i="34"/>
  <c r="DY4" i="34"/>
  <c r="DX4" i="34"/>
  <c r="DW4" i="34"/>
  <c r="DV4" i="34"/>
  <c r="DU4" i="34"/>
  <c r="DT4" i="34"/>
  <c r="DS4" i="34"/>
  <c r="DR4" i="34"/>
  <c r="DP4" i="34"/>
  <c r="DO4" i="34"/>
  <c r="DN4" i="34"/>
  <c r="DM4" i="34"/>
  <c r="DL4" i="34"/>
  <c r="DK4" i="34"/>
  <c r="DJ4" i="34"/>
  <c r="DI4" i="34"/>
  <c r="DH4" i="34"/>
  <c r="DG4" i="34"/>
  <c r="DE4" i="34"/>
  <c r="DD4" i="34"/>
  <c r="DC4" i="34"/>
  <c r="DB4" i="34"/>
  <c r="DA4" i="34"/>
  <c r="CZ4" i="34"/>
  <c r="CY4" i="34"/>
  <c r="CX4" i="34"/>
  <c r="CW4" i="34"/>
  <c r="CV4" i="34"/>
  <c r="CT4" i="34"/>
  <c r="CS4" i="34"/>
  <c r="CR4" i="34"/>
  <c r="CQ4" i="34"/>
  <c r="CP4" i="34"/>
  <c r="CO4" i="34"/>
  <c r="CN4" i="34"/>
  <c r="CM4" i="34"/>
  <c r="CL4" i="34"/>
  <c r="CK4" i="34"/>
  <c r="CI4" i="34"/>
  <c r="CH4" i="34"/>
  <c r="CG4" i="34"/>
  <c r="CF4" i="34"/>
  <c r="CE4" i="34"/>
  <c r="CD4" i="34"/>
  <c r="CC4" i="34"/>
  <c r="CB4" i="34"/>
  <c r="CA4" i="34"/>
  <c r="BZ4" i="34"/>
  <c r="BX4" i="34"/>
  <c r="BW4" i="34"/>
  <c r="BV4" i="34"/>
  <c r="BU4" i="34"/>
  <c r="BT4" i="34"/>
  <c r="BS4" i="34"/>
  <c r="BR4" i="34"/>
  <c r="BQ4" i="34"/>
  <c r="BP4" i="34"/>
  <c r="BO4" i="34"/>
  <c r="BM4" i="34"/>
  <c r="BL4" i="34"/>
  <c r="BK4" i="34"/>
  <c r="BJ4" i="34"/>
  <c r="BI4" i="34"/>
  <c r="BH4" i="34"/>
  <c r="BG4" i="34"/>
  <c r="BF4" i="34"/>
  <c r="BE4" i="34"/>
  <c r="BD4" i="34"/>
  <c r="BB4" i="34"/>
  <c r="BA4" i="34"/>
  <c r="AZ4" i="34"/>
  <c r="AY4" i="34"/>
  <c r="AX4" i="34"/>
  <c r="AW4" i="34"/>
  <c r="AV4" i="34"/>
  <c r="AU4" i="34"/>
  <c r="AT4" i="34"/>
  <c r="AS4" i="34"/>
  <c r="AQ4" i="34"/>
  <c r="AP4" i="34"/>
  <c r="AO4" i="34"/>
  <c r="AN4" i="34"/>
  <c r="AM4" i="34"/>
  <c r="AL4" i="34"/>
  <c r="AK4" i="34"/>
  <c r="AJ4" i="34"/>
  <c r="AI4" i="34"/>
  <c r="AH4" i="34"/>
  <c r="AD4" i="34"/>
  <c r="AC4" i="34"/>
  <c r="AB4" i="34"/>
  <c r="AA4" i="34"/>
  <c r="Z4" i="34"/>
  <c r="Y4" i="34"/>
  <c r="X4" i="34"/>
  <c r="W4" i="34"/>
  <c r="V4" i="34"/>
  <c r="U4" i="34"/>
  <c r="S4" i="34"/>
  <c r="R4" i="34"/>
  <c r="Q4" i="34"/>
  <c r="P4" i="34"/>
  <c r="O4" i="34"/>
  <c r="N4" i="34"/>
  <c r="M4" i="34"/>
  <c r="L4" i="34"/>
  <c r="K4" i="34"/>
  <c r="DP3" i="34"/>
  <c r="DO3" i="34"/>
  <c r="DN3" i="34"/>
  <c r="DM3" i="34"/>
  <c r="DL3" i="34"/>
  <c r="DK3" i="34"/>
  <c r="DJ3" i="34"/>
  <c r="DI3" i="34"/>
  <c r="DH3" i="34"/>
  <c r="DG3" i="34"/>
  <c r="DE3" i="34"/>
  <c r="DD3" i="34"/>
  <c r="DC3" i="34"/>
  <c r="DB3" i="34"/>
  <c r="DA3" i="34"/>
  <c r="CZ3" i="34"/>
  <c r="CY3" i="34"/>
  <c r="CX3" i="34"/>
  <c r="CW3" i="34"/>
  <c r="CV3" i="34"/>
  <c r="CT3" i="34"/>
  <c r="CS3" i="34"/>
  <c r="CR3" i="34"/>
  <c r="CQ3" i="34"/>
  <c r="CP3" i="34"/>
  <c r="CO3" i="34"/>
  <c r="CN3" i="34"/>
  <c r="CM3" i="34"/>
  <c r="CL3" i="34"/>
  <c r="CK3" i="34"/>
  <c r="CI3" i="34"/>
  <c r="CH3" i="34"/>
  <c r="CG3" i="34"/>
  <c r="CF3" i="34"/>
  <c r="CE3" i="34"/>
  <c r="CD3" i="34"/>
  <c r="CC3" i="34"/>
  <c r="CB3" i="34"/>
  <c r="CA3" i="34"/>
  <c r="BZ3" i="34"/>
  <c r="BX3" i="34"/>
  <c r="BW3" i="34"/>
  <c r="BV3" i="34"/>
  <c r="BU3" i="34"/>
  <c r="BT3" i="34"/>
  <c r="BS3" i="34"/>
  <c r="BR3" i="34"/>
  <c r="BQ3" i="34"/>
  <c r="BP3" i="34"/>
  <c r="BO3" i="34"/>
  <c r="BM3" i="34"/>
  <c r="BL3" i="34"/>
  <c r="BK3" i="34"/>
  <c r="BJ3" i="34"/>
  <c r="BI3" i="34"/>
  <c r="BH3" i="34"/>
  <c r="BG3" i="34"/>
  <c r="BF3" i="34"/>
  <c r="BE3" i="34"/>
  <c r="BD3" i="34"/>
  <c r="BB3" i="34"/>
  <c r="BA3" i="34"/>
  <c r="AZ3" i="34"/>
  <c r="AY3" i="34"/>
  <c r="AX3" i="34"/>
  <c r="AW3" i="34"/>
  <c r="AV3" i="34"/>
  <c r="AU3" i="34"/>
  <c r="AT3" i="34"/>
  <c r="AS3" i="34"/>
  <c r="AQ3" i="34"/>
  <c r="AP3" i="34"/>
  <c r="AO3" i="34"/>
  <c r="AN3" i="34"/>
  <c r="AM3" i="34"/>
  <c r="AL3" i="34"/>
  <c r="AK3" i="34"/>
  <c r="AJ3" i="34"/>
  <c r="AI3" i="34"/>
  <c r="AH3" i="34"/>
  <c r="AD3" i="34"/>
  <c r="AC3" i="34"/>
  <c r="AB3" i="34"/>
  <c r="AA3" i="34"/>
  <c r="Z3" i="34"/>
  <c r="Y3" i="34"/>
  <c r="X3" i="34"/>
  <c r="W3" i="34"/>
  <c r="V3" i="34"/>
  <c r="U3" i="34"/>
  <c r="S3" i="34"/>
  <c r="R3" i="34"/>
  <c r="Q3" i="34"/>
  <c r="P3" i="34"/>
  <c r="O3" i="34"/>
  <c r="N3" i="34"/>
  <c r="M3" i="34"/>
  <c r="L3" i="34"/>
  <c r="K3" i="34"/>
  <c r="EA2" i="34"/>
  <c r="DZ2" i="34"/>
  <c r="DY2" i="34"/>
  <c r="DX2" i="34"/>
  <c r="DW2" i="34"/>
  <c r="DV2" i="34"/>
  <c r="DU2" i="34"/>
  <c r="DT2" i="34"/>
  <c r="DS2" i="34"/>
  <c r="DR2" i="34"/>
  <c r="DP2" i="34"/>
  <c r="DO2" i="34"/>
  <c r="DN2" i="34"/>
  <c r="DM2" i="34"/>
  <c r="DL2" i="34"/>
  <c r="DK2" i="34"/>
  <c r="DJ2" i="34"/>
  <c r="DI2" i="34"/>
  <c r="DH2" i="34"/>
  <c r="DG2" i="34"/>
  <c r="DE2" i="34"/>
  <c r="DD2" i="34"/>
  <c r="DC2" i="34"/>
  <c r="DB2" i="34"/>
  <c r="DA2" i="34"/>
  <c r="CZ2" i="34"/>
  <c r="CY2" i="34"/>
  <c r="CX2" i="34"/>
  <c r="CW2" i="34"/>
  <c r="CV2" i="34"/>
  <c r="CT2" i="34"/>
  <c r="CS2" i="34"/>
  <c r="CR2" i="34"/>
  <c r="CQ2" i="34"/>
  <c r="CP2" i="34"/>
  <c r="CO2" i="34"/>
  <c r="CN2" i="34"/>
  <c r="CM2" i="34"/>
  <c r="CL2" i="34"/>
  <c r="CK2" i="34"/>
  <c r="CI2" i="34"/>
  <c r="CH2" i="34"/>
  <c r="CG2" i="34"/>
  <c r="CF2" i="34"/>
  <c r="CE2" i="34"/>
  <c r="CD2" i="34"/>
  <c r="CC2" i="34"/>
  <c r="CB2" i="34"/>
  <c r="CA2" i="34"/>
  <c r="BZ2" i="34"/>
  <c r="BX2" i="34"/>
  <c r="BW2" i="34"/>
  <c r="BV2" i="34"/>
  <c r="BU2" i="34"/>
  <c r="BT2" i="34"/>
  <c r="BS2" i="34"/>
  <c r="BR2" i="34"/>
  <c r="BQ2" i="34"/>
  <c r="BP2" i="34"/>
  <c r="BO2" i="34"/>
  <c r="BM2" i="34"/>
  <c r="BL2" i="34"/>
  <c r="BK2" i="34"/>
  <c r="BJ2" i="34"/>
  <c r="BI2" i="34"/>
  <c r="BH2" i="34"/>
  <c r="BG2" i="34"/>
  <c r="BF2" i="34"/>
  <c r="BE2" i="34"/>
  <c r="BD2" i="34"/>
  <c r="BB2" i="34"/>
  <c r="BA2" i="34"/>
  <c r="AZ2" i="34"/>
  <c r="AY2" i="34"/>
  <c r="AX2" i="34"/>
  <c r="AW2" i="34"/>
  <c r="AV2" i="34"/>
  <c r="AU2" i="34"/>
  <c r="AT2" i="34"/>
  <c r="AS2" i="34"/>
  <c r="AQ2" i="34"/>
  <c r="AP2" i="34"/>
  <c r="AO2" i="34"/>
  <c r="AN2" i="34"/>
  <c r="AM2" i="34"/>
  <c r="AL2" i="34"/>
  <c r="AK2" i="34"/>
  <c r="AJ2" i="34"/>
  <c r="AI2" i="34"/>
  <c r="AH2" i="34"/>
  <c r="AD2" i="34"/>
  <c r="AC2" i="34"/>
  <c r="AB2" i="34"/>
  <c r="AA2" i="34"/>
  <c r="Z2" i="34"/>
  <c r="Y2" i="34"/>
  <c r="X2" i="34"/>
  <c r="W2" i="34"/>
  <c r="V2" i="34"/>
  <c r="U2" i="34"/>
  <c r="S2" i="34"/>
  <c r="R2" i="34"/>
  <c r="Q2" i="34"/>
  <c r="P2" i="34"/>
  <c r="O2" i="34"/>
  <c r="N2" i="34"/>
  <c r="M2" i="34"/>
  <c r="L2" i="34"/>
  <c r="K2" i="34"/>
  <c r="DE7" i="33"/>
  <c r="DD7" i="33"/>
  <c r="DC7" i="33"/>
  <c r="DB7" i="33"/>
  <c r="DA7" i="33"/>
  <c r="CZ7" i="33"/>
  <c r="CY7" i="33"/>
  <c r="CX7" i="33"/>
  <c r="CW7" i="33"/>
  <c r="CV7" i="33"/>
  <c r="CT7" i="33"/>
  <c r="CS7" i="33"/>
  <c r="CR7" i="33"/>
  <c r="CQ7" i="33"/>
  <c r="CP7" i="33"/>
  <c r="CO7" i="33"/>
  <c r="CN7" i="33"/>
  <c r="CM7" i="33"/>
  <c r="CL7" i="33"/>
  <c r="CK7" i="33"/>
  <c r="CI7" i="33"/>
  <c r="CH7" i="33"/>
  <c r="CG7" i="33"/>
  <c r="CF7" i="33"/>
  <c r="CE7" i="33"/>
  <c r="CD7" i="33"/>
  <c r="CC7" i="33"/>
  <c r="CB7" i="33"/>
  <c r="CA7" i="33"/>
  <c r="BZ7" i="33"/>
  <c r="BX7" i="33"/>
  <c r="BW7" i="33"/>
  <c r="BV7" i="33"/>
  <c r="BU7" i="33"/>
  <c r="BT7" i="33"/>
  <c r="BS7" i="33"/>
  <c r="BR7" i="33"/>
  <c r="BQ7" i="33"/>
  <c r="BP7" i="33"/>
  <c r="BO7" i="33"/>
  <c r="BM7" i="33"/>
  <c r="BL7" i="33"/>
  <c r="BK7" i="33"/>
  <c r="BJ7" i="33"/>
  <c r="BI7" i="33"/>
  <c r="BH7" i="33"/>
  <c r="BG7" i="33"/>
  <c r="BF7" i="33"/>
  <c r="BE7" i="33"/>
  <c r="BD7" i="33"/>
  <c r="BB7" i="33"/>
  <c r="BA7" i="33"/>
  <c r="AZ7" i="33"/>
  <c r="AY7" i="33"/>
  <c r="AX7" i="33"/>
  <c r="AW7" i="33"/>
  <c r="AV7" i="33"/>
  <c r="AU7" i="33"/>
  <c r="AT7" i="33"/>
  <c r="AS7" i="33"/>
  <c r="AO7" i="33"/>
  <c r="AN7" i="33"/>
  <c r="AM7" i="33"/>
  <c r="AL7" i="33"/>
  <c r="AK7" i="33"/>
  <c r="AJ7" i="33"/>
  <c r="AI7" i="33"/>
  <c r="AH7" i="33"/>
  <c r="AG7" i="33"/>
  <c r="AF7" i="33"/>
  <c r="AD7" i="33"/>
  <c r="AC7" i="33"/>
  <c r="AB7" i="33"/>
  <c r="AA7" i="33"/>
  <c r="Z7" i="33"/>
  <c r="Y7" i="33"/>
  <c r="X7" i="33"/>
  <c r="W7" i="33"/>
  <c r="V7" i="33"/>
  <c r="U7" i="33"/>
  <c r="S7" i="33"/>
  <c r="R7" i="33"/>
  <c r="Q7" i="33"/>
  <c r="P7" i="33"/>
  <c r="O7" i="33"/>
  <c r="N7" i="33"/>
  <c r="M7" i="33"/>
  <c r="L7" i="33"/>
  <c r="K7" i="33"/>
  <c r="DP6" i="33"/>
  <c r="DO6" i="33"/>
  <c r="DN6" i="33"/>
  <c r="DM6" i="33"/>
  <c r="DL6" i="33"/>
  <c r="DK6" i="33"/>
  <c r="DJ6" i="33"/>
  <c r="DI6" i="33"/>
  <c r="DH6" i="33"/>
  <c r="DG6" i="33"/>
  <c r="DE6" i="33"/>
  <c r="DD6" i="33"/>
  <c r="DC6" i="33"/>
  <c r="DB6" i="33"/>
  <c r="DA6" i="33"/>
  <c r="CZ6" i="33"/>
  <c r="CY6" i="33"/>
  <c r="CX6" i="33"/>
  <c r="CW6" i="33"/>
  <c r="CV6" i="33"/>
  <c r="CT6" i="33"/>
  <c r="CS6" i="33"/>
  <c r="CR6" i="33"/>
  <c r="CQ6" i="33"/>
  <c r="CP6" i="33"/>
  <c r="CO6" i="33"/>
  <c r="CN6" i="33"/>
  <c r="CM6" i="33"/>
  <c r="CL6" i="33"/>
  <c r="CK6" i="33"/>
  <c r="CI6" i="33"/>
  <c r="CH6" i="33"/>
  <c r="CG6" i="33"/>
  <c r="CF6" i="33"/>
  <c r="CE6" i="33"/>
  <c r="CD6" i="33"/>
  <c r="CC6" i="33"/>
  <c r="CB6" i="33"/>
  <c r="CA6" i="33"/>
  <c r="BZ6" i="33"/>
  <c r="BX6" i="33"/>
  <c r="BW6" i="33"/>
  <c r="BV6" i="33"/>
  <c r="BU6" i="33"/>
  <c r="BT6" i="33"/>
  <c r="BS6" i="33"/>
  <c r="BR6" i="33"/>
  <c r="BQ6" i="33"/>
  <c r="BP6" i="33"/>
  <c r="BO6" i="33"/>
  <c r="BM6" i="33"/>
  <c r="BL6" i="33"/>
  <c r="BK6" i="33"/>
  <c r="BJ6" i="33"/>
  <c r="BI6" i="33"/>
  <c r="BH6" i="33"/>
  <c r="BG6" i="33"/>
  <c r="BF6" i="33"/>
  <c r="BE6" i="33"/>
  <c r="BD6" i="33"/>
  <c r="BB6" i="33"/>
  <c r="BA6" i="33"/>
  <c r="AZ6" i="33"/>
  <c r="AY6" i="33"/>
  <c r="AX6" i="33"/>
  <c r="AW6" i="33"/>
  <c r="AV6" i="33"/>
  <c r="AU6" i="33"/>
  <c r="AT6" i="33"/>
  <c r="AS6" i="33"/>
  <c r="AO6" i="33"/>
  <c r="AN6" i="33"/>
  <c r="AM6" i="33"/>
  <c r="AL6" i="33"/>
  <c r="AK6" i="33"/>
  <c r="AJ6" i="33"/>
  <c r="AI6" i="33"/>
  <c r="AH6" i="33"/>
  <c r="AG6" i="33"/>
  <c r="AF6" i="33"/>
  <c r="AD6" i="33"/>
  <c r="AC6" i="33"/>
  <c r="AB6" i="33"/>
  <c r="AA6" i="33"/>
  <c r="Z6" i="33"/>
  <c r="Y6" i="33"/>
  <c r="X6" i="33"/>
  <c r="W6" i="33"/>
  <c r="V6" i="33"/>
  <c r="U6" i="33"/>
  <c r="S6" i="33"/>
  <c r="R6" i="33"/>
  <c r="Q6" i="33"/>
  <c r="P6" i="33"/>
  <c r="O6" i="33"/>
  <c r="N6" i="33"/>
  <c r="M6" i="33"/>
  <c r="L6" i="33"/>
  <c r="K6" i="33"/>
  <c r="DE5" i="33"/>
  <c r="DD5" i="33"/>
  <c r="DC5" i="33"/>
  <c r="DB5" i="33"/>
  <c r="DA5" i="33"/>
  <c r="CZ5" i="33"/>
  <c r="CY5" i="33"/>
  <c r="CX5" i="33"/>
  <c r="CW5" i="33"/>
  <c r="CV5" i="33"/>
  <c r="CT5" i="33"/>
  <c r="CS5" i="33"/>
  <c r="CR5" i="33"/>
  <c r="CQ5" i="33"/>
  <c r="CP5" i="33"/>
  <c r="CO5" i="33"/>
  <c r="CN5" i="33"/>
  <c r="CM5" i="33"/>
  <c r="CL5" i="33"/>
  <c r="CK5" i="33"/>
  <c r="CI5" i="33"/>
  <c r="CH5" i="33"/>
  <c r="CG5" i="33"/>
  <c r="CF5" i="33"/>
  <c r="CE5" i="33"/>
  <c r="CD5" i="33"/>
  <c r="CC5" i="33"/>
  <c r="CB5" i="33"/>
  <c r="CA5" i="33"/>
  <c r="BZ5" i="33"/>
  <c r="BX5" i="33"/>
  <c r="BW5" i="33"/>
  <c r="BV5" i="33"/>
  <c r="BU5" i="33"/>
  <c r="BT5" i="33"/>
  <c r="BS5" i="33"/>
  <c r="BR5" i="33"/>
  <c r="BQ5" i="33"/>
  <c r="BP5" i="33"/>
  <c r="BO5" i="33"/>
  <c r="BM5" i="33"/>
  <c r="BL5" i="33"/>
  <c r="BK5" i="33"/>
  <c r="BJ5" i="33"/>
  <c r="BI5" i="33"/>
  <c r="BH5" i="33"/>
  <c r="BG5" i="33"/>
  <c r="BF5" i="33"/>
  <c r="BE5" i="33"/>
  <c r="BD5" i="33"/>
  <c r="BB5" i="33"/>
  <c r="BA5" i="33"/>
  <c r="AZ5" i="33"/>
  <c r="AY5" i="33"/>
  <c r="AX5" i="33"/>
  <c r="AW5" i="33"/>
  <c r="AV5" i="33"/>
  <c r="AU5" i="33"/>
  <c r="AT5" i="33"/>
  <c r="AS5" i="33"/>
  <c r="AO5" i="33"/>
  <c r="AN5" i="33"/>
  <c r="AM5" i="33"/>
  <c r="AL5" i="33"/>
  <c r="AK5" i="33"/>
  <c r="AJ5" i="33"/>
  <c r="AI5" i="33"/>
  <c r="AH5" i="33"/>
  <c r="AG5" i="33"/>
  <c r="AF5" i="33"/>
  <c r="AD5" i="33"/>
  <c r="AC5" i="33"/>
  <c r="AB5" i="33"/>
  <c r="AA5" i="33"/>
  <c r="Z5" i="33"/>
  <c r="Y5" i="33"/>
  <c r="X5" i="33"/>
  <c r="W5" i="33"/>
  <c r="V5" i="33"/>
  <c r="U5" i="33"/>
  <c r="S5" i="33"/>
  <c r="R5" i="33"/>
  <c r="Q5" i="33"/>
  <c r="P5" i="33"/>
  <c r="O5" i="33"/>
  <c r="N5" i="33"/>
  <c r="M5" i="33"/>
  <c r="L5" i="33"/>
  <c r="K5" i="33"/>
  <c r="DP4" i="33"/>
  <c r="DO4" i="33"/>
  <c r="DN4" i="33"/>
  <c r="DM4" i="33"/>
  <c r="DL4" i="33"/>
  <c r="DK4" i="33"/>
  <c r="DJ4" i="33"/>
  <c r="DI4" i="33"/>
  <c r="DH4" i="33"/>
  <c r="DG4" i="33"/>
  <c r="DE4" i="33"/>
  <c r="DD4" i="33"/>
  <c r="DC4" i="33"/>
  <c r="DB4" i="33"/>
  <c r="DA4" i="33"/>
  <c r="CZ4" i="33"/>
  <c r="CY4" i="33"/>
  <c r="CX4" i="33"/>
  <c r="CW4" i="33"/>
  <c r="CV4" i="33"/>
  <c r="CT4" i="33"/>
  <c r="CS4" i="33"/>
  <c r="CR4" i="33"/>
  <c r="CQ4" i="33"/>
  <c r="CP4" i="33"/>
  <c r="CO4" i="33"/>
  <c r="CN4" i="33"/>
  <c r="CM4" i="33"/>
  <c r="CL4" i="33"/>
  <c r="CK4" i="33"/>
  <c r="CI4" i="33"/>
  <c r="CH4" i="33"/>
  <c r="CG4" i="33"/>
  <c r="CF4" i="33"/>
  <c r="CE4" i="33"/>
  <c r="CD4" i="33"/>
  <c r="CC4" i="33"/>
  <c r="CB4" i="33"/>
  <c r="CA4" i="33"/>
  <c r="BZ4" i="33"/>
  <c r="BX4" i="33"/>
  <c r="BW4" i="33"/>
  <c r="BV4" i="33"/>
  <c r="BU4" i="33"/>
  <c r="BT4" i="33"/>
  <c r="BS4" i="33"/>
  <c r="BR4" i="33"/>
  <c r="BQ4" i="33"/>
  <c r="BP4" i="33"/>
  <c r="BO4" i="33"/>
  <c r="BM4" i="33"/>
  <c r="BL4" i="33"/>
  <c r="BK4" i="33"/>
  <c r="BJ4" i="33"/>
  <c r="BI4" i="33"/>
  <c r="BH4" i="33"/>
  <c r="BG4" i="33"/>
  <c r="BF4" i="33"/>
  <c r="BE4" i="33"/>
  <c r="BD4" i="33"/>
  <c r="BB4" i="33"/>
  <c r="BA4" i="33"/>
  <c r="AZ4" i="33"/>
  <c r="AY4" i="33"/>
  <c r="AX4" i="33"/>
  <c r="AW4" i="33"/>
  <c r="AV4" i="33"/>
  <c r="AU4" i="33"/>
  <c r="AT4" i="33"/>
  <c r="AS4" i="33"/>
  <c r="AO4" i="33"/>
  <c r="AN4" i="33"/>
  <c r="AM4" i="33"/>
  <c r="AL4" i="33"/>
  <c r="AK4" i="33"/>
  <c r="AJ4" i="33"/>
  <c r="AI4" i="33"/>
  <c r="AH4" i="33"/>
  <c r="AG4" i="33"/>
  <c r="AF4" i="33"/>
  <c r="AD4" i="33"/>
  <c r="AC4" i="33"/>
  <c r="AB4" i="33"/>
  <c r="AA4" i="33"/>
  <c r="Z4" i="33"/>
  <c r="Y4" i="33"/>
  <c r="X4" i="33"/>
  <c r="W4" i="33"/>
  <c r="V4" i="33"/>
  <c r="U4" i="33"/>
  <c r="S4" i="33"/>
  <c r="R4" i="33"/>
  <c r="Q4" i="33"/>
  <c r="P4" i="33"/>
  <c r="O4" i="33"/>
  <c r="N4" i="33"/>
  <c r="M4" i="33"/>
  <c r="L4" i="33"/>
  <c r="K4" i="33"/>
  <c r="DE3" i="33"/>
  <c r="DD3" i="33"/>
  <c r="DC3" i="33"/>
  <c r="DB3" i="33"/>
  <c r="DA3" i="33"/>
  <c r="CZ3" i="33"/>
  <c r="CY3" i="33"/>
  <c r="CX3" i="33"/>
  <c r="CW3" i="33"/>
  <c r="CV3" i="33"/>
  <c r="CT3" i="33"/>
  <c r="CS3" i="33"/>
  <c r="CR3" i="33"/>
  <c r="CQ3" i="33"/>
  <c r="CP3" i="33"/>
  <c r="CO3" i="33"/>
  <c r="CN3" i="33"/>
  <c r="CM3" i="33"/>
  <c r="CL3" i="33"/>
  <c r="CK3" i="33"/>
  <c r="CI3" i="33"/>
  <c r="CH3" i="33"/>
  <c r="CG3" i="33"/>
  <c r="CF3" i="33"/>
  <c r="CE3" i="33"/>
  <c r="CD3" i="33"/>
  <c r="CC3" i="33"/>
  <c r="CB3" i="33"/>
  <c r="CA3" i="33"/>
  <c r="BZ3" i="33"/>
  <c r="BX3" i="33"/>
  <c r="BW3" i="33"/>
  <c r="BV3" i="33"/>
  <c r="BU3" i="33"/>
  <c r="BT3" i="33"/>
  <c r="BS3" i="33"/>
  <c r="BR3" i="33"/>
  <c r="BQ3" i="33"/>
  <c r="BP3" i="33"/>
  <c r="BO3" i="33"/>
  <c r="BM3" i="33"/>
  <c r="BL3" i="33"/>
  <c r="BK3" i="33"/>
  <c r="BJ3" i="33"/>
  <c r="BI3" i="33"/>
  <c r="BH3" i="33"/>
  <c r="BG3" i="33"/>
  <c r="BF3" i="33"/>
  <c r="BE3" i="33"/>
  <c r="BD3" i="33"/>
  <c r="BB3" i="33"/>
  <c r="BA3" i="33"/>
  <c r="AZ3" i="33"/>
  <c r="AY3" i="33"/>
  <c r="AX3" i="33"/>
  <c r="AW3" i="33"/>
  <c r="AV3" i="33"/>
  <c r="AU3" i="33"/>
  <c r="AT3" i="33"/>
  <c r="AS3" i="33"/>
  <c r="AO3" i="33"/>
  <c r="AN3" i="33"/>
  <c r="AM3" i="33"/>
  <c r="AL3" i="33"/>
  <c r="AK3" i="33"/>
  <c r="AJ3" i="33"/>
  <c r="AI3" i="33"/>
  <c r="AH3" i="33"/>
  <c r="AG3" i="33"/>
  <c r="AF3" i="33"/>
  <c r="AD3" i="33"/>
  <c r="AC3" i="33"/>
  <c r="AB3" i="33"/>
  <c r="AA3" i="33"/>
  <c r="Z3" i="33"/>
  <c r="Y3" i="33"/>
  <c r="X3" i="33"/>
  <c r="W3" i="33"/>
  <c r="V3" i="33"/>
  <c r="U3" i="33"/>
  <c r="S3" i="33"/>
  <c r="R3" i="33"/>
  <c r="Q3" i="33"/>
  <c r="P3" i="33"/>
  <c r="O3" i="33"/>
  <c r="N3" i="33"/>
  <c r="M3" i="33"/>
  <c r="L3" i="33"/>
  <c r="K3" i="33"/>
  <c r="DP2" i="33"/>
  <c r="DO2" i="33"/>
  <c r="DN2" i="33"/>
  <c r="DM2" i="33"/>
  <c r="DL2" i="33"/>
  <c r="DK2" i="33"/>
  <c r="DJ2" i="33"/>
  <c r="DI2" i="33"/>
  <c r="DH2" i="33"/>
  <c r="DG2" i="33"/>
  <c r="DE2" i="33"/>
  <c r="DD2" i="33"/>
  <c r="DC2" i="33"/>
  <c r="DB2" i="33"/>
  <c r="DA2" i="33"/>
  <c r="CZ2" i="33"/>
  <c r="CY2" i="33"/>
  <c r="CX2" i="33"/>
  <c r="CW2" i="33"/>
  <c r="CV2" i="33"/>
  <c r="CT2" i="33"/>
  <c r="CS2" i="33"/>
  <c r="CR2" i="33"/>
  <c r="CQ2" i="33"/>
  <c r="CP2" i="33"/>
  <c r="CO2" i="33"/>
  <c r="CN2" i="33"/>
  <c r="CM2" i="33"/>
  <c r="CL2" i="33"/>
  <c r="CK2" i="33"/>
  <c r="CI2" i="33"/>
  <c r="CH2" i="33"/>
  <c r="CG2" i="33"/>
  <c r="CF2" i="33"/>
  <c r="CE2" i="33"/>
  <c r="CD2" i="33"/>
  <c r="CC2" i="33"/>
  <c r="CB2" i="33"/>
  <c r="CA2" i="33"/>
  <c r="BZ2" i="33"/>
  <c r="BX2" i="33"/>
  <c r="BW2" i="33"/>
  <c r="BV2" i="33"/>
  <c r="BU2" i="33"/>
  <c r="BT2" i="33"/>
  <c r="BS2" i="33"/>
  <c r="BR2" i="33"/>
  <c r="BQ2" i="33"/>
  <c r="BP2" i="33"/>
  <c r="BO2" i="33"/>
  <c r="BM2" i="33"/>
  <c r="BL2" i="33"/>
  <c r="BK2" i="33"/>
  <c r="BJ2" i="33"/>
  <c r="BI2" i="33"/>
  <c r="BH2" i="33"/>
  <c r="BG2" i="33"/>
  <c r="BF2" i="33"/>
  <c r="BE2" i="33"/>
  <c r="BD2" i="33"/>
  <c r="BB2" i="33"/>
  <c r="BA2" i="33"/>
  <c r="AZ2" i="33"/>
  <c r="AY2" i="33"/>
  <c r="AX2" i="33"/>
  <c r="AW2" i="33"/>
  <c r="AV2" i="33"/>
  <c r="AU2" i="33"/>
  <c r="AT2" i="33"/>
  <c r="AS2" i="33"/>
  <c r="AO2" i="33"/>
  <c r="AN2" i="33"/>
  <c r="AM2" i="33"/>
  <c r="AL2" i="33"/>
  <c r="AK2" i="33"/>
  <c r="AJ2" i="33"/>
  <c r="AI2" i="33"/>
  <c r="AH2" i="33"/>
  <c r="AG2" i="33"/>
  <c r="AF2" i="33"/>
  <c r="AD2" i="33"/>
  <c r="AC2" i="33"/>
  <c r="AB2" i="33"/>
  <c r="AA2" i="33"/>
  <c r="Z2" i="33"/>
  <c r="Y2" i="33"/>
  <c r="X2" i="33"/>
  <c r="W2" i="33"/>
  <c r="V2" i="33"/>
  <c r="U2" i="33"/>
  <c r="S2" i="33"/>
  <c r="R2" i="33"/>
  <c r="Q2" i="33"/>
  <c r="P2" i="33"/>
  <c r="O2" i="33"/>
  <c r="N2" i="33"/>
  <c r="M2" i="33"/>
  <c r="L2" i="33"/>
  <c r="K2" i="33"/>
  <c r="CT7" i="32"/>
  <c r="CS7" i="32"/>
  <c r="CR7" i="32"/>
  <c r="CQ7" i="32"/>
  <c r="CP7" i="32"/>
  <c r="CO7" i="32"/>
  <c r="CN7" i="32"/>
  <c r="CM7" i="32"/>
  <c r="CL7" i="32"/>
  <c r="CK7" i="32"/>
  <c r="CI7" i="32"/>
  <c r="CH7" i="32"/>
  <c r="CG7" i="32"/>
  <c r="CF7" i="32"/>
  <c r="CE7" i="32"/>
  <c r="CD7" i="32"/>
  <c r="CC7" i="32"/>
  <c r="CB7" i="32"/>
  <c r="CA7" i="32"/>
  <c r="BZ7" i="32"/>
  <c r="BX7" i="32"/>
  <c r="BW7" i="32"/>
  <c r="BV7" i="32"/>
  <c r="BU7" i="32"/>
  <c r="BT7" i="32"/>
  <c r="BS7" i="32"/>
  <c r="BR7" i="32"/>
  <c r="BQ7" i="32"/>
  <c r="BP7" i="32"/>
  <c r="BO7" i="32"/>
  <c r="BM7" i="32"/>
  <c r="BL7" i="32"/>
  <c r="BK7" i="32"/>
  <c r="BJ7" i="32"/>
  <c r="BI7" i="32"/>
  <c r="BH7" i="32"/>
  <c r="BG7" i="32"/>
  <c r="BF7" i="32"/>
  <c r="BE7" i="32"/>
  <c r="BD7" i="32"/>
  <c r="BB7" i="32"/>
  <c r="BA7" i="32"/>
  <c r="AZ7" i="32"/>
  <c r="AY7" i="32"/>
  <c r="AX7" i="32"/>
  <c r="AW7" i="32"/>
  <c r="AV7" i="32"/>
  <c r="AU7" i="32"/>
  <c r="AT7" i="32"/>
  <c r="AS7" i="32"/>
  <c r="AQ7" i="32"/>
  <c r="AP7" i="32"/>
  <c r="AO7" i="32"/>
  <c r="AN7" i="32"/>
  <c r="AM7" i="32"/>
  <c r="AL7" i="32"/>
  <c r="AK7" i="32"/>
  <c r="AJ7" i="32"/>
  <c r="AI7" i="32"/>
  <c r="AH7" i="32"/>
  <c r="AD7" i="32"/>
  <c r="AC7" i="32"/>
  <c r="AB7" i="32"/>
  <c r="AA7" i="32"/>
  <c r="Z7" i="32"/>
  <c r="Y7" i="32"/>
  <c r="X7" i="32"/>
  <c r="W7" i="32"/>
  <c r="V7" i="32"/>
  <c r="U7" i="32"/>
  <c r="S7" i="32"/>
  <c r="R7" i="32"/>
  <c r="Q7" i="32"/>
  <c r="P7" i="32"/>
  <c r="O7" i="32"/>
  <c r="N7" i="32"/>
  <c r="M7" i="32"/>
  <c r="L7" i="32"/>
  <c r="K7" i="32"/>
  <c r="DE6" i="32"/>
  <c r="DD6" i="32"/>
  <c r="DC6" i="32"/>
  <c r="DB6" i="32"/>
  <c r="DA6" i="32"/>
  <c r="CZ6" i="32"/>
  <c r="CY6" i="32"/>
  <c r="CX6" i="32"/>
  <c r="CW6" i="32"/>
  <c r="CV6" i="32"/>
  <c r="CT6" i="32"/>
  <c r="CS6" i="32"/>
  <c r="CR6" i="32"/>
  <c r="CQ6" i="32"/>
  <c r="CP6" i="32"/>
  <c r="CO6" i="32"/>
  <c r="CN6" i="32"/>
  <c r="CM6" i="32"/>
  <c r="CL6" i="32"/>
  <c r="CK6" i="32"/>
  <c r="CI6" i="32"/>
  <c r="CH6" i="32"/>
  <c r="CG6" i="32"/>
  <c r="CF6" i="32"/>
  <c r="CE6" i="32"/>
  <c r="CD6" i="32"/>
  <c r="CC6" i="32"/>
  <c r="CB6" i="32"/>
  <c r="CA6" i="32"/>
  <c r="BZ6" i="32"/>
  <c r="BX6" i="32"/>
  <c r="BW6" i="32"/>
  <c r="BV6" i="32"/>
  <c r="BU6" i="32"/>
  <c r="BT6" i="32"/>
  <c r="BS6" i="32"/>
  <c r="BR6" i="32"/>
  <c r="BQ6" i="32"/>
  <c r="BP6" i="32"/>
  <c r="BO6" i="32"/>
  <c r="BM6" i="32"/>
  <c r="BL6" i="32"/>
  <c r="BK6" i="32"/>
  <c r="BJ6" i="32"/>
  <c r="BI6" i="32"/>
  <c r="BH6" i="32"/>
  <c r="BG6" i="32"/>
  <c r="BF6" i="32"/>
  <c r="BE6" i="32"/>
  <c r="BD6" i="32"/>
  <c r="BB6" i="32"/>
  <c r="BA6" i="32"/>
  <c r="AZ6" i="32"/>
  <c r="AY6" i="32"/>
  <c r="AX6" i="32"/>
  <c r="AW6" i="32"/>
  <c r="AV6" i="32"/>
  <c r="AU6" i="32"/>
  <c r="AT6" i="32"/>
  <c r="AS6" i="32"/>
  <c r="AQ6" i="32"/>
  <c r="AP6" i="32"/>
  <c r="AO6" i="32"/>
  <c r="AN6" i="32"/>
  <c r="AM6" i="32"/>
  <c r="AL6" i="32"/>
  <c r="AK6" i="32"/>
  <c r="AJ6" i="32"/>
  <c r="AI6" i="32"/>
  <c r="AH6" i="32"/>
  <c r="AD6" i="32"/>
  <c r="AC6" i="32"/>
  <c r="AB6" i="32"/>
  <c r="AA6" i="32"/>
  <c r="Z6" i="32"/>
  <c r="Y6" i="32"/>
  <c r="X6" i="32"/>
  <c r="W6" i="32"/>
  <c r="V6" i="32"/>
  <c r="U6" i="32"/>
  <c r="S6" i="32"/>
  <c r="R6" i="32"/>
  <c r="Q6" i="32"/>
  <c r="P6" i="32"/>
  <c r="O6" i="32"/>
  <c r="N6" i="32"/>
  <c r="M6" i="32"/>
  <c r="L6" i="32"/>
  <c r="K6" i="32"/>
  <c r="CT5" i="32"/>
  <c r="CS5" i="32"/>
  <c r="CR5" i="32"/>
  <c r="CQ5" i="32"/>
  <c r="CP5" i="32"/>
  <c r="CO5" i="32"/>
  <c r="CN5" i="32"/>
  <c r="CM5" i="32"/>
  <c r="CL5" i="32"/>
  <c r="CK5" i="32"/>
  <c r="CI5" i="32"/>
  <c r="CH5" i="32"/>
  <c r="CG5" i="32"/>
  <c r="CF5" i="32"/>
  <c r="CE5" i="32"/>
  <c r="CD5" i="32"/>
  <c r="CC5" i="32"/>
  <c r="CB5" i="32"/>
  <c r="CA5" i="32"/>
  <c r="BZ5" i="32"/>
  <c r="BX5" i="32"/>
  <c r="BW5" i="32"/>
  <c r="BV5" i="32"/>
  <c r="BU5" i="32"/>
  <c r="BT5" i="32"/>
  <c r="BS5" i="32"/>
  <c r="BR5" i="32"/>
  <c r="BQ5" i="32"/>
  <c r="BP5" i="32"/>
  <c r="BO5" i="32"/>
  <c r="BM5" i="32"/>
  <c r="BL5" i="32"/>
  <c r="BK5" i="32"/>
  <c r="BJ5" i="32"/>
  <c r="BI5" i="32"/>
  <c r="BH5" i="32"/>
  <c r="BG5" i="32"/>
  <c r="BF5" i="32"/>
  <c r="BE5" i="32"/>
  <c r="BD5" i="32"/>
  <c r="BB5" i="32"/>
  <c r="BA5" i="32"/>
  <c r="AZ5" i="32"/>
  <c r="AY5" i="32"/>
  <c r="AX5" i="32"/>
  <c r="AW5" i="32"/>
  <c r="AV5" i="32"/>
  <c r="AU5" i="32"/>
  <c r="AT5" i="32"/>
  <c r="AS5" i="32"/>
  <c r="AQ5" i="32"/>
  <c r="AP5" i="32"/>
  <c r="AO5" i="32"/>
  <c r="AN5" i="32"/>
  <c r="AM5" i="32"/>
  <c r="AL5" i="32"/>
  <c r="AK5" i="32"/>
  <c r="AJ5" i="32"/>
  <c r="AI5" i="32"/>
  <c r="AH5" i="32"/>
  <c r="AD5" i="32"/>
  <c r="AC5" i="32"/>
  <c r="AB5" i="32"/>
  <c r="AA5" i="32"/>
  <c r="Z5" i="32"/>
  <c r="Y5" i="32"/>
  <c r="X5" i="32"/>
  <c r="W5" i="32"/>
  <c r="V5" i="32"/>
  <c r="U5" i="32"/>
  <c r="S5" i="32"/>
  <c r="R5" i="32"/>
  <c r="Q5" i="32"/>
  <c r="P5" i="32"/>
  <c r="O5" i="32"/>
  <c r="N5" i="32"/>
  <c r="M5" i="32"/>
  <c r="L5" i="32"/>
  <c r="K5" i="32"/>
  <c r="DE4" i="32"/>
  <c r="DD4" i="32"/>
  <c r="DC4" i="32"/>
  <c r="DB4" i="32"/>
  <c r="DA4" i="32"/>
  <c r="CZ4" i="32"/>
  <c r="CY4" i="32"/>
  <c r="CX4" i="32"/>
  <c r="CW4" i="32"/>
  <c r="CV4" i="32"/>
  <c r="CT4" i="32"/>
  <c r="CS4" i="32"/>
  <c r="CR4" i="32"/>
  <c r="CQ4" i="32"/>
  <c r="CP4" i="32"/>
  <c r="CO4" i="32"/>
  <c r="CN4" i="32"/>
  <c r="CM4" i="32"/>
  <c r="CL4" i="32"/>
  <c r="CK4" i="32"/>
  <c r="CI4" i="32"/>
  <c r="CH4" i="32"/>
  <c r="CG4" i="32"/>
  <c r="CF4" i="32"/>
  <c r="CE4" i="32"/>
  <c r="CD4" i="32"/>
  <c r="CC4" i="32"/>
  <c r="CB4" i="32"/>
  <c r="CA4" i="32"/>
  <c r="BZ4" i="32"/>
  <c r="BX4" i="32"/>
  <c r="BW4" i="32"/>
  <c r="BV4" i="32"/>
  <c r="BU4" i="32"/>
  <c r="BT4" i="32"/>
  <c r="BS4" i="32"/>
  <c r="BR4" i="32"/>
  <c r="BQ4" i="32"/>
  <c r="BP4" i="32"/>
  <c r="BO4" i="32"/>
  <c r="BM4" i="32"/>
  <c r="BL4" i="32"/>
  <c r="BK4" i="32"/>
  <c r="BJ4" i="32"/>
  <c r="BI4" i="32"/>
  <c r="BH4" i="32"/>
  <c r="BG4" i="32"/>
  <c r="BF4" i="32"/>
  <c r="BE4" i="32"/>
  <c r="BD4" i="32"/>
  <c r="BB4" i="32"/>
  <c r="BA4" i="32"/>
  <c r="AZ4" i="32"/>
  <c r="AY4" i="32"/>
  <c r="AX4" i="32"/>
  <c r="AW4" i="32"/>
  <c r="AV4" i="32"/>
  <c r="AU4" i="32"/>
  <c r="AT4" i="32"/>
  <c r="AS4" i="32"/>
  <c r="AQ4" i="32"/>
  <c r="AP4" i="32"/>
  <c r="AO4" i="32"/>
  <c r="AN4" i="32"/>
  <c r="AM4" i="32"/>
  <c r="AL4" i="32"/>
  <c r="AK4" i="32"/>
  <c r="AJ4" i="32"/>
  <c r="AI4" i="32"/>
  <c r="AH4" i="32"/>
  <c r="AD4" i="32"/>
  <c r="AC4" i="32"/>
  <c r="AB4" i="32"/>
  <c r="AA4" i="32"/>
  <c r="Z4" i="32"/>
  <c r="Y4" i="32"/>
  <c r="X4" i="32"/>
  <c r="W4" i="32"/>
  <c r="V4" i="32"/>
  <c r="U4" i="32"/>
  <c r="S4" i="32"/>
  <c r="R4" i="32"/>
  <c r="Q4" i="32"/>
  <c r="P4" i="32"/>
  <c r="O4" i="32"/>
  <c r="N4" i="32"/>
  <c r="M4" i="32"/>
  <c r="L4" i="32"/>
  <c r="K4" i="32"/>
  <c r="CT3" i="32"/>
  <c r="CS3" i="32"/>
  <c r="CR3" i="32"/>
  <c r="CQ3" i="32"/>
  <c r="CP3" i="32"/>
  <c r="CO3" i="32"/>
  <c r="CN3" i="32"/>
  <c r="CM3" i="32"/>
  <c r="CL3" i="32"/>
  <c r="CK3" i="32"/>
  <c r="CI3" i="32"/>
  <c r="CH3" i="32"/>
  <c r="CG3" i="32"/>
  <c r="CF3" i="32"/>
  <c r="CE3" i="32"/>
  <c r="CD3" i="32"/>
  <c r="CC3" i="32"/>
  <c r="CB3" i="32"/>
  <c r="CA3" i="32"/>
  <c r="BZ3" i="32"/>
  <c r="BX3" i="32"/>
  <c r="BW3" i="32"/>
  <c r="BV3" i="32"/>
  <c r="BU3" i="32"/>
  <c r="BT3" i="32"/>
  <c r="BS3" i="32"/>
  <c r="BR3" i="32"/>
  <c r="BQ3" i="32"/>
  <c r="BP3" i="32"/>
  <c r="BO3" i="32"/>
  <c r="BM3" i="32"/>
  <c r="BL3" i="32"/>
  <c r="BK3" i="32"/>
  <c r="BJ3" i="32"/>
  <c r="BI3" i="32"/>
  <c r="BH3" i="32"/>
  <c r="BG3" i="32"/>
  <c r="BF3" i="32"/>
  <c r="BE3" i="32"/>
  <c r="BD3" i="32"/>
  <c r="BB3" i="32"/>
  <c r="BA3" i="32"/>
  <c r="AZ3" i="32"/>
  <c r="AY3" i="32"/>
  <c r="AX3" i="32"/>
  <c r="AW3" i="32"/>
  <c r="AV3" i="32"/>
  <c r="AU3" i="32"/>
  <c r="AT3" i="32"/>
  <c r="AS3" i="32"/>
  <c r="AQ3" i="32"/>
  <c r="AP3" i="32"/>
  <c r="AO3" i="32"/>
  <c r="AN3" i="32"/>
  <c r="AM3" i="32"/>
  <c r="AL3" i="32"/>
  <c r="AK3" i="32"/>
  <c r="AJ3" i="32"/>
  <c r="AI3" i="32"/>
  <c r="AH3" i="32"/>
  <c r="AD3" i="32"/>
  <c r="AC3" i="32"/>
  <c r="AB3" i="32"/>
  <c r="AA3" i="32"/>
  <c r="Z3" i="32"/>
  <c r="Y3" i="32"/>
  <c r="X3" i="32"/>
  <c r="W3" i="32"/>
  <c r="V3" i="32"/>
  <c r="U3" i="32"/>
  <c r="S3" i="32"/>
  <c r="R3" i="32"/>
  <c r="Q3" i="32"/>
  <c r="P3" i="32"/>
  <c r="O3" i="32"/>
  <c r="N3" i="32"/>
  <c r="M3" i="32"/>
  <c r="L3" i="32"/>
  <c r="K3" i="32"/>
  <c r="DE2" i="32"/>
  <c r="DD2" i="32"/>
  <c r="DC2" i="32"/>
  <c r="DB2" i="32"/>
  <c r="DA2" i="32"/>
  <c r="CZ2" i="32"/>
  <c r="CY2" i="32"/>
  <c r="CX2" i="32"/>
  <c r="CW2" i="32"/>
  <c r="CV2" i="32"/>
  <c r="CT2" i="32"/>
  <c r="CS2" i="32"/>
  <c r="CR2" i="32"/>
  <c r="CQ2" i="32"/>
  <c r="CP2" i="32"/>
  <c r="CO2" i="32"/>
  <c r="CN2" i="32"/>
  <c r="CM2" i="32"/>
  <c r="CL2" i="32"/>
  <c r="CK2" i="32"/>
  <c r="CI2" i="32"/>
  <c r="CH2" i="32"/>
  <c r="CG2" i="32"/>
  <c r="CF2" i="32"/>
  <c r="CE2" i="32"/>
  <c r="CD2" i="32"/>
  <c r="CC2" i="32"/>
  <c r="CB2" i="32"/>
  <c r="CA2" i="32"/>
  <c r="BZ2" i="32"/>
  <c r="BX2" i="32"/>
  <c r="BW2" i="32"/>
  <c r="BV2" i="32"/>
  <c r="BU2" i="32"/>
  <c r="BT2" i="32"/>
  <c r="BS2" i="32"/>
  <c r="BR2" i="32"/>
  <c r="BQ2" i="32"/>
  <c r="BP2" i="32"/>
  <c r="BO2" i="32"/>
  <c r="BM2" i="32"/>
  <c r="BL2" i="32"/>
  <c r="BK2" i="32"/>
  <c r="BJ2" i="32"/>
  <c r="BI2" i="32"/>
  <c r="BH2" i="32"/>
  <c r="BG2" i="32"/>
  <c r="BF2" i="32"/>
  <c r="BE2" i="32"/>
  <c r="BD2" i="32"/>
  <c r="BB2" i="32"/>
  <c r="BA2" i="32"/>
  <c r="AZ2" i="32"/>
  <c r="AY2" i="32"/>
  <c r="AX2" i="32"/>
  <c r="AW2" i="32"/>
  <c r="AV2" i="32"/>
  <c r="AU2" i="32"/>
  <c r="AT2" i="32"/>
  <c r="AS2" i="32"/>
  <c r="AQ2" i="32"/>
  <c r="AP2" i="32"/>
  <c r="AO2" i="32"/>
  <c r="AN2" i="32"/>
  <c r="AM2" i="32"/>
  <c r="AL2" i="32"/>
  <c r="AK2" i="32"/>
  <c r="AJ2" i="32"/>
  <c r="AI2" i="32"/>
  <c r="AH2" i="32"/>
  <c r="AD2" i="32"/>
  <c r="AC2" i="32"/>
  <c r="AB2" i="32"/>
  <c r="AA2" i="32"/>
  <c r="Z2" i="32"/>
  <c r="Y2" i="32"/>
  <c r="X2" i="32"/>
  <c r="W2" i="32"/>
  <c r="V2" i="32"/>
  <c r="U2" i="32"/>
  <c r="S2" i="32"/>
  <c r="R2" i="32"/>
  <c r="Q2" i="32"/>
  <c r="P2" i="32"/>
  <c r="O2" i="32"/>
  <c r="N2" i="32"/>
  <c r="M2" i="32"/>
  <c r="L2" i="32"/>
  <c r="K2" i="32"/>
</calcChain>
</file>

<file path=xl/sharedStrings.xml><?xml version="1.0" encoding="utf-8"?>
<sst xmlns="http://schemas.openxmlformats.org/spreadsheetml/2006/main" count="1929" uniqueCount="590">
  <si>
    <t>CC</t>
  </si>
  <si>
    <t>CE</t>
  </si>
  <si>
    <t>ME</t>
  </si>
  <si>
    <t>Placement</t>
  </si>
  <si>
    <t>Image</t>
  </si>
  <si>
    <t>URL</t>
  </si>
  <si>
    <t>Deeplink</t>
  </si>
  <si>
    <t>Targeted Audiences</t>
  </si>
  <si>
    <t>Top Banner</t>
  </si>
  <si>
    <t>Bottom Banner</t>
  </si>
  <si>
    <t>Image Located in extra-modules folder</t>
  </si>
  <si>
    <t>Headline</t>
  </si>
  <si>
    <t>Subheadline</t>
  </si>
  <si>
    <t>SubCopy</t>
  </si>
  <si>
    <t>CTA</t>
  </si>
  <si>
    <t>Deeplink Reserver</t>
  </si>
  <si>
    <t>Deeplink Non-Reserver</t>
  </si>
  <si>
    <t>Top Hero</t>
  </si>
  <si>
    <t>CyberWeek-KV.jpg</t>
  </si>
  <si>
    <t>EPP Reservers</t>
  </si>
  <si>
    <t>EPP banner</t>
  </si>
  <si>
    <t>See Tab 1</t>
  </si>
  <si>
    <t>N/A</t>
  </si>
  <si>
    <t>https://www.samsung.com/us/shop/all-deals/</t>
  </si>
  <si>
    <t>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</si>
  <si>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t>
  </si>
  <si>
    <t>Gift Guide banner (final module at the end of all offer modules)</t>
  </si>
  <si>
    <t>Give-wonder-500xV.jpg</t>
  </si>
  <si>
    <t>The gift that keeps on giving</t>
  </si>
  <si>
    <t>Discover even more exclusive offers on your favorite products and unlock the power of smart and savvy gifting.</t>
  </si>
  <si>
    <t>Shop now</t>
  </si>
  <si>
    <t>https://www.samsung.com/us/gift-ideas/</t>
  </si>
  <si>
    <t>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</si>
  <si>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t>
  </si>
  <si>
    <t xml:space="preserve"> </t>
  </si>
  <si>
    <t>EPP Banner ( FOR ALL EPP VERSIONS)</t>
  </si>
  <si>
    <t>Cross-Category_Black_Friday_Week_01.jpg</t>
  </si>
  <si>
    <r>
      <t xml:space="preserve">Students &amp; Educators </t>
    </r>
    <r>
      <rPr>
        <sz val="11"/>
        <color theme="1"/>
        <rFont val="Calibri"/>
        <family val="2"/>
      </rPr>
      <t xml:space="preserve">• Government • Military • Save@Work • First Responders </t>
    </r>
  </si>
  <si>
    <t xml:space="preserve">Login to your Discount Program to save even more on the great offers below. </t>
  </si>
  <si>
    <t>X</t>
  </si>
  <si>
    <t>Subhead (below image)</t>
  </si>
  <si>
    <t>Subcopy</t>
  </si>
  <si>
    <t>CTA 2</t>
  </si>
  <si>
    <t>URL 2</t>
  </si>
  <si>
    <t>Shop all</t>
  </si>
  <si>
    <t>https://www.samsung.com/us/shop/all-deals/cell-phone-deals/</t>
  </si>
  <si>
    <t>https://www.samsung.com/us/shop/all-deals/tv-and-home-theater-deals/</t>
  </si>
  <si>
    <t>https://www.samsung.com/us/shop/all-deals/home-appliance-and-smart-home-sales/</t>
  </si>
  <si>
    <t>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</si>
  <si>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</si>
  <si>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</si>
  <si>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</si>
  <si>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t>
  </si>
  <si>
    <t>Name</t>
  </si>
  <si>
    <t>urlsegment</t>
  </si>
  <si>
    <t>marsLinkCategory_type</t>
  </si>
  <si>
    <t>cid_type</t>
  </si>
  <si>
    <t>offerCID</t>
  </si>
  <si>
    <t>earlyAccess</t>
  </si>
  <si>
    <t>mphone:other</t>
  </si>
  <si>
    <t>utm_source</t>
  </si>
  <si>
    <t>samsung</t>
  </si>
  <si>
    <t>mphone:mphone</t>
  </si>
  <si>
    <t>utm_medium</t>
  </si>
  <si>
    <t>email</t>
  </si>
  <si>
    <t>tv:other</t>
  </si>
  <si>
    <t>utm_campaign</t>
  </si>
  <si>
    <t>home_app:other</t>
  </si>
  <si>
    <t>marsLinkCategory</t>
  </si>
  <si>
    <t>homeapp:other</t>
  </si>
  <si>
    <t>cid</t>
  </si>
  <si>
    <t>cpu:other</t>
  </si>
  <si>
    <t>general:general</t>
  </si>
  <si>
    <t>mphone:tablet</t>
  </si>
  <si>
    <t>url</t>
  </si>
  <si>
    <t>pay_later_url</t>
  </si>
  <si>
    <t>https://www.samsung.com/us/financing/</t>
  </si>
  <si>
    <t>free_shipping_url</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</si>
  <si>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</si>
  <si>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</si>
  <si>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</si>
  <si>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</si>
  <si>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</si>
  <si>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</si>
  <si>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</si>
  <si>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</si>
  <si>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</si>
  <si>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</si>
  <si>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</si>
  <si>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</si>
  <si>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</si>
  <si>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facebook_url</t>
  </si>
  <si>
    <t>https://www.facebook.com/SamsungUS</t>
  </si>
  <si>
    <t>instagram_url</t>
  </si>
  <si>
    <t>https://www.instagram.com/samsungus/</t>
  </si>
  <si>
    <t>twitter_url</t>
  </si>
  <si>
    <t>https://twitter.com/samsungus</t>
  </si>
  <si>
    <t>youtube_url</t>
  </si>
  <si>
    <t>https://www.youtube.com/user/samsungmobileusa</t>
  </si>
  <si>
    <t>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t>
  </si>
  <si>
    <t>cw_offers_11242020</t>
  </si>
  <si>
    <t>cw_12012020</t>
  </si>
  <si>
    <t>holiday_deals_rev_11182020</t>
  </si>
  <si>
    <t>https://www.samsung.com/us/watches/galaxy-watch3/buy/?modelCode=SM-R840NTKAXAR</t>
  </si>
  <si>
    <t>cw_11242020</t>
  </si>
  <si>
    <t>holiday_deals_t3_11172020</t>
  </si>
  <si>
    <t>RESERVERS - Generic Version Shop phones (1 module)</t>
  </si>
  <si>
    <t>NON - RESERVERS - Generic Version Shop phones (1 module)</t>
  </si>
  <si>
    <t>RESERVERS Shop all wearables (1 module)</t>
  </si>
  <si>
    <t>NON RESERVERS Shop all wearables (1 module)</t>
  </si>
  <si>
    <t>RESERVERS Shop all Computing (1 module)</t>
  </si>
  <si>
    <t>NON RESERVERS Shop all Computing (1 module)</t>
  </si>
  <si>
    <t>https://www.samsung.com/us/support/order-help/#SHIPPINGANDPAYMENTS</t>
  </si>
  <si>
    <t>https://www.samsung.com/us/smartphones/galaxy-z-fold2-5g/buy/</t>
  </si>
  <si>
    <t>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t>
  </si>
  <si>
    <t>Eyebrow</t>
  </si>
  <si>
    <t>CE_COMPUTER
MB_TABLET</t>
  </si>
  <si>
    <t>MB_WEAR
MB_ACCESSORY</t>
  </si>
  <si>
    <t>DD</t>
  </si>
  <si>
    <t>CTA 1</t>
  </si>
  <si>
    <t>URL 1</t>
  </si>
  <si>
    <t>Deeplink 1</t>
  </si>
  <si>
    <t>S20/+/U $200/$250/$200 IR</t>
  </si>
  <si>
    <t xml:space="preserve">Get up to $250 off select Galaxy S20 5G </t>
  </si>
  <si>
    <t>Buy now</t>
  </si>
  <si>
    <t>https://www.samsung.com/us/mobile/galaxy-s20-5g/buy/galaxy-s20-5g-128gb-unlocked-sm-g981uzaaxaa/</t>
  </si>
  <si>
    <t>Zfold Enhanced &amp; Cracked Screen Trade-in Up to $1000 </t>
  </si>
  <si>
    <t>23_IM_HeadImage_MB_Fold-500xV.jpg</t>
  </si>
  <si>
    <t xml:space="preserve">Get up to 50% off Galaxy Z Fold2 5G </t>
  </si>
  <si>
    <t xml:space="preserve">A71 5G TMO/VZN </t>
  </si>
  <si>
    <t>24-IM-A71-A51-HeadImage-500xV.jpg</t>
  </si>
  <si>
    <t>Get 50% off Galaxy A71 5G with T-Mobile and Verizon</t>
  </si>
  <si>
    <t xml:space="preserve">Save up to $250 instantly and get $75 or more trade-in credit. Treat yourself to blazing fast 5G speeds and incredible features at an amazing value. </t>
  </si>
  <si>
    <t>https://www.samsung.com/us/mobile/phones/galaxy-a/buy/?link=galaxy-a71-5g</t>
  </si>
  <si>
    <t>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</si>
  <si>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t>
  </si>
  <si>
    <r>
      <t>Holiday BBY NC Tab S7/S7+ $100/</t>
    </r>
    <r>
      <rPr>
        <b/>
        <sz val="11"/>
        <rFont val="Calibri"/>
        <family val="2"/>
        <scheme val="minor"/>
      </rPr>
      <t xml:space="preserve">$150 IR </t>
    </r>
    <r>
      <rPr>
        <sz val="11"/>
        <rFont val="Calibri"/>
        <family val="2"/>
        <scheme val="minor"/>
      </rPr>
      <t xml:space="preserve">
(combinable w/ ETI #1885?)</t>
    </r>
  </si>
  <si>
    <t>Save up to $150 on Galaxy Tab S7</t>
  </si>
  <si>
    <t xml:space="preserve">Now from only $549.99. </t>
  </si>
  <si>
    <t>Designed for work and perfect for play, Galaxy Tab S7 or Tab S7+ is everything you love in one tablet</t>
  </si>
  <si>
    <t>https://www.samsung.com/us/tablets/tab-s7/buy/</t>
  </si>
  <si>
    <t>Holiday Galaxy Book Flex (12/07 - 12/20) WK47/WK48 - $200 IR</t>
  </si>
  <si>
    <t>Get $200 off Galaxy Book Flex or Book Flex Alpha</t>
  </si>
  <si>
    <t xml:space="preserve">Take mobile computing to the next level with a power-packed, 2-in-1 convertible design. </t>
  </si>
  <si>
    <t>https://www.samsung.com/us/computing/buy/?skipDevice=galaxy-book-flex</t>
  </si>
  <si>
    <r>
      <t xml:space="preserve">Holiday BBY NC Tab S6 Lite </t>
    </r>
    <r>
      <rPr>
        <b/>
        <sz val="11"/>
        <rFont val="Calibri"/>
        <family val="2"/>
        <scheme val="minor"/>
      </rPr>
      <t xml:space="preserve">10.4" </t>
    </r>
    <r>
      <rPr>
        <sz val="11"/>
        <rFont val="Calibri"/>
        <family val="2"/>
        <scheme val="minor"/>
      </rPr>
      <t>$100 IR (12/07-12/27)</t>
    </r>
  </si>
  <si>
    <t>Save $100 on Galaxy Tab S6 Lite</t>
  </si>
  <si>
    <t>Effortlessly create, edit, and navigate with the included S Pen – work and play with equal freedom.</t>
  </si>
  <si>
    <t>https://www.samsung.com/us/mobile/tablets/buy/?modelCode=SM-P610NZAEXAR</t>
  </si>
  <si>
    <t>37_HE_CE_Computing_Monitor_HeadImage_500xV.jpg</t>
  </si>
  <si>
    <t>Get up to 20% off monitors</t>
  </si>
  <si>
    <t xml:space="preserve">No matter how hard you work or how hard you play, our wide array of monitors will deliver with stunning sharpness, minimal lag and more. </t>
  </si>
  <si>
    <t>https://www.samsung.com/us/computing/monitors/all-monitors/?shop=Buy+Online</t>
  </si>
  <si>
    <t>Save $30 on Galaxy Buds Live</t>
  </si>
  <si>
    <t>Give the gift of a truly immersive listening experience with the newest shape of true wireless earbuds.</t>
  </si>
  <si>
    <t>https://www.samsung.com/us/mobile/audio/headphones/galaxy-buds-live-mystic-bronze-sm-r180nznaxar/</t>
  </si>
  <si>
    <t>BLUE = BAD TIMING/NEEDS DISCUSSION</t>
  </si>
  <si>
    <t>UPDATES FROM CM REVIEW</t>
  </si>
  <si>
    <t>BLACK = FROM PREVIOUS TOUCH</t>
  </si>
  <si>
    <t>RED = Missing info/needs confirmation</t>
  </si>
  <si>
    <t>Reservers</t>
  </si>
  <si>
    <t>Start Date</t>
  </si>
  <si>
    <t>End Date</t>
  </si>
  <si>
    <t>Category</t>
  </si>
  <si>
    <t>Sub-category</t>
  </si>
  <si>
    <t>Business Priority</t>
  </si>
  <si>
    <t>Offer</t>
  </si>
  <si>
    <t>Subhead</t>
  </si>
  <si>
    <t>Deeplink 2</t>
  </si>
  <si>
    <t>HHP</t>
  </si>
  <si>
    <t>MB</t>
  </si>
  <si>
    <t>MB_GALAXY</t>
  </si>
  <si>
    <t>MB_FOLD</t>
  </si>
  <si>
    <t>TABLETS &amp; COMPUTING</t>
  </si>
  <si>
    <t>MB_TABLET</t>
  </si>
  <si>
    <t>CE_COMPUTER</t>
  </si>
  <si>
    <t>39_HE_CE_Computer_MemoryCards_HeadImage-500xV.jpg</t>
  </si>
  <si>
    <t>Prepare for holiday photo ops, the latest app and more with more memory.</t>
  </si>
  <si>
    <t>https://www.samsung.com/us/computing/memory-storage/memory-cards/</t>
  </si>
  <si>
    <t>Save up to 30% on USBs (BF Price)</t>
  </si>
  <si>
    <t>WATCHES &amp; AUDIO</t>
  </si>
  <si>
    <t>MB_WEAR</t>
  </si>
  <si>
    <t>NULL</t>
  </si>
  <si>
    <t>targetData.version</t>
  </si>
  <si>
    <t>Segments</t>
  </si>
  <si>
    <t>targetData.prodFmly1</t>
  </si>
  <si>
    <t>targetData.prodFmly2</t>
  </si>
  <si>
    <t>targetData.prodFmly3</t>
  </si>
  <si>
    <t>targetData.segmentCode</t>
  </si>
  <si>
    <t>targetData.Cell_Name</t>
  </si>
  <si>
    <t>Subject Line</t>
  </si>
  <si>
    <t>Preheader</t>
  </si>
  <si>
    <t>Banner 1 Name</t>
  </si>
  <si>
    <t xml:space="preserve">Banner 1 - Image Path </t>
  </si>
  <si>
    <t>Banner 1 - Headline Copy</t>
  </si>
  <si>
    <t>Banner 1 - Subhead Copy</t>
  </si>
  <si>
    <t xml:space="preserve">Banner 1 - Subcopy </t>
  </si>
  <si>
    <t xml:space="preserve">Banner 1 - CTA Copy </t>
  </si>
  <si>
    <t xml:space="preserve">Banner 1 - CTA Link </t>
  </si>
  <si>
    <t xml:space="preserve">Banner 1 - CTA Deeplink </t>
  </si>
  <si>
    <t xml:space="preserve">Banner 1 - CTA 2 Link </t>
  </si>
  <si>
    <t xml:space="preserve">Banner 1 - CTA 2 Deeplink </t>
  </si>
  <si>
    <t>Banner 2 Name</t>
  </si>
  <si>
    <t xml:space="preserve">Banner 2 - Image Path </t>
  </si>
  <si>
    <t>Banner 2 - Headline Copy</t>
  </si>
  <si>
    <t>Banner 2 - Subhead Copy</t>
  </si>
  <si>
    <t xml:space="preserve">Banner 2 - Subcopy </t>
  </si>
  <si>
    <t xml:space="preserve">Banner 2 - CTA Copy </t>
  </si>
  <si>
    <t xml:space="preserve">Banner 2 - CTA Link </t>
  </si>
  <si>
    <t xml:space="preserve">Banner 2 - CTA Deeplink </t>
  </si>
  <si>
    <t xml:space="preserve">Banner 2 - CTA 2Copy </t>
  </si>
  <si>
    <t xml:space="preserve">Banner 2 - CTA 2 Link </t>
  </si>
  <si>
    <t xml:space="preserve">Banner 2 - CTA 2 Deeplink </t>
  </si>
  <si>
    <t>End Time</t>
  </si>
  <si>
    <t>Banner 3 Name</t>
  </si>
  <si>
    <t xml:space="preserve">Banner 3 - Image Path </t>
  </si>
  <si>
    <t>Banner 3 - Headline Copy</t>
  </si>
  <si>
    <t>Banner 3 - Subhead Copy</t>
  </si>
  <si>
    <t xml:space="preserve">Banner 3 - Subcopy </t>
  </si>
  <si>
    <t xml:space="preserve">Banner 3 - CTA Copy </t>
  </si>
  <si>
    <t xml:space="preserve">Banner 3 - CTA Link </t>
  </si>
  <si>
    <t xml:space="preserve">Banner 3 - CTA Deeplink </t>
  </si>
  <si>
    <t xml:space="preserve">Banner 3 - CTA 2 Copy </t>
  </si>
  <si>
    <t xml:space="preserve">Banner 3 - CTA 2 Link </t>
  </si>
  <si>
    <t xml:space="preserve">Banner 3 - CTA 2 Deeplink </t>
  </si>
  <si>
    <t>Banner 4 Name</t>
  </si>
  <si>
    <t xml:space="preserve">Banner 4 - Image Path </t>
  </si>
  <si>
    <t>Banner 4 - Headline Copy</t>
  </si>
  <si>
    <t>Banner 4 - Subhead Copy</t>
  </si>
  <si>
    <t xml:space="preserve">Banner 4 - Subcopy </t>
  </si>
  <si>
    <t xml:space="preserve">Banner 4 - CTA Copy </t>
  </si>
  <si>
    <t xml:space="preserve">Banner 4 - CTA Link </t>
  </si>
  <si>
    <t xml:space="preserve">Banner 4 - CTA Deeplink </t>
  </si>
  <si>
    <t xml:space="preserve">Banner 4 - CTA 2 Copy </t>
  </si>
  <si>
    <t xml:space="preserve">Banner 4 - CTA 2 Link </t>
  </si>
  <si>
    <t xml:space="preserve">Banner 4 - CTA 2 Deeplink </t>
  </si>
  <si>
    <t>Banner 5 Name</t>
  </si>
  <si>
    <t xml:space="preserve">Banner 5 - Image Path </t>
  </si>
  <si>
    <t>Banner 5 - Headline Copy</t>
  </si>
  <si>
    <t>Banner 5 - Subhead Copy</t>
  </si>
  <si>
    <t xml:space="preserve">Banner 5 - Subcopy </t>
  </si>
  <si>
    <t xml:space="preserve">Banner 5 - CTA Copy </t>
  </si>
  <si>
    <t xml:space="preserve">Banner 5 - CTA Link </t>
  </si>
  <si>
    <t xml:space="preserve">Banner 5 - CTA Deeplink </t>
  </si>
  <si>
    <t xml:space="preserve">Banner 5 - CTA 2 Copy </t>
  </si>
  <si>
    <t xml:space="preserve">Banner 5 - CTA 2 Link </t>
  </si>
  <si>
    <t xml:space="preserve">Banner 5- CTA 2 Deeplink </t>
  </si>
  <si>
    <t>Banner 6 Name</t>
  </si>
  <si>
    <t xml:space="preserve">Banner 6 - Image Path </t>
  </si>
  <si>
    <t>Banner 6 - Headline Copy</t>
  </si>
  <si>
    <t>Banner 6 - Subhead Copy</t>
  </si>
  <si>
    <t xml:space="preserve">Banner 6 - Subcopy </t>
  </si>
  <si>
    <t xml:space="preserve">Banner 6 - CTA Copy </t>
  </si>
  <si>
    <t xml:space="preserve">Banner 6 - CTA Link </t>
  </si>
  <si>
    <t xml:space="preserve">Banner 6 - CTA Deeplink </t>
  </si>
  <si>
    <t xml:space="preserve">Banner 6 - CTA 2 Copy </t>
  </si>
  <si>
    <t xml:space="preserve">Banner 6 - CTA 2 Link </t>
  </si>
  <si>
    <t xml:space="preserve">Banner 6 - CTA 2 Deeplink </t>
  </si>
  <si>
    <t>Banner 7 Name</t>
  </si>
  <si>
    <t xml:space="preserve">Banner 7 - Image Path </t>
  </si>
  <si>
    <t>Banner 7 - Headline Copy</t>
  </si>
  <si>
    <t>Banner 7 - Subhead Copy</t>
  </si>
  <si>
    <t xml:space="preserve">Banner 7 - Subcopy </t>
  </si>
  <si>
    <t xml:space="preserve">Banner 7 - CTA Copy </t>
  </si>
  <si>
    <t xml:space="preserve">Banner 7 - CTA Link </t>
  </si>
  <si>
    <t xml:space="preserve">Banner 7 - CTA Deeplink </t>
  </si>
  <si>
    <t xml:space="preserve">Banner 7 - CTA 2  Copy </t>
  </si>
  <si>
    <t xml:space="preserve">Banner 7 - CTA 2 Link </t>
  </si>
  <si>
    <t xml:space="preserve">Banner 7 - CTA 2 Deeplink </t>
  </si>
  <si>
    <t>Banner 8 Name</t>
  </si>
  <si>
    <t xml:space="preserve">Banner 8 - Image Path </t>
  </si>
  <si>
    <t>Banner 8 - Headline Copy</t>
  </si>
  <si>
    <t>Banner 8 - Subhead Copy</t>
  </si>
  <si>
    <t xml:space="preserve">Banner 8 - Subcopy </t>
  </si>
  <si>
    <t xml:space="preserve">Banner 8 - CTA Copy </t>
  </si>
  <si>
    <t xml:space="preserve">Banner 8 - CTA Link </t>
  </si>
  <si>
    <t xml:space="preserve">Banner 8 - CTA Deeplink </t>
  </si>
  <si>
    <t xml:space="preserve">Banner 8 - CTA 2 Copy </t>
  </si>
  <si>
    <t xml:space="preserve">Banner 8 - CTA 2 Link </t>
  </si>
  <si>
    <t xml:space="preserve">Banner 8 - CTA 2 Deeplink </t>
  </si>
  <si>
    <t>Banner 9 Name</t>
  </si>
  <si>
    <t xml:space="preserve">Banner 9 - Image Path </t>
  </si>
  <si>
    <t>Banner 9 - Headline Copy</t>
  </si>
  <si>
    <t>Banner 9 - Subhead Copy</t>
  </si>
  <si>
    <t xml:space="preserve">Banner 9 - Subcopy </t>
  </si>
  <si>
    <t xml:space="preserve">Banner 9 - CTA Copy </t>
  </si>
  <si>
    <t xml:space="preserve">Banner 9 - CTA Link </t>
  </si>
  <si>
    <t xml:space="preserve">Banner 9 - CTA Deeplink </t>
  </si>
  <si>
    <t xml:space="preserve">Banner 9 - CTA 2 Copy </t>
  </si>
  <si>
    <t xml:space="preserve">Banner 9 - CTA 2 Link </t>
  </si>
  <si>
    <t xml:space="preserve">Banner 9 - CTA 2 Deeplink </t>
  </si>
  <si>
    <t>Banner 10 Name</t>
  </si>
  <si>
    <t xml:space="preserve">Banner 10 - Image Path </t>
  </si>
  <si>
    <t>Banner 10 - Headline Copy</t>
  </si>
  <si>
    <t>Banner 10 - Subhead Copy</t>
  </si>
  <si>
    <t xml:space="preserve">Banner 10 - Subcopy </t>
  </si>
  <si>
    <t xml:space="preserve">Banner 10 - CTA Copy </t>
  </si>
  <si>
    <t xml:space="preserve">Banner 10 - CTA Link </t>
  </si>
  <si>
    <t xml:space="preserve">Banner 10 - CTA Deeplink </t>
  </si>
  <si>
    <t xml:space="preserve">Banner 10 - CTA 2 Copy </t>
  </si>
  <si>
    <t xml:space="preserve">Banner 10 - CTA 2 Link </t>
  </si>
  <si>
    <t xml:space="preserve">Banner 10 - CTA 2 Deeplink </t>
  </si>
  <si>
    <t>Banner 11 Name</t>
  </si>
  <si>
    <t xml:space="preserve">Banner 11 - Image Path </t>
  </si>
  <si>
    <t>Banner 11 - Headline Copy</t>
  </si>
  <si>
    <t>Banner 11 - Subhead Copy</t>
  </si>
  <si>
    <t xml:space="preserve">Banner 11 - Subcopy </t>
  </si>
  <si>
    <t xml:space="preserve">Banner 11 - CTA Copy </t>
  </si>
  <si>
    <t xml:space="preserve">Banner 11 - CTA Link </t>
  </si>
  <si>
    <t xml:space="preserve">Banner 11 - CTA Deeplink </t>
  </si>
  <si>
    <t xml:space="preserve">Banner 11 - CTA 2 Copy </t>
  </si>
  <si>
    <t xml:space="preserve">Banner 11 - CTA 2 Link </t>
  </si>
  <si>
    <t xml:space="preserve">Banner 11 - CTA 2 Deeplink </t>
  </si>
  <si>
    <t>Banner 12 Name</t>
  </si>
  <si>
    <t xml:space="preserve">Banner 12 - Image Path </t>
  </si>
  <si>
    <t>Banner 12 - Headline Copy</t>
  </si>
  <si>
    <t>Banner 12 - Subhead Copy</t>
  </si>
  <si>
    <t xml:space="preserve">Banner 12 - Subcopy </t>
  </si>
  <si>
    <t xml:space="preserve">Banner 12 - CTA Copy </t>
  </si>
  <si>
    <t xml:space="preserve">Banner 12 - CTA Link </t>
  </si>
  <si>
    <t xml:space="preserve">Banner 12 - CTA Deeplink </t>
  </si>
  <si>
    <t xml:space="preserve">Banner 12 - CTA 2 Copy </t>
  </si>
  <si>
    <t xml:space="preserve">Banner 12 - CTA 2 Link </t>
  </si>
  <si>
    <t xml:space="preserve">Banner 12 - CTA 2 Deeplink </t>
  </si>
  <si>
    <t>Banner 13 Name</t>
  </si>
  <si>
    <t xml:space="preserve">Banner 13 - Image Path </t>
  </si>
  <si>
    <t>Banner 13 - Headline Copy</t>
  </si>
  <si>
    <t>Banner 13 - Subhead Copy</t>
  </si>
  <si>
    <t xml:space="preserve">Banner 13 - Subcopy </t>
  </si>
  <si>
    <t xml:space="preserve">Banner 13 - CTA Copy </t>
  </si>
  <si>
    <t xml:space="preserve">Banner 13 - CTA Link </t>
  </si>
  <si>
    <t xml:space="preserve">Banner 13 - CTA Deeplink </t>
  </si>
  <si>
    <t xml:space="preserve">Banner 13 - CTA 2 Copy </t>
  </si>
  <si>
    <t xml:space="preserve">Banner 13 - CTA 2 Link </t>
  </si>
  <si>
    <t xml:space="preserve">Banner 13 - CTA 2 Deeplink </t>
  </si>
  <si>
    <t>Banner 14 Name</t>
  </si>
  <si>
    <t xml:space="preserve">Banner 14 - Image Path </t>
  </si>
  <si>
    <t>Banner 14 - Headline Copy</t>
  </si>
  <si>
    <t>Banner 14 - Subhead Copy</t>
  </si>
  <si>
    <t xml:space="preserve">Banner 14 - Subcopy </t>
  </si>
  <si>
    <t xml:space="preserve">Banner 14 - CTA Copy </t>
  </si>
  <si>
    <t xml:space="preserve">Banner 14 - CTA Link </t>
  </si>
  <si>
    <t xml:space="preserve">Banner 14 - CTA Deeplink </t>
  </si>
  <si>
    <t xml:space="preserve">Banner 14 - CTA 2 Copy </t>
  </si>
  <si>
    <t xml:space="preserve">Banner 14 - CTA 2 Link </t>
  </si>
  <si>
    <t xml:space="preserve">Banner 14 - CTA 2 Deeplink </t>
  </si>
  <si>
    <t>Banner 15 Name</t>
  </si>
  <si>
    <t xml:space="preserve">Banner 15 - Image Path </t>
  </si>
  <si>
    <t>Banner 15 - Headline Copy</t>
  </si>
  <si>
    <t>Banner 15 - Subhead Copy</t>
  </si>
  <si>
    <t xml:space="preserve">Banner 15 - Subcopy </t>
  </si>
  <si>
    <t xml:space="preserve">Banner 15 - CTA Copy </t>
  </si>
  <si>
    <t xml:space="preserve">Banner 15 - CTA Link </t>
  </si>
  <si>
    <t xml:space="preserve">Banner 15 - CTA Deeplink </t>
  </si>
  <si>
    <t xml:space="preserve">Banner 15 - CTA 2 Copy </t>
  </si>
  <si>
    <t xml:space="preserve">Banner 15 - CTA 2 Link </t>
  </si>
  <si>
    <t xml:space="preserve">Banner 15 - CTA 2 Deeplink </t>
  </si>
  <si>
    <t>MB_GALAXY
MB_FOLD
MB_NOTE
MB_MID</t>
  </si>
  <si>
    <t>P1</t>
  </si>
  <si>
    <t xml:space="preserve">[FIRST_NAME], order by Dec 19 to get the latest smartphones and more.  </t>
  </si>
  <si>
    <t>Shop the perfect last-minute gifts for delivery by Dec 25, just in time.</t>
  </si>
  <si>
    <t>Hero &amp; Countdown Timer IMAGE</t>
  </si>
  <si>
    <t>11:59PM</t>
  </si>
  <si>
    <t>Hero &amp; Countdown Timer Copy</t>
  </si>
  <si>
    <t xml:space="preserve">CC Mobile </t>
  </si>
  <si>
    <t xml:space="preserve">CC Wearable </t>
  </si>
  <si>
    <t xml:space="preserve">CC Computing </t>
  </si>
  <si>
    <t>CC TV &amp; HA</t>
  </si>
  <si>
    <t>Gift Guide</t>
  </si>
  <si>
    <t>TC1</t>
  </si>
  <si>
    <t>Non_Reservers</t>
  </si>
  <si>
    <t>P2</t>
  </si>
  <si>
    <t xml:space="preserve">[FIRST_NAME], order by Dec 19 to get the latest watches, earbuds and more.  </t>
  </si>
  <si>
    <t>P3</t>
  </si>
  <si>
    <t xml:space="preserve">[FIRST_NAME], order by Dec 19 to get the latest tablets, laptops and more.  </t>
  </si>
  <si>
    <t>Segment</t>
  </si>
  <si>
    <t>EPP_Reservers</t>
  </si>
  <si>
    <t>EPP Banner</t>
  </si>
  <si>
    <t>EPP_NonReservers</t>
  </si>
  <si>
    <t>P4</t>
  </si>
  <si>
    <t xml:space="preserve">[FIRST_NAME], shop the perfect last-minute gifts just in time. </t>
  </si>
  <si>
    <t>Act fast to save and get the perfect smartphone, like  Galaxy Z Fold2 5G, before Dec 25.</t>
  </si>
  <si>
    <t>Fold</t>
  </si>
  <si>
    <t>S20</t>
  </si>
  <si>
    <t>A71</t>
  </si>
  <si>
    <t>CPO</t>
  </si>
  <si>
    <t>TC2</t>
  </si>
  <si>
    <t>TC3</t>
  </si>
  <si>
    <t xml:space="preserve">[FIRST_NAME], order by Dec 19 to get Galaxy Z Fold2 5G and more.  </t>
  </si>
  <si>
    <t>Shop the perfect last-minute smartphone gifts for delivery by Dec 25, just in time.</t>
  </si>
  <si>
    <t>P5</t>
  </si>
  <si>
    <t xml:space="preserve">[FIRST_NAME], order by Dec 19 to get Galaxy S20 5G and more.  </t>
  </si>
  <si>
    <t>MB_MID</t>
  </si>
  <si>
    <t>P6</t>
  </si>
  <si>
    <t xml:space="preserve">[FIRST_NAME], order by Dec 19 to get Galaxy A71 5G with Verizon or T-Mobile and more.  </t>
  </si>
  <si>
    <t xml:space="preserve">[FIRST_NAME], order by Dec 19 to get Galaxy Tab S7, Book Flex, Tab S6 Lite and more.  </t>
  </si>
  <si>
    <t>Tab S7</t>
  </si>
  <si>
    <t>Tab S6</t>
  </si>
  <si>
    <t>Monitors</t>
  </si>
  <si>
    <t>Memory Cards</t>
  </si>
  <si>
    <t xml:space="preserve">P2 </t>
  </si>
  <si>
    <t>[FIRST_NAME], order by Dec 19 to get Galaxy Buds Live, Watch3 Titanium, Watch3 and more.</t>
  </si>
  <si>
    <t>Shop the perfect last-minute, on-the-go gifts for delivery by Dec 25, just in time.</t>
  </si>
  <si>
    <t>Buds Live</t>
  </si>
  <si>
    <t>GW3 Titanium</t>
  </si>
  <si>
    <t>GW3</t>
  </si>
  <si>
    <t>GWA2</t>
  </si>
  <si>
    <t>106_IM_HeadImage_MB_Smartphones-500xV.jpg</t>
  </si>
  <si>
    <t>Get up to 50% off select, must-have smartphones</t>
  </si>
  <si>
    <t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t>
  </si>
  <si>
    <t>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t>
  </si>
  <si>
    <t xml:space="preserve">Take stunning pictures with Galaxy S20 5G, unfold a world of infinite possibilities with Galaxy Z Fold2 5G or get it all without breaking the bank with Galaxy A71 5G from Verizon and T-Mobile. </t>
  </si>
  <si>
    <t>RESERVERS TV &amp; HA(1 module)</t>
  </si>
  <si>
    <t>107_HeadImage_TV_HA_500xV.jpg</t>
  </si>
  <si>
    <t>Already checked your list twice?</t>
  </si>
  <si>
    <t xml:space="preserve">Shop great offers on TVs, soundbars and home appliances for delivery after December 25. </t>
  </si>
  <si>
    <t>Shop TV &amp; Audio</t>
  </si>
  <si>
    <t>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t>
  </si>
  <si>
    <t>Shop Home Appliances</t>
  </si>
  <si>
    <t>NON RESERVERS TV &amp; HA (1 module)</t>
  </si>
  <si>
    <t>108_ME_HeadImage_GW3_Buds_Live_500xV.jpg</t>
  </si>
  <si>
    <t>Find perfect gifts for someone on the go</t>
  </si>
  <si>
    <t>Get healthier in style with up to $60  off select watches or get tough with $100 off Galaxy Watch3 Titanium. Plus, create an audio oasis with $30 off Galaxy Buds Live.</t>
  </si>
  <si>
    <t>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t>
  </si>
  <si>
    <t>109_HeadImage_laptops_Monitor_Tablets_memory_cards_500xV.jpg</t>
  </si>
  <si>
    <t>Transform their space into a productive workplace</t>
  </si>
  <si>
    <t xml:space="preserve">Get up to $200 off select laptops, up to $150 off select tablets, up to 30% off monitors and up to 50% off memory cards. </t>
  </si>
  <si>
    <t>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t>
  </si>
  <si>
    <t>RESERVERS TV &amp; HA(1 module) 12.20 ON</t>
  </si>
  <si>
    <t xml:space="preserve">New Year. New home. </t>
  </si>
  <si>
    <t xml:space="preserve">Shop great offers on TVs, soundbars and home appliances and reinvent your home appliances and home entertainment for 2021. </t>
  </si>
  <si>
    <t>NON RESERVERS TV &amp; HA (1 module) 12.20 ON</t>
  </si>
  <si>
    <t>GRAY = Dropping due to end date/room</t>
  </si>
  <si>
    <t>110_IM_HeadImage_MB_Galaxy_500xV.jpg</t>
  </si>
  <si>
    <t>Now from only $13.62/mo for 36 mos&lt;sup&gt;⊕&lt;/sup&gt; or $489.99 with eligible trade-in.&lt;sup&gt;ᶿ&lt;/sup&gt;</t>
  </si>
  <si>
    <t xml:space="preserve">Get up to $250 off instantly and up to $310 trade-in credit&lt;sup&gt;ᶿ&lt;/sup&gt; toward your next Galaxy S20 5G, S20+ 5G or S20 Ultra 5G. </t>
  </si>
  <si>
    <t>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t>
  </si>
  <si>
    <t>Now from only $20.84/mo for 48 mos&lt;sup&gt;⊕&lt;/sup&gt; or $999.99 with eligible trade-in.&lt;sup&gt;ᶿ&lt;/sup&gt;</t>
  </si>
  <si>
    <t xml:space="preserve">Our best Galaxy Z Fold2 5G offer of the year. Get up to $1000 trade-in credit.&lt;sup&gt;ᶿ&lt;/sup&gt; </t>
  </si>
  <si>
    <t xml:space="preserve">Now from only $8.34/mo for 36 mos&lt;sup&gt;⊕&lt;/sup&gt; or $299.99 with eligible trade-in.&lt;sup&gt;ᶿ&lt;/sup&gt; </t>
  </si>
  <si>
    <t>111_CE_MB_TABLET_500xV.jpg</t>
  </si>
  <si>
    <t>https://shopsamsung.page.link?link=https%3A%2F%2Fwww.samsung.com%2Fus%2Ftablets%2Ftab-s7%2Fbuy%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tablets%2Ftab-s7%2Fbuy%2F%3FofferCID%3DearlyAccess%26utm_source%3Dsamsung%26utm_medium%3Demail%26utm_campaign%3Dcw_12042020%26marsLinkCategory%3D__MARSTRACKING__%26MKM_RID%3D__BPNUMBER__%26MKM_MID%3D__DELIVERNAME__%26cid%3D__CID____SEGMENTCODE__%26bpid%3D__BPNUMBER__&amp;efr=1</t>
  </si>
  <si>
    <t>112_CE_CE_COMPUTER_500xV.jpg</t>
  </si>
  <si>
    <t>Now from only $249.99 $999.99 with eligible trade-in.&lt;sup&gt;ᶿ&lt;/sup&gt;</t>
  </si>
  <si>
    <t>https://shopsamsung.page.link?link=https%3A%2F%2Fwww.samsung.com%2Fus%2Fcomputing%2Fbuy%2F%3FskipDevice%3Dgalaxy-book-flex%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computing%25252Fspace%25252Findex.html%25253FskipDevice%25253Dgalaxy-book-flex%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computing%2Fspace%2Findex.html%3FskipDevice%3Dgalaxy-book-flex%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computing%2Fbuy%2F%3FskipDevice%3Dgalaxy-book-flex%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buy%2F%3FskipDevice%3Dgalaxy-book-flex%26offerCID%3DearlyAccess%26utm_source%3Dsamsung%26utm_medium%3Demail%26utm_campaign%3Dcw_12042020%26marsLinkCategory%3D__MARSTRACKING__%26MKM_RID%3D__BPNUMBER__%26MKM_MID%3D__DELIVERNAME__%26cid%3D__CID____SEGMENTCODE__%26bpid%3D__BPNUMBER__&amp;efr=1</t>
  </si>
  <si>
    <t>113_CE_MB_TABLET_500xV.jpg</t>
  </si>
  <si>
    <r>
      <t xml:space="preserve">Now from only $174.99 </t>
    </r>
    <r>
      <rPr>
        <strike/>
        <sz val="11"/>
        <rFont val="Calibri"/>
        <family val="2"/>
        <scheme val="minor"/>
      </rPr>
      <t>$349.99</t>
    </r>
    <r>
      <rPr>
        <sz val="11"/>
        <rFont val="Calibri"/>
        <family val="2"/>
        <scheme val="minor"/>
      </rPr>
      <t xml:space="preserve"> with eligible trade-in.&lt;sup&gt;ᶿ&lt;/sup&gt;</t>
    </r>
  </si>
  <si>
    <t>https://shopsamsung.page.link?link=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efr=1</t>
  </si>
  <si>
    <t>Save up to 30% off Monitor</t>
  </si>
  <si>
    <t xml:space="preserve">Now from only $89.99 </t>
  </si>
  <si>
    <t>https://shopsamsung.page.link?link=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efr=1</t>
  </si>
  <si>
    <t>Save up to 50% on Memory Cards (BF Price)</t>
  </si>
  <si>
    <t>Get up to 50% off Memory Cards</t>
  </si>
  <si>
    <t>Now from only $6.99</t>
  </si>
  <si>
    <t>https://shopsamsung.page.link?link=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efr=1</t>
  </si>
  <si>
    <t>Save up to 30% on SSD</t>
  </si>
  <si>
    <t>Buds Live ($30 IR) 12/14-12/31</t>
  </si>
  <si>
    <t>114_ME_MB_WEAR_Buds_LIVE_500xV.jpg</t>
  </si>
  <si>
    <t>Now only $119.99 with eligible trade-in.&lt;sup&gt;ᶿ&lt;/sup&gt;</t>
  </si>
  <si>
    <t>https://shopsamsung.page.link?link=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efr=1</t>
  </si>
  <si>
    <t>Galaxy Watch 3 Titanium BT 45MM $100 IR</t>
  </si>
  <si>
    <t>115_ME_MB_WEAR_GW3_Titanium_500xV.jpg</t>
  </si>
  <si>
    <t xml:space="preserve">Get $100 off Galaxy Watch3 Titanium </t>
  </si>
  <si>
    <t>Now from only $299.99 with eligible trade-in.&lt;sup&gt;ᶿ&lt;/sup&gt;</t>
  </si>
  <si>
    <t>Own the Galaxy Watch as tough as you. Save $100 and up to $200, with eligible trade-in.&lt;sup&gt;ᶿ&lt;/sup&gt;</t>
  </si>
  <si>
    <t>https://shopsamsung.page.link?link=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efr=1</t>
  </si>
  <si>
    <t>Galaxy Watch 3 $60 IR</t>
  </si>
  <si>
    <t>116_ME_MB_WEAR_GW3_500xV.jpg</t>
  </si>
  <si>
    <t xml:space="preserve">Get $60 off Galaxy Watch3 </t>
  </si>
  <si>
    <t>Now from only $139.99 with eligible trade-in.&lt;sup&gt;ᶿ&lt;/sup&gt;</t>
  </si>
  <si>
    <t xml:space="preserve">Plus, create a style as unique as you in the new Samsung Design Studio and get 30% off a second watch band.  </t>
  </si>
  <si>
    <t>https://www.samsung.com/us/watches/galaxy-watch3/buy/</t>
  </si>
  <si>
    <t>https://shopsamsung.page.link?link=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efr=1</t>
  </si>
  <si>
    <t>Holiday Event - Galaxy Watch Active 2 LTE/BT ($50 IR)</t>
  </si>
  <si>
    <t>117_ME_MB_WEAR_GW2_500xV.jpg</t>
  </si>
  <si>
    <t>Save $50 on Galaxy Watch Active2</t>
  </si>
  <si>
    <t>Now from only $49.99 with eligible trade-in.&lt;sup&gt;ᶿ&lt;/sup&gt;</t>
  </si>
  <si>
    <t xml:space="preserve">Offer includes Galaxy Watch Active2 Under Armor and Golf Editions. Plus, save up to $150 with eligible trade-inᶿ and get more out of every mile. </t>
  </si>
  <si>
    <t>https://www.samsung.com/us/smartwatches-and-fitness-bands/galaxy-watch-active2/buy/</t>
  </si>
  <si>
    <t>https://shopsamsung.page.link?link=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efr=1</t>
  </si>
  <si>
    <t>LATE ADDITIONS</t>
  </si>
  <si>
    <t>?</t>
  </si>
  <si>
    <t>Save up to $75 instantly on select Certified Pre-owned devices</t>
  </si>
  <si>
    <t>110-CPO-HeadImage-500xV.jpg</t>
  </si>
  <si>
    <t xml:space="preserve">Starting from only $320. </t>
  </si>
  <si>
    <t xml:space="preserve">Refreshed with a brand new charger and accessories in the box, get some of our favorite phones like Galaxy S10, Note9 and more. Covered by a 12-month warranty, just like our new devices. </t>
  </si>
  <si>
    <t>https://www.samsung.com/us/search/searchMain/?listType=g&amp;searchTerm=cpo&amp;sort=relevance&amp;size=30&amp;item_type=Phones</t>
  </si>
  <si>
    <t>no equivalent URL</t>
  </si>
  <si>
    <t>12-4-20 Offer Updates</t>
  </si>
  <si>
    <t>https://shopsamsung.page.link?link=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efr=1</t>
  </si>
  <si>
    <t>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t>
  </si>
  <si>
    <t xml:space="preserve">Now from only only $8.34/mo for 36 mos&lt;sup&gt;⊕&lt;/sup&gt; or $299.99 with eligible trade-in.&lt;sup&gt;ᶿ&lt;/sup&gt; </t>
  </si>
  <si>
    <t>https://shopsamsung.page.link?link=https%3A%2F%2Fwww.samsung.com%2Fus%2Ftablets%2Ftab-s7%2Fbuy%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cw_12042020%23marsLinkCategory%3D__MARSTRACKING__%23MKM_RID%3D__BPNUMBER__%23MKM_MID%3D__DELIVERNAME__%23cid%3D__CID____SEGMENTCODE__%23bpid%3D__BPNUMBER__&amp;afl=https%3A%2F%2Fwww.samsung.com%2Fus%2Ftablets%2Ftab-s7%2Fbuy%2F%3Futm_source%3Dsamsung%26utm_medium%3Demail%26utm_campaign%3Dcw_12042020%26marsLinkCategory%3D__MARSTRACKING__%26MKM_RID%3D__BPNUMBER__%26MKM_MID%3D__DELIVERNAME__%26cid%3D__CID____SEGMENTCODE__%26bpid%3D__BPNUMBER__&amp;efr=1</t>
  </si>
  <si>
    <t>https://shopsamsung.page.link?link=https%3A%2F%2Fwww.samsung.com%2Fus%2Fcomputing%2Fbuy%2F%3FskipDevice%3Dgalaxy-book-flex%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computing%25252Fspace%25252Findex.html%25253FskipDevice%25253Dgalaxy-book-flex%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computing%2Fspace%2Findex.html%3FskipDevice%3Dgalaxy-book-flex%23utm_source%3Dsamsung%23utm_medium%3Demail%23utm_campaign%3Dcw_12042020%23marsLinkCategory%3D__MARSTRACKING__%23MKM_RID%3D__BPNUMBER__%23MKM_MID%3D__DELIVERNAME__%23cid%3D__CID____SEGMENTCODE__%23bpid%3D__BPNUMBER__&amp;afl=https%3A%2F%2Fwww.samsung.com%2Fus%2Fcomputing%2Fbuy%2F%3FskipDevice%3Dgalaxy-book-flex%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buy%2F%3FskipDevice%3Dgalaxy-book-flex%26utm_source%3Dsamsung%26utm_medium%3Demail%26utm_campaign%3Dcw_12042020%26marsLinkCategory%3D__MARSTRACKING__%26MKM_RID%3D__BPNUMBER__%26MKM_MID%3D__DELIVERNAME__%26cid%3D__CID____SEGMENTCODE__%26bpid%3D__BPNUMBER__&amp;efr=1</t>
  </si>
  <si>
    <t>https://shopsamsung.page.link?link=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efr=1</t>
  </si>
  <si>
    <t>https://shopsamsung.page.link?link=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efr=1</t>
  </si>
  <si>
    <t>https://shopsamsung.page.link?link=https%3A%2F%2Fwww.samsung.com%2Fus%2Fcomputing%2Fmemory-storage%2Fmemory-cards%2F%3F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utm_source%3Dsamsung%23utm_medium%3Demail%23utm_campaign%3Dcw_12042020%23marsLinkCategory%3D__MARSTRACKING__%23MKM_RID%3D__BPNUMBER__%23MKM_MID%3D__DELIVERNAME__%23cid%3D__CID____SEGMENTCODE__%23bpid%3D__BPNUMBER__&amp;afl=https%3A%2F%2Fwww.samsung.com%2Fus%2Fcomputing%2Fmemory-storage%2Fmemory-cards%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utm_source%3Dsamsung%26utm_medium%3Demail%26utm_campaign%3Dcw_12042020%26marsLinkCategory%3D__MARSTRACKING__%26MKM_RID%3D__BPNUMBER__%26MKM_MID%3D__DELIVERNAME__%26cid%3D__CID____SEGMENTCODE__%26bpid%3D__BPNUMBER__&amp;efr=1</t>
  </si>
  <si>
    <t>https://shopsamsung.page.link?link=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efr=1</t>
  </si>
  <si>
    <t>https://shopsamsung.page.link?link=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efr=1</t>
  </si>
  <si>
    <t>https://shopsamsung.page.link?link=https%3A%2F%2Fwww.samsung.com%2Fus%2Fwatches%2Fgalaxy-watch3%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23utm_source%3Dsamsung%23utm_medium%3Demail%23utm_campaign%3Dcw_12042020%23marsLinkCategory%3D__MARSTRACKING__%23MKM_RID%3D__BPNUMBER__%23MKM_MID%3D__DELIVERNAME__%23cid%3D__CID____SEGMENTCODE__%23bpid%3D__BPNUMBER__&amp;afl=https%3A%2F%2Fwww.samsung.com%2Fus%2Fwatches%2Fgalaxy-watch3%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utm_source%3Dsamsung%26utm_medium%3Demail%26utm_campaign%3Dcw_12042020%26marsLinkCategory%3D__MARSTRACKING__%26MKM_RID%3D__BPNUMBER__%26MKM_MID%3D__DELIVERNAME__%26cid%3D__CID____SEGMENTCODE__%26bpid%3D__BPNUMBER__&amp;efr=1</t>
  </si>
  <si>
    <t>https://shopsamsung.page.link?link=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efr=1</t>
  </si>
  <si>
    <t>no equivalent page</t>
  </si>
  <si>
    <t>eml-brd-mul-1220-3118-EPP_Reservers</t>
  </si>
  <si>
    <t>eml-brd-mul-1220-3118-EPP_NonReservers</t>
  </si>
  <si>
    <t>eml-brd-mul-1220-3118-Reservers</t>
  </si>
  <si>
    <t>eml-brd-mul-1220-3118-Non_Reservers</t>
  </si>
  <si>
    <t>Deployment name</t>
  </si>
  <si>
    <t>Holiday Last_Minute_Deals_T2</t>
  </si>
  <si>
    <t>Deployment Date</t>
  </si>
  <si>
    <t>User</t>
  </si>
  <si>
    <t>l1.singh</t>
  </si>
  <si>
    <t>Publish Date</t>
  </si>
  <si>
    <t>Primary Product</t>
  </si>
  <si>
    <t>All</t>
  </si>
  <si>
    <t>Aleternate Product</t>
  </si>
  <si>
    <t>Publish ID</t>
  </si>
  <si>
    <t>Deployment ID</t>
  </si>
  <si>
    <t>Global Suppressions</t>
  </si>
  <si>
    <t>1. Holiday Holdouts</t>
  </si>
  <si>
    <t>2. Universal Holdouts</t>
  </si>
  <si>
    <t>3. Blacklist and Quarantined addresses</t>
  </si>
  <si>
    <t>Waterfall Order</t>
  </si>
  <si>
    <t>Segment ID</t>
  </si>
  <si>
    <t>Segment Name</t>
  </si>
  <si>
    <t>Criteria/Filtering Conditions (all of the below could be considered 'OR' statements within one set of filtering conditions, but need to be split for personalization</t>
  </si>
  <si>
    <t>Creative Mapping</t>
  </si>
  <si>
    <t>SlineCode</t>
  </si>
  <si>
    <t>CID(if multiple deliveries)</t>
  </si>
  <si>
    <t>EPP_Reserver_Fold_DD</t>
  </si>
  <si>
    <t>Promotable users in the holiday_reserver adhoc file 
AND
Anyone in the EPP_ENROLLEE feed 
AND
from the holidaysegmentation feed where
[prod_fam_1  = 'MB_FOLD'  and prod_prop_1&gt;=7]
and 
[prod_fam_2 not in ('MB_GALAXY', 'MB_FOLD', 'MB_NOTE', 'MB_MID') and prod_prop_2&lt;=5</t>
  </si>
  <si>
    <t>EPP_Reserver_S_DD</t>
  </si>
  <si>
    <t>Promotable users in the holiday_reserver adhoc file 
AND
Anyone in the EPP_ENROLLEE feed 
AND
from the holidaysegmentation feed where
[prod_fam_1 in ('MB_GALAXY',  'MB_NOTE' ) and prod_prop_1&gt;=7]
and 
[prod_fam_2 not in ('MB_GALAXY', 'MB_FOLD', 'MB_NOTE', 'MB_MID') and prod_prop_2&lt;=5]</t>
  </si>
  <si>
    <t>EPP_Reserver_A71_DD</t>
  </si>
  <si>
    <t>Promotable users in the holiday_reserver adhoc file 
AND
Anyone in the EPP_ENROLLEE feed 
AND
from the holidaysegmentation feed where
[prod_fam_1 =  'MB_MID' and prod_prop_1&gt;=7]
and 
[prod_fam_2 not in ('MB_GALAXY', 'MB_FOLD', 'MB_NOTE', 'MB_MID') and prod_prop_2&lt;=5]</t>
  </si>
  <si>
    <t>EPP_Reserver_Wear_DD</t>
  </si>
  <si>
    <t>Anyone  in the holiday_reserver adhoc file 
AND
Anyone in the EPP_ENROLLEE feed 
AND
from the holidaysegmentation feed where
[prod_fam_1 in ('MB_WEAR', 'MB_ACCESSORY') and prod_prop_1&gt;=7] 
and 
[prod_fam_2 not in ('MB_WEAR', 'MB_ACCESSORY') and prod_prop_2&lt;=5]</t>
  </si>
  <si>
    <t>EPP_Reserver_CE_DD</t>
  </si>
  <si>
    <t>Anyone  in the holiday_reserver adhoc file 
AND
Anyone in the EPP_ENROLLEE feed 
AND
from the holidaysegmentation feed where
[prod_fam_1 = 'CE_COMPUTER' and prod_prop_1&gt;=7]
and 
[prod_fam_2 not like 'CE%' and prod_prop_2&lt;=5]</t>
  </si>
  <si>
    <t>EPP_Reserver_MB_CC</t>
  </si>
  <si>
    <t>Promotable users in the holiday_reserver adhoc file 
AND
Anyone in the EPP_ENROLLEE feed 
AND
from the holidaysegmentation feed where
[prod_fam_1 in ('MB_GALAXY', MB_FOLD', 'MB_NOTE', 'MB_MID' ) and prod_prop_1&gt;=6]</t>
  </si>
  <si>
    <t>EPP_Reserver_Wear_CC</t>
  </si>
  <si>
    <t xml:space="preserve">Promotable users in the holiday_reserver adhoc file 
AND
Anyone in the EPP_ENROLLEE feed 
AND
from the holidaysegmentation feed where
[prod_fam_1 in ('MB_WEAR', 'MB_ACCESSORY') and prod_prop_1&gt;=6] </t>
  </si>
  <si>
    <t>EPP_Reserver_TABCOM_CC</t>
  </si>
  <si>
    <t xml:space="preserve">Promotable users in the holiday_reserver adhoc file 
AND
Anyone in the EPP_ENROLLEE feed 
AND
from the holidaysegmentation feed where
[prod_fam_1 in ('CE_COMPUTER', 'MB_TABLET') and prod_prop_1&gt;=6] </t>
  </si>
  <si>
    <t>Reserver_Fold_DD</t>
  </si>
  <si>
    <t>Promotable users in the holiday_reserver adhoc file 
AND
from the holidaysegmentation feed where
[prod_fam_1  = 'MB_FOLD'  and prod_prop_1&gt;=7]
and 
[prod_fam_2 not in ('MB_GALAXY', 'MB_FOLD', 'MB_NOTE', 'MB_MID') and prod_prop_2&lt;=5</t>
  </si>
  <si>
    <t>Reserver_S_DD</t>
  </si>
  <si>
    <t>Promotable users in the holiday_reserver adhoc file 
AND
from the holidaysegmentation feed where
[prod_fam_1 in ('MB_GALAXY',  'MB_NOTE' ) and prod_prop_1&gt;=7]
and 
[prod_fam_2 not in ('MB_GALAXY', 'MB_FOLD', 'MB_NOTE', 'MB_MID') and prod_prop_2&lt;=5]</t>
  </si>
  <si>
    <t>Reserver_A71_DD</t>
  </si>
  <si>
    <t>Promotable users in the holiday_reserver adhoc file 
AND
from the holidaysegmentation feed where
[prod_fam_1 =  'MB_MID' and prod_prop_1&gt;=7]
and 
[prod_fam_2 not in ('MB_GALAXY', 'MB_FOLD', 'MB_NOTE', 'MB_MID') and prod_prop_2&lt;=5]</t>
  </si>
  <si>
    <t>Reserver_Wear_DD</t>
  </si>
  <si>
    <t>Anyone  in the holiday_reserver adhoc file 
AND
from the holidaysegmentation feed where
[prod_fam_1 in ('MB_WEAR', 'MB_ACCESSORY') and prod_prop_1&gt;=7] 
and 
[prod_fam_2 not in ('MB_WEAR', 'MB_ACCESSORY') and prod_prop_2&lt;=5]</t>
  </si>
  <si>
    <t>Reserver_CE_DD</t>
  </si>
  <si>
    <t>Anyone  in the holiday_reserver adhoc file 
AND
from the holidaysegmentation feed where
[prod_fam_1 = 'CE_COMPUTER' and prod_prop_1&gt;=7]
and 
[prod_fam_2 not like 'CE%' and prod_prop_2&lt;=5]</t>
  </si>
  <si>
    <t>Reserver_MB_CC</t>
  </si>
  <si>
    <t>Promotable users in the holiday_reserver adhoc file 
AND
from the holidaysegmentation feed where
[prod_fam_1 in ('MB_GALAXY', MB_FOLD', 'MB_NOTE', 'MB_MID' ) and prod_prop_1&gt;=6]</t>
  </si>
  <si>
    <t>50% Reserver_MB_CC (with timer)
50% Reserver_MB_CC (w/o timer)</t>
  </si>
  <si>
    <t>Reserver_Wear_CC</t>
  </si>
  <si>
    <t xml:space="preserve">Promotable users in the holiday_reserver adhoc file 
AND
from the holidaysegmentation feed where
[prod_fam_1 in ('MB_WEAR', 'MB_ACCESSORY') and prod_prop_1&gt;=6] </t>
  </si>
  <si>
    <t>Reserver_TABCOM_CC</t>
  </si>
  <si>
    <t xml:space="preserve">Promotable users in the holiday_reserver adhoc file 
AND
from the holidaysegmentation feed where
[prod_fam_1 in ('CE_COMPUTER', 'MB_TABLET') and prod_prop_1&gt;=6] </t>
  </si>
  <si>
    <t>Reserver_Catch-All</t>
  </si>
  <si>
    <t>Anyone  in the holiday_reserver adhoc file 
AND
from the holidaysegmentation feed where
 prod_prop_1&gt;=6]</t>
  </si>
  <si>
    <t>EPP_MB_CC</t>
  </si>
  <si>
    <t>Anyone in the EPP_ENROLLEE feed 
AND
from the holidaysegmentation feed where
[prod_fam_1 in ('MB_GALAXY', MB_FOLD', 'MB_NOTE', 'MB_MID' ) and prod_prop_1&gt;=6]</t>
  </si>
  <si>
    <t>EPP_Wear_CC</t>
  </si>
  <si>
    <t xml:space="preserve">Anyone in the EPP_ENROLLEE feed 
AND
from the holidaysegmentation feed where
[prod_fam_1 in ('MB_WEAR', 'MB_ACCESSORY') and prod_prop_1&gt;=6] </t>
  </si>
  <si>
    <t>EPP_TABCOM_CC</t>
  </si>
  <si>
    <t xml:space="preserve">Anyone in the EPP_ENROLLEE feed 
AND
from the holidaysegmentation feed where
[prod_fam_1 in ('CE_COMPUTER', 'MB_TABLET') and prod_prop_1&gt;=6] </t>
  </si>
  <si>
    <t>Fold_DD</t>
  </si>
  <si>
    <t>from the holidaysegmentation feed where
[prod_fam_1  = 'MB_FOLD'  and prod_prop_1&gt;=7]
and 
[prod_fam_2 not in ('MB_GALAXY', 'MB_FOLD', 'MB_NOTE', 'MB_MID') and prod_prop_2&lt;=5</t>
  </si>
  <si>
    <t>A71_DD</t>
  </si>
  <si>
    <t>from the holidaysegmentation feed where
[prod_fam_1 =  'MB_MID' and prod_prop_1&gt;=7]
and 
[prod_fam_2 not in ('MB_GALAXY', 'MB_FOLD', 'MB_NOTE', 'MB_MID') and prod_prop_2&lt;=5]</t>
  </si>
  <si>
    <t>Wear_DD</t>
  </si>
  <si>
    <t>from the holidaysegmentation feed where
[prod_fam_1 in ('MB_WEAR', 'MB_ACCESSORY') and prod_prop_1&gt;=7] 
and 
[prod_fam_2 not in ('MB_WEAR', 'MB_ACCESSORY') and prod_prop_2&lt;=5]</t>
  </si>
  <si>
    <t>CE_DD</t>
  </si>
  <si>
    <t>from the holidaysegmentation feed where
[prod_fam_1 = 'CE_COMPUTER' and prod_prop_1&gt;=7]
and 
[prod_fam_2 not like 'CE%' and prod_prop_2&lt;=5]</t>
  </si>
  <si>
    <t>MB_CC</t>
  </si>
  <si>
    <t>from the holidaysegmentation feed where
[prod_fam_1 in ('MB_GALAXY', MB_FOLD', 'MB_NOTE', 'MB_MID' ) and prod_prop_1&gt;=6]</t>
  </si>
  <si>
    <t>50% MB_CC (with timer)
50% MB_CC (w/o timer)</t>
  </si>
  <si>
    <t>Wear_CC</t>
  </si>
  <si>
    <t xml:space="preserve">from the holidaysegmentation feed where
[prod_fam_1 in ('MB_WEAR', 'MB_ACCESSORY') and prod_prop_1&gt;=6] </t>
  </si>
  <si>
    <t>TABCOM_CC</t>
  </si>
  <si>
    <t xml:space="preserve">from the holidaysegmentation feed where
[prod_fam_1 in ('CE_COMPUTER', 'MB_TABLET') and prod_prop_1&gt;=6] </t>
  </si>
  <si>
    <t>Catch-All</t>
  </si>
  <si>
    <t>Anyone from the holidaysegmentation feed where
prod_prop_1&gt;=6</t>
  </si>
  <si>
    <t>https://www.samsung.com/us/mobile/galaxy-s20-5g/buy/galaxy-s20-fe-5g-uw-128gb-unlocked-sm-g781uzrmxaa/</t>
  </si>
  <si>
    <t>https://www.samsung.com/us/shop/all-deals/tablets-laptops-computers-deals/</t>
  </si>
  <si>
    <t>https://www.samsung.com/us/shop/all-deals/watches-audio-accessories-deals/</t>
  </si>
  <si>
    <t>https://www.samsung.com/us/mobile/galaxy-s20-5g/buy/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</si>
</sst>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color theme="1"/>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sz val="11"/>
      <color theme="1"/>
      <name val="Calibri"/>
      <family val="2"/>
    </font>
    <font>
      <u/>
      <sz val="11"/>
      <name val="Calibri"/>
      <family val="2"/>
      <scheme val="minor"/>
    </font>
    <font>
      <sz val="11"/>
      <color theme="9"/>
      <name val="Calibri"/>
      <family val="2"/>
      <scheme val="minor"/>
    </font>
    <font>
      <u/>
      <sz val="11"/>
      <color theme="11"/>
      <name val="Calibri"/>
      <family val="2"/>
      <scheme val="minor"/>
    </font>
    <font>
      <strike/>
      <sz val="11"/>
      <name val="Calibri"/>
      <family val="2"/>
      <scheme val="minor"/>
    </font>
    <font>
      <sz val="11"/>
      <color rgb="FF172B4D"/>
      <name val="Segoe UI"/>
      <family val="2"/>
    </font>
    <font>
      <b/>
      <sz val="11"/>
      <name val="Calibri"/>
      <family val="2"/>
      <scheme val="minor"/>
    </font>
    <font>
      <b/>
      <sz val="11"/>
      <color theme="1"/>
      <name val="Calibri"/>
      <family val="2"/>
      <scheme val="minor"/>
    </font>
    <font>
      <sz val="11"/>
      <color theme="6"/>
      <name val="Calibri"/>
      <family val="2"/>
      <scheme val="minor"/>
    </font>
    <font>
      <sz val="11"/>
      <color theme="0" tint="-0.34998626667073579"/>
      <name val="Calibri"/>
      <family val="2"/>
      <scheme val="minor"/>
    </font>
    <font>
      <sz val="11"/>
      <color rgb="FFFF0000"/>
      <name val="Calibri"/>
      <family val="2"/>
      <scheme val="minor"/>
    </font>
    <font>
      <sz val="11"/>
      <name val="Calibri"/>
      <family val="2"/>
    </font>
    <font>
      <u/>
      <sz val="11"/>
      <color theme="9"/>
      <name val="Calibri"/>
      <family val="2"/>
      <scheme val="minor"/>
    </font>
    <font>
      <sz val="11"/>
      <color theme="4"/>
      <name val="Calibri"/>
      <family val="2"/>
      <scheme val="minor"/>
    </font>
    <font>
      <sz val="11"/>
      <color rgb="FF000000"/>
      <name val="Calibri"/>
      <family val="2"/>
      <scheme val="minor"/>
    </font>
    <font>
      <b/>
      <strike/>
      <sz val="11"/>
      <name val="Calibri"/>
      <family val="2"/>
      <scheme val="minor"/>
    </font>
    <font>
      <sz val="10"/>
      <name val="Segoe UI"/>
      <family val="2"/>
    </font>
    <font>
      <sz val="10.5"/>
      <color theme="0" tint="-0.34998626667073579"/>
      <name val="Segoe UI"/>
      <family val="2"/>
    </font>
    <font>
      <sz val="12"/>
      <color theme="1"/>
      <name val="Calibri"/>
      <family val="2"/>
      <scheme val="minor"/>
    </font>
    <font>
      <b/>
      <sz val="12"/>
      <color theme="1"/>
      <name val="Calibri"/>
      <family val="2"/>
      <scheme val="minor"/>
    </font>
    <font>
      <b/>
      <sz val="11"/>
      <name val="Calibri"/>
      <family val="2"/>
    </font>
    <font>
      <sz val="12"/>
      <color rgb="FF000000"/>
      <name val="Calibri"/>
      <family val="2"/>
      <scheme val="minor"/>
    </font>
  </fonts>
  <fills count="20">
    <fill>
      <patternFill patternType="none"/>
    </fill>
    <fill>
      <patternFill patternType="gray125"/>
    </fill>
    <fill>
      <patternFill patternType="solid">
        <fgColor rgb="FFFFEB9C"/>
      </patternFill>
    </fill>
    <fill>
      <patternFill patternType="solid">
        <fgColor rgb="FFFFCC99"/>
      </patternFill>
    </fill>
    <fill>
      <patternFill patternType="solid">
        <fgColor theme="1"/>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rgb="FFAD89C1"/>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rgb="FFBFBFBF"/>
        <bgColor rgb="FF000000"/>
      </patternFill>
    </fill>
    <fill>
      <patternFill patternType="solid">
        <fgColor theme="7" tint="0.79998168889431442"/>
        <bgColor indexed="64"/>
      </patternFill>
    </fill>
    <fill>
      <patternFill patternType="solid">
        <fgColor theme="4"/>
        <bgColor indexed="64"/>
      </patternFill>
    </fill>
    <fill>
      <patternFill patternType="solid">
        <fgColor rgb="FFFFC000"/>
        <bgColor indexed="64"/>
      </patternFill>
    </fill>
    <fill>
      <patternFill patternType="solid">
        <fgColor rgb="FFFFC000"/>
        <bgColor rgb="FF000000"/>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7">
    <xf numFmtId="0" fontId="0" fillId="0" borderId="0"/>
    <xf numFmtId="0" fontId="1" fillId="2" borderId="0" applyNumberFormat="0" applyBorder="0" applyAlignment="0" applyProtection="0"/>
    <xf numFmtId="0" fontId="2" fillId="3" borderId="1" applyNumberFormat="0" applyAlignment="0" applyProtection="0"/>
    <xf numFmtId="0" fontId="6" fillId="0" borderId="0" applyNumberFormat="0" applyFill="0" applyBorder="0" applyAlignment="0" applyProtection="0"/>
    <xf numFmtId="0" fontId="10" fillId="0" borderId="0" applyNumberFormat="0" applyFill="0" applyBorder="0" applyAlignment="0" applyProtection="0"/>
    <xf numFmtId="0" fontId="6" fillId="0" borderId="0"/>
    <xf numFmtId="0" fontId="25" fillId="0" borderId="0"/>
  </cellStyleXfs>
  <cellXfs count="170">
    <xf numFmtId="0" fontId="0" fillId="0" borderId="0" xfId="0"/>
    <xf numFmtId="0" fontId="0" fillId="0" borderId="0" xfId="0" applyAlignment="1">
      <alignment wrapText="1"/>
    </xf>
    <xf numFmtId="0" fontId="4" fillId="4" borderId="0" xfId="0" applyFont="1" applyFill="1"/>
    <xf numFmtId="0" fontId="4" fillId="4" borderId="0" xfId="1" applyFont="1" applyFill="1"/>
    <xf numFmtId="0" fontId="4" fillId="4" borderId="2" xfId="1" applyFont="1" applyFill="1" applyBorder="1"/>
    <xf numFmtId="0" fontId="4" fillId="4" borderId="3" xfId="1" applyFont="1" applyFill="1" applyBorder="1"/>
    <xf numFmtId="0" fontId="4" fillId="0" borderId="0" xfId="0" applyFont="1"/>
    <xf numFmtId="0" fontId="0" fillId="0" borderId="4" xfId="0" applyBorder="1" applyAlignment="1">
      <alignment wrapText="1"/>
    </xf>
    <xf numFmtId="0" fontId="0" fillId="0" borderId="5" xfId="0" applyBorder="1" applyAlignment="1">
      <alignment wrapText="1"/>
    </xf>
    <xf numFmtId="0" fontId="6" fillId="0" borderId="0" xfId="3" applyFill="1" applyAlignment="1">
      <alignment wrapText="1"/>
    </xf>
    <xf numFmtId="0" fontId="2" fillId="6" borderId="1" xfId="2" applyFill="1" applyAlignment="1">
      <alignment wrapText="1"/>
    </xf>
    <xf numFmtId="0" fontId="0" fillId="6" borderId="0" xfId="0" applyFill="1"/>
    <xf numFmtId="0" fontId="0" fillId="0" borderId="0" xfId="0" applyBorder="1" applyAlignment="1">
      <alignment wrapText="1"/>
    </xf>
    <xf numFmtId="0" fontId="0" fillId="0" borderId="0" xfId="0" applyFill="1" applyAlignment="1">
      <alignment wrapText="1"/>
    </xf>
    <xf numFmtId="0" fontId="0" fillId="0" borderId="1" xfId="0" applyBorder="1" applyAlignment="1">
      <alignment wrapText="1"/>
    </xf>
    <xf numFmtId="0" fontId="0" fillId="0" borderId="2" xfId="0" applyBorder="1"/>
    <xf numFmtId="0" fontId="0" fillId="0" borderId="2" xfId="0" applyBorder="1" applyAlignment="1">
      <alignment horizontal="left"/>
    </xf>
    <xf numFmtId="0" fontId="0" fillId="0" borderId="0" xfId="0" applyAlignment="1">
      <alignment horizontal="left"/>
    </xf>
    <xf numFmtId="0" fontId="4" fillId="4" borderId="2" xfId="0" applyFont="1" applyFill="1" applyBorder="1"/>
    <xf numFmtId="0" fontId="4" fillId="4" borderId="2" xfId="0" applyFont="1" applyFill="1" applyBorder="1" applyAlignment="1">
      <alignment horizontal="left"/>
    </xf>
    <xf numFmtId="0" fontId="6" fillId="0" borderId="2" xfId="5" applyBorder="1"/>
    <xf numFmtId="0" fontId="6" fillId="0" borderId="0" xfId="5"/>
    <xf numFmtId="0" fontId="0" fillId="0" borderId="0" xfId="0" applyAlignment="1"/>
    <xf numFmtId="0" fontId="10" fillId="0" borderId="2" xfId="4" applyBorder="1"/>
    <xf numFmtId="0" fontId="0" fillId="0" borderId="0" xfId="0" applyAlignment="1">
      <alignment horizontal="center" vertical="center"/>
    </xf>
    <xf numFmtId="0" fontId="0" fillId="0" borderId="0" xfId="0" applyFill="1" applyAlignment="1">
      <alignment horizontal="center" vertical="center" wrapText="1"/>
    </xf>
    <xf numFmtId="0" fontId="12" fillId="0" borderId="0" xfId="0" applyFont="1"/>
    <xf numFmtId="0" fontId="5" fillId="0"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5" fillId="8" borderId="2" xfId="0" applyFont="1" applyFill="1" applyBorder="1" applyAlignment="1">
      <alignment horizontal="center" vertical="center"/>
    </xf>
    <xf numFmtId="0" fontId="5" fillId="0" borderId="2" xfId="0" applyFont="1" applyFill="1" applyBorder="1" applyAlignment="1">
      <alignment horizontal="center" vertical="center"/>
    </xf>
    <xf numFmtId="0" fontId="3" fillId="4" borderId="0" xfId="0" applyFont="1" applyFill="1" applyAlignment="1">
      <alignment horizontal="center" vertical="center" wrapText="1"/>
    </xf>
    <xf numFmtId="0" fontId="14" fillId="0" borderId="0" xfId="0" applyFont="1" applyAlignment="1">
      <alignment horizontal="center" vertical="center" wrapText="1"/>
    </xf>
    <xf numFmtId="0" fontId="5" fillId="0" borderId="0" xfId="0" applyFont="1" applyFill="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9" fillId="0" borderId="1" xfId="0" applyFont="1" applyBorder="1"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xf>
    <xf numFmtId="0" fontId="15" fillId="0" borderId="0" xfId="0" applyFont="1" applyAlignment="1">
      <alignment horizontal="center" vertical="center" wrapText="1"/>
    </xf>
    <xf numFmtId="0" fontId="5" fillId="0" borderId="1" xfId="0" applyFont="1" applyBorder="1" applyAlignment="1">
      <alignment horizontal="center" vertical="center"/>
    </xf>
    <xf numFmtId="0" fontId="9" fillId="0" borderId="1" xfId="0" applyFont="1" applyBorder="1" applyAlignment="1">
      <alignment horizontal="left" vertical="center"/>
    </xf>
    <xf numFmtId="0" fontId="0" fillId="0" borderId="0" xfId="0" applyFill="1" applyAlignment="1">
      <alignment horizontal="center" vertical="center"/>
    </xf>
    <xf numFmtId="0" fontId="0" fillId="0" borderId="2" xfId="0" applyBorder="1" applyAlignment="1">
      <alignment wrapText="1"/>
    </xf>
    <xf numFmtId="0" fontId="0" fillId="7" borderId="2" xfId="0" applyFill="1" applyBorder="1"/>
    <xf numFmtId="0" fontId="0" fillId="0" borderId="2" xfId="0" applyBorder="1" applyAlignment="1">
      <alignment horizontal="center" vertical="center"/>
    </xf>
    <xf numFmtId="0" fontId="5" fillId="0" borderId="0" xfId="0" applyFont="1" applyFill="1" applyBorder="1" applyAlignment="1">
      <alignment horizontal="center" vertical="center" wrapText="1"/>
    </xf>
    <xf numFmtId="0" fontId="5" fillId="0" borderId="0" xfId="0" applyFont="1" applyFill="1" applyBorder="1" applyAlignment="1">
      <alignment horizontal="center" vertical="center"/>
    </xf>
    <xf numFmtId="0" fontId="20" fillId="0" borderId="0" xfId="0" applyFont="1" applyAlignment="1">
      <alignment horizontal="left" vertical="center"/>
    </xf>
    <xf numFmtId="0" fontId="16" fillId="0" borderId="0" xfId="0" applyFont="1" applyAlignment="1">
      <alignment horizontal="left" vertical="center"/>
    </xf>
    <xf numFmtId="0" fontId="0" fillId="9" borderId="0" xfId="0" applyFill="1" applyAlignment="1">
      <alignment horizontal="left" vertical="center" wrapText="1"/>
    </xf>
    <xf numFmtId="0" fontId="0" fillId="0" borderId="0" xfId="0" applyFill="1" applyAlignment="1">
      <alignment horizontal="left" vertical="center" wrapText="1"/>
    </xf>
    <xf numFmtId="0" fontId="17" fillId="0" borderId="0" xfId="0" applyFont="1" applyAlignment="1">
      <alignment horizontal="left" vertical="center"/>
    </xf>
    <xf numFmtId="0" fontId="3" fillId="4" borderId="2" xfId="0" applyFont="1" applyFill="1" applyBorder="1" applyAlignment="1">
      <alignment horizontal="center" vertical="center" wrapText="1"/>
    </xf>
    <xf numFmtId="16" fontId="5" fillId="0" borderId="2" xfId="0" applyNumberFormat="1" applyFont="1" applyFill="1" applyBorder="1" applyAlignment="1">
      <alignment horizontal="center" vertical="center"/>
    </xf>
    <xf numFmtId="16" fontId="5" fillId="0" borderId="4" xfId="0" applyNumberFormat="1" applyFont="1" applyFill="1" applyBorder="1" applyAlignment="1">
      <alignment horizontal="center" vertical="center"/>
    </xf>
    <xf numFmtId="16" fontId="5" fillId="0" borderId="5"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0" fontId="0" fillId="0" borderId="1" xfId="0" applyFill="1" applyBorder="1" applyAlignment="1">
      <alignment horizontal="center" vertical="center"/>
    </xf>
    <xf numFmtId="49" fontId="5" fillId="0" borderId="1" xfId="0" applyNumberFormat="1" applyFont="1" applyBorder="1" applyAlignment="1">
      <alignment horizontal="center" vertical="center"/>
    </xf>
    <xf numFmtId="16" fontId="16" fillId="0" borderId="2" xfId="0" applyNumberFormat="1" applyFont="1" applyFill="1" applyBorder="1" applyAlignment="1">
      <alignment horizontal="center" vertical="center"/>
    </xf>
    <xf numFmtId="0" fontId="16" fillId="0" borderId="2" xfId="0" applyFont="1" applyFill="1" applyBorder="1" applyAlignment="1">
      <alignment horizontal="center" vertical="center"/>
    </xf>
    <xf numFmtId="0" fontId="5" fillId="8" borderId="5" xfId="0" applyFont="1" applyFill="1" applyBorder="1" applyAlignment="1">
      <alignment horizontal="center" vertical="center"/>
    </xf>
    <xf numFmtId="0" fontId="0" fillId="14" borderId="7" xfId="0" applyFill="1" applyBorder="1" applyAlignment="1">
      <alignment wrapText="1"/>
    </xf>
    <xf numFmtId="0" fontId="0" fillId="14" borderId="8" xfId="0" applyFill="1" applyBorder="1" applyAlignment="1">
      <alignment wrapText="1"/>
    </xf>
    <xf numFmtId="0" fontId="0" fillId="14" borderId="9" xfId="0" applyFill="1" applyBorder="1" applyAlignment="1">
      <alignment wrapText="1"/>
    </xf>
    <xf numFmtId="0" fontId="0" fillId="14" borderId="10" xfId="0" applyFill="1" applyBorder="1" applyAlignment="1">
      <alignment wrapText="1"/>
    </xf>
    <xf numFmtId="0" fontId="5" fillId="14" borderId="10" xfId="0" applyFont="1" applyFill="1" applyBorder="1" applyAlignment="1">
      <alignment wrapText="1"/>
    </xf>
    <xf numFmtId="0" fontId="5" fillId="14" borderId="0" xfId="0" applyFont="1" applyFill="1" applyBorder="1" applyAlignment="1">
      <alignment wrapText="1"/>
    </xf>
    <xf numFmtId="0" fontId="0" fillId="14" borderId="0" xfId="0" applyFill="1" applyBorder="1" applyAlignment="1">
      <alignment wrapText="1"/>
    </xf>
    <xf numFmtId="0" fontId="21" fillId="15" borderId="0" xfId="0" applyFont="1" applyFill="1" applyAlignment="1">
      <alignment wrapText="1"/>
    </xf>
    <xf numFmtId="0" fontId="5" fillId="14" borderId="0" xfId="0" applyFont="1" applyFill="1" applyBorder="1" applyAlignment="1"/>
    <xf numFmtId="0" fontId="0" fillId="16" borderId="2" xfId="0" applyFill="1" applyBorder="1" applyAlignment="1">
      <alignment wrapText="1"/>
    </xf>
    <xf numFmtId="0" fontId="0" fillId="9" borderId="2" xfId="0" applyFill="1" applyBorder="1" applyAlignment="1">
      <alignment wrapText="1"/>
    </xf>
    <xf numFmtId="0" fontId="0" fillId="7" borderId="2" xfId="0" applyFill="1" applyBorder="1" applyAlignment="1">
      <alignment wrapText="1"/>
    </xf>
    <xf numFmtId="16" fontId="0" fillId="0" borderId="2" xfId="0" applyNumberFormat="1" applyBorder="1"/>
    <xf numFmtId="0" fontId="0" fillId="16" borderId="0" xfId="0" applyFill="1" applyAlignment="1">
      <alignment wrapText="1"/>
    </xf>
    <xf numFmtId="49" fontId="0" fillId="0" borderId="0" xfId="0" applyNumberFormat="1"/>
    <xf numFmtId="0" fontId="0" fillId="7" borderId="6" xfId="0" applyFill="1" applyBorder="1" applyAlignment="1">
      <alignment wrapText="1"/>
    </xf>
    <xf numFmtId="4" fontId="0" fillId="0" borderId="0" xfId="0" applyNumberFormat="1"/>
    <xf numFmtId="0" fontId="3" fillId="4" borderId="0" xfId="0" applyFont="1" applyFill="1" applyAlignment="1">
      <alignment horizontal="left" vertical="center" wrapText="1"/>
    </xf>
    <xf numFmtId="0" fontId="3" fillId="4" borderId="0" xfId="0" applyFont="1" applyFill="1" applyAlignment="1">
      <alignment horizontal="left" vertical="center"/>
    </xf>
    <xf numFmtId="0" fontId="13" fillId="7" borderId="0" xfId="0" applyFont="1" applyFill="1" applyAlignment="1">
      <alignment horizontal="left" vertical="center"/>
    </xf>
    <xf numFmtId="0" fontId="5" fillId="8" borderId="0" xfId="0" applyFont="1" applyFill="1" applyAlignment="1">
      <alignment horizontal="center" vertical="center"/>
    </xf>
    <xf numFmtId="0" fontId="5" fillId="0" borderId="0" xfId="0" applyFont="1" applyAlignment="1">
      <alignment horizontal="left" vertical="center"/>
    </xf>
    <xf numFmtId="0" fontId="14" fillId="10" borderId="0" xfId="0" applyFont="1" applyFill="1" applyAlignment="1">
      <alignment horizontal="left" vertical="center"/>
    </xf>
    <xf numFmtId="0" fontId="0" fillId="8" borderId="0" xfId="0" applyFill="1" applyAlignment="1">
      <alignment horizontal="left" vertical="center"/>
    </xf>
    <xf numFmtId="0" fontId="6" fillId="0" borderId="0" xfId="3" applyAlignment="1">
      <alignment horizontal="left" vertical="center"/>
    </xf>
    <xf numFmtId="0" fontId="13" fillId="5" borderId="0" xfId="0" applyFont="1" applyFill="1" applyBorder="1" applyAlignment="1">
      <alignment horizontal="left" vertical="center"/>
    </xf>
    <xf numFmtId="0" fontId="14" fillId="11" borderId="0" xfId="0" applyFont="1" applyFill="1" applyAlignment="1">
      <alignment horizontal="left" vertical="center"/>
    </xf>
    <xf numFmtId="0" fontId="0" fillId="0" borderId="0" xfId="0" applyAlignment="1">
      <alignment horizontal="left" vertical="center" wrapText="1"/>
    </xf>
    <xf numFmtId="0" fontId="0" fillId="9" borderId="0" xfId="0" applyFill="1" applyAlignment="1">
      <alignment horizontal="left" vertical="center"/>
    </xf>
    <xf numFmtId="0" fontId="9" fillId="0" borderId="0" xfId="0" applyFont="1" applyAlignment="1">
      <alignment horizontal="left" vertical="center"/>
    </xf>
    <xf numFmtId="0" fontId="18" fillId="0" borderId="2" xfId="0" applyFont="1" applyFill="1" applyBorder="1" applyAlignment="1">
      <alignment horizontal="center" vertical="center" wrapText="1"/>
    </xf>
    <xf numFmtId="0" fontId="13" fillId="8" borderId="2" xfId="0" applyFont="1" applyFill="1" applyBorder="1" applyAlignment="1">
      <alignment horizontal="center" vertical="center"/>
    </xf>
    <xf numFmtId="16" fontId="11" fillId="12" borderId="2" xfId="0" applyNumberFormat="1" applyFont="1" applyFill="1" applyBorder="1" applyAlignment="1">
      <alignment horizontal="center" vertical="center"/>
    </xf>
    <xf numFmtId="0" fontId="11" fillId="12" borderId="2" xfId="0" applyFont="1" applyFill="1" applyBorder="1" applyAlignment="1">
      <alignment horizontal="center" vertical="center"/>
    </xf>
    <xf numFmtId="0" fontId="11" fillId="12" borderId="2" xfId="0" applyFont="1" applyFill="1" applyBorder="1" applyAlignment="1">
      <alignment horizontal="center" vertical="center" wrapText="1"/>
    </xf>
    <xf numFmtId="0" fontId="22" fillId="12" borderId="2" xfId="0" applyFont="1" applyFill="1" applyBorder="1" applyAlignment="1">
      <alignment horizontal="center" vertical="center"/>
    </xf>
    <xf numFmtId="0" fontId="23" fillId="0" borderId="2" xfId="0" applyFont="1" applyFill="1" applyBorder="1" applyAlignment="1">
      <alignment horizontal="center" vertical="center"/>
    </xf>
    <xf numFmtId="0" fontId="5" fillId="9" borderId="2" xfId="0" applyFont="1" applyFill="1" applyBorder="1" applyAlignment="1">
      <alignment horizontal="center" vertical="center" wrapText="1"/>
    </xf>
    <xf numFmtId="0" fontId="24" fillId="0" borderId="0" xfId="0" applyFont="1" applyAlignment="1">
      <alignment horizontal="center" vertical="center"/>
    </xf>
    <xf numFmtId="4" fontId="16" fillId="0" borderId="2" xfId="0" applyNumberFormat="1" applyFont="1" applyFill="1" applyBorder="1" applyAlignment="1">
      <alignment horizontal="center" vertical="center" wrapText="1"/>
    </xf>
    <xf numFmtId="0" fontId="16" fillId="0" borderId="2" xfId="0" applyFont="1" applyFill="1" applyBorder="1" applyAlignment="1">
      <alignment horizontal="center" vertical="center" wrapText="1"/>
    </xf>
    <xf numFmtId="0" fontId="16" fillId="0" borderId="0" xfId="0" applyFont="1" applyFill="1" applyBorder="1" applyAlignment="1">
      <alignment horizontal="center" vertical="center"/>
    </xf>
    <xf numFmtId="0" fontId="0" fillId="0" borderId="5" xfId="0" applyBorder="1" applyAlignment="1">
      <alignment horizontal="center" vertical="center" wrapText="1"/>
    </xf>
    <xf numFmtId="0" fontId="5" fillId="0" borderId="5" xfId="0" applyFont="1" applyBorder="1" applyAlignment="1">
      <alignment horizontal="center" vertical="center" wrapText="1"/>
    </xf>
    <xf numFmtId="4" fontId="5" fillId="8" borderId="2" xfId="0" applyNumberFormat="1" applyFont="1" applyFill="1" applyBorder="1" applyAlignment="1">
      <alignment horizontal="center" vertical="center" wrapText="1"/>
    </xf>
    <xf numFmtId="0" fontId="17" fillId="0" borderId="0" xfId="0" applyFont="1" applyAlignment="1">
      <alignment horizontal="center" vertical="center" wrapText="1"/>
    </xf>
    <xf numFmtId="0" fontId="0" fillId="8" borderId="0" xfId="0" applyFill="1"/>
    <xf numFmtId="0" fontId="0" fillId="12" borderId="0" xfId="0" applyFill="1" applyAlignment="1">
      <alignment horizontal="left" vertical="center"/>
    </xf>
    <xf numFmtId="0" fontId="0" fillId="12" borderId="0" xfId="0" applyFill="1" applyAlignment="1">
      <alignment horizontal="left" vertical="center" wrapText="1"/>
    </xf>
    <xf numFmtId="16" fontId="11" fillId="17" borderId="2" xfId="0" applyNumberFormat="1" applyFont="1" applyFill="1" applyBorder="1" applyAlignment="1">
      <alignment horizontal="center" vertical="center"/>
    </xf>
    <xf numFmtId="0" fontId="11" fillId="17" borderId="2" xfId="0" applyFont="1" applyFill="1" applyBorder="1" applyAlignment="1">
      <alignment horizontal="center" vertical="center"/>
    </xf>
    <xf numFmtId="0" fontId="11" fillId="17" borderId="2" xfId="0" applyFont="1" applyFill="1" applyBorder="1" applyAlignment="1">
      <alignment horizontal="center" vertical="center" wrapText="1"/>
    </xf>
    <xf numFmtId="0" fontId="22" fillId="17" borderId="2" xfId="0" applyFont="1" applyFill="1" applyBorder="1" applyAlignment="1">
      <alignment horizontal="center" vertical="center"/>
    </xf>
    <xf numFmtId="0" fontId="25" fillId="0" borderId="0" xfId="6"/>
    <xf numFmtId="0" fontId="14" fillId="0" borderId="0" xfId="6" applyFont="1"/>
    <xf numFmtId="14" fontId="25" fillId="0" borderId="0" xfId="6" applyNumberFormat="1"/>
    <xf numFmtId="0" fontId="26" fillId="0" borderId="0" xfId="6" applyFont="1"/>
    <xf numFmtId="0" fontId="25" fillId="9" borderId="0" xfId="6" applyFill="1"/>
    <xf numFmtId="0" fontId="25" fillId="0" borderId="0" xfId="6" applyAlignment="1">
      <alignment vertical="top" wrapText="1"/>
    </xf>
    <xf numFmtId="0" fontId="25" fillId="0" borderId="0" xfId="6" applyAlignment="1"/>
    <xf numFmtId="0" fontId="27" fillId="0" borderId="4" xfId="6" applyFont="1" applyBorder="1" applyAlignment="1">
      <alignment horizontal="center"/>
    </xf>
    <xf numFmtId="0" fontId="27" fillId="0" borderId="2" xfId="6" applyFont="1" applyBorder="1"/>
    <xf numFmtId="0" fontId="27" fillId="0" borderId="2" xfId="6" applyFont="1" applyBorder="1" applyAlignment="1">
      <alignment vertical="top"/>
    </xf>
    <xf numFmtId="0" fontId="25" fillId="7" borderId="0" xfId="6" applyFill="1" applyAlignment="1">
      <alignment horizontal="center" vertical="center"/>
    </xf>
    <xf numFmtId="0" fontId="25" fillId="7" borderId="2" xfId="6" applyFill="1" applyBorder="1"/>
    <xf numFmtId="0" fontId="18" fillId="7" borderId="2" xfId="6" applyFont="1" applyFill="1" applyBorder="1" applyAlignment="1">
      <alignment vertical="top" wrapText="1"/>
    </xf>
    <xf numFmtId="0" fontId="25" fillId="7" borderId="2" xfId="6" applyFill="1" applyBorder="1" applyAlignment="1">
      <alignment horizontal="center" vertical="center"/>
    </xf>
    <xf numFmtId="0" fontId="25" fillId="7" borderId="4" xfId="6" applyFill="1" applyBorder="1" applyAlignment="1">
      <alignment horizontal="center" vertical="center"/>
    </xf>
    <xf numFmtId="0" fontId="25" fillId="5" borderId="4" xfId="6" applyFill="1" applyBorder="1" applyAlignment="1">
      <alignment horizontal="center" vertical="center"/>
    </xf>
    <xf numFmtId="0" fontId="25" fillId="5" borderId="2" xfId="6" applyFill="1" applyBorder="1"/>
    <xf numFmtId="0" fontId="25" fillId="5" borderId="2" xfId="6" applyFill="1" applyBorder="1" applyAlignment="1">
      <alignment horizontal="center" vertical="center"/>
    </xf>
    <xf numFmtId="0" fontId="18" fillId="5" borderId="2" xfId="6" applyFont="1" applyFill="1" applyBorder="1" applyAlignment="1">
      <alignment vertical="top" wrapText="1"/>
    </xf>
    <xf numFmtId="0" fontId="25" fillId="5" borderId="0" xfId="6" applyFill="1" applyAlignment="1">
      <alignment horizontal="center" vertical="center"/>
    </xf>
    <xf numFmtId="0" fontId="28" fillId="5" borderId="2" xfId="6" applyFont="1" applyFill="1" applyBorder="1" applyAlignment="1">
      <alignment horizontal="center" vertical="center"/>
    </xf>
    <xf numFmtId="0" fontId="25" fillId="5" borderId="2" xfId="6" applyFill="1" applyBorder="1" applyAlignment="1">
      <alignment horizontal="center" vertical="center" wrapText="1"/>
    </xf>
    <xf numFmtId="0" fontId="25" fillId="18" borderId="2" xfId="6" applyFill="1" applyBorder="1" applyAlignment="1">
      <alignment horizontal="center" vertical="center"/>
    </xf>
    <xf numFmtId="0" fontId="25" fillId="18" borderId="2" xfId="6" applyFill="1" applyBorder="1"/>
    <xf numFmtId="0" fontId="28" fillId="19" borderId="4" xfId="6" applyFont="1" applyFill="1" applyBorder="1" applyAlignment="1">
      <alignment horizontal="center" vertical="center"/>
    </xf>
    <xf numFmtId="0" fontId="18" fillId="18" borderId="2" xfId="6" applyFont="1" applyFill="1" applyBorder="1" applyAlignment="1">
      <alignment vertical="top" wrapText="1"/>
    </xf>
    <xf numFmtId="0" fontId="25" fillId="0" borderId="0" xfId="6" applyAlignment="1">
      <alignment horizontal="center" vertical="center"/>
    </xf>
    <xf numFmtId="0" fontId="28" fillId="7" borderId="2" xfId="6" applyFont="1" applyFill="1" applyBorder="1" applyAlignment="1">
      <alignment horizontal="center" vertical="center"/>
    </xf>
    <xf numFmtId="0" fontId="5" fillId="7" borderId="11" xfId="6" applyFont="1" applyFill="1" applyBorder="1" applyAlignment="1">
      <alignment vertical="top" wrapText="1"/>
    </xf>
    <xf numFmtId="0" fontId="25" fillId="7" borderId="2" xfId="6" applyFill="1" applyBorder="1" applyAlignment="1">
      <alignment horizontal="center" vertical="center" wrapText="1"/>
    </xf>
    <xf numFmtId="0" fontId="28" fillId="7" borderId="12" xfId="6" applyFont="1" applyFill="1" applyBorder="1" applyAlignment="1">
      <alignment horizontal="center" vertical="center"/>
    </xf>
    <xf numFmtId="0" fontId="5" fillId="7" borderId="13" xfId="6" applyFont="1" applyFill="1" applyBorder="1" applyAlignment="1">
      <alignment vertical="top" wrapText="1"/>
    </xf>
    <xf numFmtId="0" fontId="28" fillId="7" borderId="13" xfId="6" applyFont="1" applyFill="1" applyBorder="1" applyAlignment="1">
      <alignment horizontal="center" vertical="center"/>
    </xf>
    <xf numFmtId="0" fontId="28" fillId="7" borderId="11" xfId="6" applyFont="1" applyFill="1" applyBorder="1" applyAlignment="1">
      <alignment horizontal="center" vertical="center"/>
    </xf>
    <xf numFmtId="0" fontId="25" fillId="0" borderId="0" xfId="6" applyBorder="1"/>
    <xf numFmtId="0" fontId="28" fillId="19" borderId="2" xfId="6" applyFont="1" applyFill="1" applyBorder="1" applyAlignment="1">
      <alignment horizontal="center" vertical="center"/>
    </xf>
    <xf numFmtId="0" fontId="25" fillId="18" borderId="2" xfId="6" applyFont="1" applyFill="1" applyBorder="1" applyAlignment="1">
      <alignment horizontal="center" vertical="center"/>
    </xf>
    <xf numFmtId="0" fontId="28" fillId="0" borderId="0" xfId="6" applyFont="1" applyFill="1" applyBorder="1" applyAlignment="1">
      <alignment horizontal="center" vertical="center"/>
    </xf>
    <xf numFmtId="0" fontId="25" fillId="0" borderId="0" xfId="6" applyFill="1" applyBorder="1"/>
    <xf numFmtId="0" fontId="18" fillId="0" borderId="0" xfId="6" applyFont="1" applyFill="1" applyBorder="1" applyAlignment="1">
      <alignment vertical="top" wrapText="1"/>
    </xf>
    <xf numFmtId="0" fontId="25" fillId="0" borderId="0" xfId="6" applyFont="1" applyFill="1" applyBorder="1" applyAlignment="1">
      <alignment horizontal="center" vertical="center"/>
    </xf>
    <xf numFmtId="0" fontId="28" fillId="0" borderId="0" xfId="6" applyFont="1" applyFill="1" applyBorder="1" applyAlignment="1">
      <alignment horizontal="left" vertical="center" wrapText="1"/>
    </xf>
    <xf numFmtId="0" fontId="5" fillId="0" borderId="1" xfId="0" applyFont="1" applyBorder="1" applyAlignment="1">
      <alignment horizontal="center" vertical="center" wrapText="1"/>
    </xf>
    <xf numFmtId="0" fontId="0" fillId="0" borderId="1" xfId="0" applyFill="1" applyBorder="1" applyAlignment="1">
      <alignment horizontal="center" vertical="center" wrapText="1"/>
    </xf>
    <xf numFmtId="0" fontId="8" fillId="0" borderId="1" xfId="3" applyFont="1" applyFill="1" applyBorder="1" applyAlignment="1">
      <alignment horizontal="center" vertical="center" wrapText="1"/>
    </xf>
    <xf numFmtId="0" fontId="5" fillId="0" borderId="1" xfId="0" applyFont="1" applyFill="1" applyBorder="1" applyAlignment="1">
      <alignment horizontal="center" vertical="center" wrapText="1"/>
    </xf>
    <xf numFmtId="0" fontId="19" fillId="0" borderId="1" xfId="3" applyFont="1" applyFill="1" applyBorder="1" applyAlignment="1">
      <alignment horizontal="center" vertical="center" wrapText="1"/>
    </xf>
    <xf numFmtId="0" fontId="6" fillId="0" borderId="2" xfId="3" applyFill="1" applyBorder="1" applyAlignment="1">
      <alignment horizontal="center" vertical="center" wrapText="1"/>
    </xf>
    <xf numFmtId="0" fontId="0" fillId="8" borderId="0" xfId="0" applyFill="1" applyAlignment="1">
      <alignment horizontal="center" vertical="center" wrapText="1"/>
    </xf>
    <xf numFmtId="0" fontId="3" fillId="13"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5" fillId="13" borderId="2" xfId="0" applyFont="1" applyFill="1" applyBorder="1" applyAlignment="1">
      <alignment horizontal="center" vertical="center" wrapText="1"/>
    </xf>
  </cellXfs>
  <cellStyles count="7">
    <cellStyle name="Followed Hyperlink" xfId="4" builtinId="9"/>
    <cellStyle name="Hyperlink" xfId="3" builtinId="8"/>
    <cellStyle name="Hyperlink 2" xfId="5"/>
    <cellStyle name="Input" xfId="2" builtinId="20"/>
    <cellStyle name="Neutral" xfId="1" builtinId="28"/>
    <cellStyle name="Normal" xfId="0" builtinId="0"/>
    <cellStyle name="Normal 2" xfId="6"/>
  </cellStyles>
  <dxfs count="0"/>
  <tableStyles count="0" defaultTableStyle="TableStyleMedium2" defaultPivotStyle="PivotStyleLight16"/>
  <colors>
    <mruColors>
      <color rgb="FF00FF99"/>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ferdous.CORP/Documents/ahmed/Proofs_doc/w_51/12.15__Ground_SHipping_Cutt_off_Mobile/SA-CW-812-12-02-20-r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1 12.15-12.18 1159PM "/>
      <sheetName val="CC1 EPP 12.15-12.18 1159PM"/>
      <sheetName val="DD1 12.15-12.18 1159PM"/>
      <sheetName val="DD1 EPP 12.15-12.18 1159PM"/>
      <sheetName val="CC2 12.19 12AM-12.19 1159PM"/>
      <sheetName val="CC2 EPP 12.19 12AM-12.19 1159PM"/>
      <sheetName val="DD2 12.19 12AM-12.19 1159PM"/>
      <sheetName val="DD2 EPP 12.19 12AM-12.19 1159PM"/>
      <sheetName val="CC3 12.20 12AM on"/>
      <sheetName val="CC3 EPP 12.20 12AM on"/>
      <sheetName val="DD3 12.20AM on"/>
      <sheetName val="DD3 EPP 12.20 12AM on"/>
      <sheetName val="CC"/>
      <sheetName val="DD_R"/>
      <sheetName val="DD_NR"/>
      <sheetName val="TC"/>
      <sheetName val="MiscModules"/>
      <sheetName val="T2 Last Minute OFFERS"/>
      <sheetName val="PN Copy - For Designe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B2" t="str">
            <v>106_IM_HeadImage_MB_Smartphones-500xV.jpg</v>
          </cell>
          <cell r="C2" t="str">
            <v>Get up to 50% off select, must-have smartphones</v>
          </cell>
          <cell r="D2" t="str">
            <v>NULL</v>
          </cell>
          <cell r="E2" t="str">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ell>
          <cell r="F2" t="str">
            <v>Shop all</v>
          </cell>
          <cell r="G2" t="str">
            <v>https://www.samsung.com/us/shop/all-deals/cell-phone-deals/</v>
          </cell>
          <cell r="H2" t="str">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ell>
          <cell r="I2" t="str">
            <v>NULL</v>
          </cell>
          <cell r="J2" t="str">
            <v>NULL</v>
          </cell>
          <cell r="K2" t="str">
            <v>NULL</v>
          </cell>
        </row>
        <row r="3">
          <cell r="B3" t="str">
            <v>106_IM_HeadImage_MB_Smartphones-500xV.jpg</v>
          </cell>
          <cell r="C3" t="str">
            <v>Get up to 50% off select, must-have smartphones</v>
          </cell>
          <cell r="D3" t="str">
            <v>NULL</v>
          </cell>
          <cell r="E3" t="str">
            <v xml:space="preserve">Take stunning pictures with Galaxy S20 5G, unfold a world of infinite possibilities with Galaxy Z Fold2 5G or get it all without breaking the bank with Galaxy A71 5G from Verizon and T-Mobile. </v>
          </cell>
          <cell r="F3" t="str">
            <v>Shop all</v>
          </cell>
          <cell r="G3" t="str">
            <v>https://www.samsung.com/us/shop/all-deals/cell-phone-deals/</v>
          </cell>
          <cell r="H3" t="str">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ell>
          <cell r="I3" t="str">
            <v>NULL</v>
          </cell>
          <cell r="J3" t="str">
            <v>NULL</v>
          </cell>
          <cell r="K3" t="str">
            <v>NULL</v>
          </cell>
        </row>
        <row r="4">
          <cell r="B4" t="str">
            <v>107_HeadImage_TV_HA_500xV.jpg</v>
          </cell>
          <cell r="C4" t="str">
            <v>Already checked your list twice?</v>
          </cell>
          <cell r="D4" t="str">
            <v>NULL</v>
          </cell>
          <cell r="E4" t="str">
            <v xml:space="preserve">Shop great offers on TVs, soundbars and home appliances for delivery after December 25. </v>
          </cell>
          <cell r="F4" t="str">
            <v>Shop TV &amp; Audio</v>
          </cell>
          <cell r="G4" t="str">
            <v>https://www.samsung.com/us/shop/all-deals/tv-and-home-theater-deals/</v>
          </cell>
          <cell r="H4" t="str">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ell>
          <cell r="I4" t="str">
            <v>Shop Home Appliances</v>
          </cell>
          <cell r="J4" t="str">
            <v>https://www.samsung.com/us/shop/all-deals/home-appliance-and-smart-home-sales/</v>
          </cell>
          <cell r="K4" t="str">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ell>
        </row>
        <row r="5">
          <cell r="B5" t="str">
            <v>107_HeadImage_TV_HA_500xV.jpg</v>
          </cell>
          <cell r="C5" t="str">
            <v>Already checked your list twice?</v>
          </cell>
          <cell r="D5" t="str">
            <v>NULL</v>
          </cell>
          <cell r="E5" t="str">
            <v xml:space="preserve">Shop great offers on TVs, soundbars and home appliances for delivery after December 25. </v>
          </cell>
          <cell r="F5" t="str">
            <v>Shop TV &amp; Audio</v>
          </cell>
          <cell r="G5" t="str">
            <v>https://www.samsung.com/us/shop/all-deals/tv-and-home-theater-deals/</v>
          </cell>
          <cell r="H5" t="str">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ell>
          <cell r="I5" t="str">
            <v>Shop Home Appliances</v>
          </cell>
          <cell r="J5" t="str">
            <v>https://www.samsung.com/us/shop/all-deals/home-appliance-and-smart-home-sales/</v>
          </cell>
          <cell r="K5" t="str">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ell>
        </row>
        <row r="6">
          <cell r="B6" t="str">
            <v>108_ME_HeadImage_GW3_Buds_Live_500xV.jpg</v>
          </cell>
          <cell r="C6" t="str">
            <v>Find perfect gifts for someone on the go</v>
          </cell>
          <cell r="D6" t="str">
            <v>NULL</v>
          </cell>
          <cell r="E6" t="str">
            <v>Get healthier in style with up to $60  off select watches or get tough with $100 off Galaxy Watch3 Titanium. Plus, create an audio oasis with $30 off Galaxy Buds Live.</v>
          </cell>
          <cell r="F6" t="str">
            <v>Shop all</v>
          </cell>
          <cell r="G6" t="str">
            <v>https://www.samsung.com/us/shop/all-deals/tablets-wearables-cell-phone-accessories-deals/</v>
          </cell>
          <cell r="H6" t="str">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ell>
          <cell r="I6" t="str">
            <v>NULL</v>
          </cell>
          <cell r="J6" t="str">
            <v>NULL</v>
          </cell>
          <cell r="K6" t="str">
            <v>NULL</v>
          </cell>
        </row>
        <row r="7">
          <cell r="B7" t="str">
            <v>108_ME_HeadImage_GW3_Buds_Live_500xV.jpg</v>
          </cell>
          <cell r="C7" t="str">
            <v>Find perfect gifts for someone on the go</v>
          </cell>
          <cell r="D7" t="str">
            <v>NULL</v>
          </cell>
          <cell r="E7" t="str">
            <v>Get healthier in style with up to $60  off select watches or get tough with $100 off Galaxy Watch3 Titanium. Plus, create an audio oasis with $30 off Galaxy Buds Live.</v>
          </cell>
          <cell r="F7" t="str">
            <v>Shop all</v>
          </cell>
          <cell r="G7" t="str">
            <v>https://www.samsung.com/us/shop/all-deals/tablets-wearables-cell-phone-accessories-deals/</v>
          </cell>
          <cell r="H7" t="str">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ell>
          <cell r="I7" t="str">
            <v>NULL</v>
          </cell>
          <cell r="J7" t="str">
            <v>NULL</v>
          </cell>
          <cell r="K7" t="str">
            <v>NULL</v>
          </cell>
        </row>
        <row r="8">
          <cell r="B8" t="str">
            <v>109_HeadImage_laptops_Monitor_Tablets_memory_cards_500xV.jpg</v>
          </cell>
          <cell r="C8" t="str">
            <v>Transform their space into a productive workplace</v>
          </cell>
          <cell r="D8" t="str">
            <v>NULL</v>
          </cell>
          <cell r="E8" t="str">
            <v xml:space="preserve">Get up to $200 off select laptops, up to $150 off select tablets, up to 30% off monitors and up to 50% off memory cards. </v>
          </cell>
          <cell r="F8" t="str">
            <v>Shop all</v>
          </cell>
          <cell r="G8" t="str">
            <v>https://www.samsung.com/us/shop/all-deals/laptop-and-computer-deals/</v>
          </cell>
          <cell r="H8" t="str">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ell>
          <cell r="I8" t="str">
            <v>NULL</v>
          </cell>
          <cell r="J8" t="str">
            <v>NULL</v>
          </cell>
          <cell r="K8" t="str">
            <v>NULL</v>
          </cell>
        </row>
        <row r="9">
          <cell r="C9" t="str">
            <v>Transform their space into a productive workplace</v>
          </cell>
          <cell r="D9" t="str">
            <v>NULL</v>
          </cell>
          <cell r="E9" t="str">
            <v xml:space="preserve">Get up to $200 off select laptops, up to $150 off select tablets, up to 30% off monitors and up to 50% off memory cards. </v>
          </cell>
          <cell r="F9" t="str">
            <v>Shop all</v>
          </cell>
          <cell r="G9" t="str">
            <v>https://www.samsung.com/us/shop/all-deals/laptop-and-computer-deals/</v>
          </cell>
          <cell r="H9" t="str">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ell>
          <cell r="I9" t="str">
            <v>NULL</v>
          </cell>
          <cell r="J9" t="str">
            <v>NULL</v>
          </cell>
          <cell r="K9" t="str">
            <v>NULL</v>
          </cell>
        </row>
      </sheetData>
      <sheetData sheetId="13">
        <row r="8">
          <cell r="G8" t="str">
            <v>110_IM_HeadImage_MB_Galaxy_500xV.jpg</v>
          </cell>
          <cell r="H8" t="str">
            <v xml:space="preserve">Get up to $250 off select Galaxy S20 5G </v>
          </cell>
          <cell r="I8" t="str">
            <v>Now from only $13.62/mo for 36 mos&lt;sup&gt;⊕&lt;/sup&gt; or $489.99 with eligible trade-in.&lt;sup&gt;ᶿ&lt;/sup&gt;</v>
          </cell>
          <cell r="J8" t="str">
            <v xml:space="preserve">Get up to $250 off instantly and up to $310 trade-in credit&lt;sup&gt;ᶿ&lt;/sup&gt; toward your next Galaxy S20 5G, S20+ 5G or S20 Ultra 5G. </v>
          </cell>
          <cell r="K8" t="str">
            <v>Buy now</v>
          </cell>
          <cell r="L8" t="str">
            <v>https://www.samsung.com/us/mobile/galaxy-s20-5g/buy/galaxy-s20-5g-128gb-unlocked-sm-g981uzaaxaa/</v>
          </cell>
          <cell r="M8" t="str">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ell>
          <cell r="N8" t="str">
            <v>NULL</v>
          </cell>
          <cell r="O8" t="str">
            <v>NULL</v>
          </cell>
          <cell r="P8" t="str">
            <v>NULL</v>
          </cell>
        </row>
        <row r="9">
          <cell r="G9" t="str">
            <v>23_IM_HeadImage_MB_Fold-500xV.jpg</v>
          </cell>
          <cell r="H9" t="str">
            <v xml:space="preserve">Get up to 50% off Galaxy Z Fold2 5G </v>
          </cell>
          <cell r="I9" t="str">
            <v>Now from only $20.84/mo for 48 mos&lt;sup&gt;⊕&lt;/sup&gt; or $999.99 with eligible trade-in.&lt;sup&gt;ᶿ&lt;/sup&gt;</v>
          </cell>
          <cell r="J9" t="str">
            <v xml:space="preserve">Our best Galaxy Z Fold2 5G offer of the year. Get up to $1000 trade-in credit.&lt;sup&gt;ᶿ&lt;/sup&gt; </v>
          </cell>
          <cell r="K9" t="str">
            <v>Buy now</v>
          </cell>
          <cell r="L9" t="str">
            <v>https://www.samsung.com/us/smartphones/galaxy-z-fold2-5g/buy/</v>
          </cell>
          <cell r="M9" t="str">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ell>
          <cell r="N9" t="str">
            <v>NULL</v>
          </cell>
          <cell r="O9" t="str">
            <v>NULL</v>
          </cell>
          <cell r="P9" t="str">
            <v>NULL</v>
          </cell>
        </row>
        <row r="10">
          <cell r="G10" t="str">
            <v>24-IM-A71-A51-HeadImage-500xV.jpg</v>
          </cell>
          <cell r="H10" t="str">
            <v>Get 50% off Galaxy A71 5G with T-Mobile and Verizon</v>
          </cell>
          <cell r="I10" t="str">
            <v xml:space="preserve">Now from only $8.34/mo for 36 mos&lt;sup&gt;⊕&lt;/sup&gt; or $299.99 with eligible trade-in.&lt;sup&gt;ᶿ&lt;/sup&gt; </v>
          </cell>
          <cell r="J10" t="str">
            <v xml:space="preserve">Save up to $250 instantly and get $75 or more trade-in credit. Treat yourself to blazing fast 5G speeds and incredible features at an amazing value. </v>
          </cell>
          <cell r="K10" t="str">
            <v>Buy now</v>
          </cell>
          <cell r="L10" t="str">
            <v>https://www.samsung.com/us/mobile/phones/galaxy-a/buy/?link=galaxy-a71-5g</v>
          </cell>
          <cell r="M10" t="str">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ell>
          <cell r="N10" t="str">
            <v>NULL</v>
          </cell>
          <cell r="O10" t="str">
            <v>NULL</v>
          </cell>
          <cell r="P10" t="str">
            <v>NULL</v>
          </cell>
        </row>
        <row r="12">
          <cell r="G12" t="str">
            <v>111_CE_MB_TABLET_500xV.jpg</v>
          </cell>
          <cell r="H12" t="str">
            <v>Save up to $150 on Galaxy Tab S7</v>
          </cell>
          <cell r="I12" t="str">
            <v xml:space="preserve">Now from only $549.99. </v>
          </cell>
          <cell r="J12" t="str">
            <v>Designed for work and perfect for play, Galaxy Tab S7 or Tab S7+ is everything you love in one tablet</v>
          </cell>
          <cell r="K12" t="str">
            <v>Buy now</v>
          </cell>
          <cell r="L12" t="str">
            <v>https://www.samsung.com/us/tablets/tab-s7/buy/</v>
          </cell>
          <cell r="M12" t="str">
            <v>https://shopsamsung.page.link?link=https%3A%2F%2Fwww.samsung.com%2Fus%2Ftablets%2Ftab-s7%2Fbuy%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tablets%2Ftab-s7%2Fbuy%2F%3FofferCID%3DearlyAccess%26utm_source%3Dsamsung%26utm_medium%3Demail%26utm_campaign%3Dcw_12042020%26marsLinkCategory%3D__MARSTRACKING__%26MKM_RID%3D__BPNUMBER__%26MKM_MID%3D__DELIVERNAME__%26cid%3D__CID____SEGMENTCODE__%26bpid%3D__BPNUMBER__&amp;efr=1</v>
          </cell>
          <cell r="N12" t="str">
            <v>NULL</v>
          </cell>
          <cell r="O12" t="str">
            <v>NULL</v>
          </cell>
          <cell r="P12" t="str">
            <v>NULL</v>
          </cell>
        </row>
        <row r="14">
          <cell r="G14" t="str">
            <v>113_CE_MB_TABLET_500xV.jpg</v>
          </cell>
          <cell r="H14" t="str">
            <v>Save $100 on Galaxy Tab S6 Lite</v>
          </cell>
          <cell r="I14" t="str">
            <v>Now from only $174.99 $349.99 with eligible trade-in.&lt;sup&gt;ᶿ&lt;/sup&gt;</v>
          </cell>
          <cell r="J14" t="str">
            <v>Effortlessly create, edit, and navigate with the included S Pen – work and play with equal freedom.</v>
          </cell>
          <cell r="K14" t="str">
            <v>Buy now</v>
          </cell>
          <cell r="L14" t="str">
            <v>https://www.samsung.com/us/mobile/tablets/buy/?modelCode=SM-P610NZAEXAR</v>
          </cell>
          <cell r="M14" t="str">
            <v>https://shopsamsung.page.link?link=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efr=1</v>
          </cell>
          <cell r="N14" t="str">
            <v>NULL</v>
          </cell>
          <cell r="O14" t="str">
            <v>NULL</v>
          </cell>
          <cell r="P14" t="str">
            <v>NULL</v>
          </cell>
        </row>
        <row r="15">
          <cell r="G15" t="str">
            <v>37_HE_CE_Computing_Monitor_HeadImage_500xV.jpg</v>
          </cell>
          <cell r="H15" t="str">
            <v>Get up to 20% off monitors</v>
          </cell>
          <cell r="I15" t="str">
            <v xml:space="preserve">Now from only $89.99 </v>
          </cell>
          <cell r="J15" t="str">
            <v xml:space="preserve">No matter how hard you work or how hard you play, our wide array of monitors will deliver with stunning sharpness, minimal lag and more. </v>
          </cell>
          <cell r="K15" t="str">
            <v>Shop now</v>
          </cell>
          <cell r="L15" t="str">
            <v>https://www.samsung.com/us/computing/monitors/all-monitors/?shop=Buy+Online</v>
          </cell>
          <cell r="M15" t="str">
            <v>https://shopsamsung.page.link?link=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efr=1</v>
          </cell>
          <cell r="N15" t="str">
            <v>NULL</v>
          </cell>
          <cell r="O15" t="str">
            <v>NULL</v>
          </cell>
          <cell r="P15" t="str">
            <v>NULL</v>
          </cell>
        </row>
        <row r="16">
          <cell r="G16" t="str">
            <v>39_HE_CE_Computer_MemoryCards_HeadImage-500xV.jpg</v>
          </cell>
          <cell r="H16" t="str">
            <v>Get up to 50% off Memory Cards</v>
          </cell>
          <cell r="I16" t="str">
            <v>Now from only $6.99</v>
          </cell>
          <cell r="J16" t="str">
            <v>Prepare for holiday photo ops, the latest app and more with more memory.</v>
          </cell>
          <cell r="K16" t="str">
            <v>Shop now</v>
          </cell>
          <cell r="L16" t="str">
            <v>https://www.samsung.com/us/computing/memory-storage/memory-cards/</v>
          </cell>
          <cell r="M16" t="str">
            <v>https://shopsamsung.page.link?link=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efr=1</v>
          </cell>
          <cell r="N16" t="str">
            <v>NULL</v>
          </cell>
          <cell r="O16" t="str">
            <v>NULL</v>
          </cell>
          <cell r="P16" t="str">
            <v>NULL</v>
          </cell>
        </row>
        <row r="20">
          <cell r="G20" t="str">
            <v>114_ME_MB_WEAR_Buds_LIVE_500xV.jpg</v>
          </cell>
          <cell r="H20" t="str">
            <v>Save $30 on Galaxy Buds Live</v>
          </cell>
          <cell r="I20" t="str">
            <v>Now only $119.99 with eligible trade-in.&lt;sup&gt;ᶿ&lt;/sup&gt;</v>
          </cell>
          <cell r="J20" t="str">
            <v>Give the gift of a truly immersive listening experience with the newest shape of true wireless earbuds.</v>
          </cell>
          <cell r="K20" t="str">
            <v>Buy now</v>
          </cell>
          <cell r="L20" t="str">
            <v>https://www.samsung.com/us/mobile/audio/headphones/galaxy-buds-live-mystic-bronze-sm-r180nznaxar/</v>
          </cell>
          <cell r="M20" t="str">
            <v>https://shopsamsung.page.link?link=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efr=1</v>
          </cell>
          <cell r="N20" t="str">
            <v>NULL</v>
          </cell>
          <cell r="O20" t="str">
            <v>NULL</v>
          </cell>
          <cell r="P20" t="str">
            <v>NULL</v>
          </cell>
        </row>
        <row r="21">
          <cell r="G21" t="str">
            <v>115_ME_MB_WEAR_GW3_Titanium_500xV.jpg</v>
          </cell>
          <cell r="H21" t="str">
            <v xml:space="preserve">Get $100 off Galaxy Watch3 Titanium </v>
          </cell>
          <cell r="I21" t="str">
            <v>Now from only $299.99 with eligible trade-in.&lt;sup&gt;ᶿ&lt;/sup&gt;</v>
          </cell>
          <cell r="J21" t="str">
            <v>Own the Galaxy Watch as tough as you. Save $100 and up to $200, with eligible trade-in.&lt;sup&gt;ᶿ&lt;/sup&gt;</v>
          </cell>
          <cell r="K21" t="str">
            <v>Buy now</v>
          </cell>
          <cell r="L21" t="str">
            <v>https://www.samsung.com/us/watches/galaxy-watch3/buy/?modelCode=SM-R840NTKAXAR</v>
          </cell>
          <cell r="M21" t="str">
            <v>https://shopsamsung.page.link?link=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efr=1</v>
          </cell>
          <cell r="N21" t="str">
            <v>NULL</v>
          </cell>
          <cell r="O21" t="str">
            <v>NULL</v>
          </cell>
          <cell r="P21" t="str">
            <v>NULL</v>
          </cell>
        </row>
        <row r="22">
          <cell r="G22" t="str">
            <v>116_ME_MB_WEAR_GW3_500xV.jpg</v>
          </cell>
          <cell r="H22" t="str">
            <v xml:space="preserve">Get $60 off Galaxy Watch3 </v>
          </cell>
          <cell r="I22" t="str">
            <v>Now from only $139.99 with eligible trade-in.&lt;sup&gt;ᶿ&lt;/sup&gt;</v>
          </cell>
          <cell r="J22" t="str">
            <v xml:space="preserve">Plus, create a style as unique as you in the new Samsung Design Studio and get 30% off a second watch band.  </v>
          </cell>
          <cell r="K22" t="str">
            <v>Buy now</v>
          </cell>
          <cell r="L22" t="str">
            <v>https://www.samsung.com/us/watches/galaxy-watch3/buy/</v>
          </cell>
          <cell r="M22" t="str">
            <v>https://shopsamsung.page.link?link=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efr=1</v>
          </cell>
          <cell r="N22" t="str">
            <v>NULL</v>
          </cell>
          <cell r="O22" t="str">
            <v>NULL</v>
          </cell>
          <cell r="P22" t="str">
            <v>NULL</v>
          </cell>
        </row>
        <row r="23">
          <cell r="G23" t="str">
            <v>117_ME_MB_WEAR_GW2_500xV.jpg</v>
          </cell>
          <cell r="H23" t="str">
            <v>Save $50 on Galaxy Watch Active2</v>
          </cell>
          <cell r="I23" t="str">
            <v>Now from only $49.99 with eligible trade-in.&lt;sup&gt;ᶿ&lt;/sup&gt;</v>
          </cell>
          <cell r="J23" t="str">
            <v xml:space="preserve">Offer includes Galaxy Watch Active2 Under Armor and Golf Editions. Plus, save up to $150 with eligible trade-inᶿ and get more out of every mile. </v>
          </cell>
          <cell r="K23" t="str">
            <v>Buy now</v>
          </cell>
          <cell r="L23" t="str">
            <v>https://www.samsung.com/us/smartwatches-and-fitness-bands/galaxy-watch-active2/buy/</v>
          </cell>
          <cell r="M23" t="str">
            <v>https://shopsamsung.page.link?link=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efr=1</v>
          </cell>
          <cell r="N23" t="str">
            <v>NULL</v>
          </cell>
          <cell r="O23" t="str">
            <v>NULL</v>
          </cell>
          <cell r="P23" t="str">
            <v>NULL</v>
          </cell>
        </row>
        <row r="25">
          <cell r="G25" t="str">
            <v>110-CPO-HeadImage-500xV.jpg</v>
          </cell>
          <cell r="H25" t="str">
            <v>Save up to $75 instantly on select Certified Pre-owned devices</v>
          </cell>
          <cell r="I25" t="str">
            <v xml:space="preserve">Starting from only $320. </v>
          </cell>
          <cell r="J25" t="str">
            <v xml:space="preserve">Refreshed with a brand new charger and accessories in the box, get some of our favorite phones like Galaxy S10, Note9 and more. Covered by a 12-month warranty, just like our new devices. </v>
          </cell>
          <cell r="K25" t="str">
            <v>Shop now</v>
          </cell>
          <cell r="L25" t="str">
            <v>https://www.samsung.com/us/search/searchMain/?listType=g&amp;searchTerm=cpo&amp;sort=relevance&amp;size=30&amp;item_type=Phones</v>
          </cell>
          <cell r="M25" t="str">
            <v>no equivalent URL</v>
          </cell>
          <cell r="N25" t="str">
            <v>NULL</v>
          </cell>
          <cell r="O25" t="str">
            <v>NULL</v>
          </cell>
          <cell r="P25" t="str">
            <v>NULL</v>
          </cell>
        </row>
      </sheetData>
      <sheetData sheetId="14">
        <row r="8">
          <cell r="G8" t="str">
            <v>110_IM_HeadImage_MB_Galaxy_500xV.jpg</v>
          </cell>
          <cell r="H8" t="str">
            <v xml:space="preserve">Get up to $250 off select Galaxy S20 5G </v>
          </cell>
          <cell r="I8" t="str">
            <v>Now from only $13.62/mo for 36 mos&lt;sup&gt;⊕&lt;/sup&gt; or $489.99 with eligible trade-in.&lt;sup&gt;ᶿ&lt;/sup&gt;</v>
          </cell>
          <cell r="J8" t="str">
            <v xml:space="preserve">Get up to $250 off instantly and up to $310 trade-in credit&lt;sup&gt;ᶿ&lt;/sup&gt; toward your next Galaxy S20 5G, S20+ 5G or S20 Ultra 5G. </v>
          </cell>
          <cell r="K8" t="str">
            <v>Buy now</v>
          </cell>
          <cell r="L8" t="str">
            <v>https://www.samsung.com/us/mobile/galaxy-s20-5g/buy/galaxy-s20-5g-128gb-unlocked-sm-g981uzaaxaa/</v>
          </cell>
          <cell r="M8" t="str">
            <v>https://shopsamsung.page.link?link=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efr=1</v>
          </cell>
          <cell r="N8" t="str">
            <v>NULL</v>
          </cell>
          <cell r="O8" t="str">
            <v>NULL</v>
          </cell>
          <cell r="P8" t="str">
            <v>NULL</v>
          </cell>
        </row>
        <row r="9">
          <cell r="G9" t="str">
            <v>23_IM_HeadImage_MB_Fold-500xV.jpg</v>
          </cell>
          <cell r="H9" t="str">
            <v xml:space="preserve">Get up to 50% off Galaxy Z Fold2 5G </v>
          </cell>
          <cell r="I9" t="str">
            <v>Now from only $20.84/mo for 48 mos&lt;sup&gt;⊕&lt;/sup&gt; or $999.99 with eligible trade-in.&lt;sup&gt;ᶿ&lt;/sup&gt;</v>
          </cell>
          <cell r="J9" t="str">
            <v xml:space="preserve">Our best Galaxy Z Fold2 5G offer of the year. Get up to $1000 trade-in credit.&lt;sup&gt;ᶿ&lt;/sup&gt; </v>
          </cell>
          <cell r="K9" t="str">
            <v>Buy now</v>
          </cell>
          <cell r="L9" t="str">
            <v>https://www.samsung.com/us/smartphones/galaxy-z-fold2-5g/buy/</v>
          </cell>
          <cell r="M9" t="str">
            <v>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v>
          </cell>
          <cell r="N9" t="str">
            <v>NULL</v>
          </cell>
          <cell r="O9" t="str">
            <v>NULL</v>
          </cell>
          <cell r="P9" t="str">
            <v>NULL</v>
          </cell>
        </row>
        <row r="10">
          <cell r="G10" t="str">
            <v>24-IM-A71-A51-HeadImage-500xV.jpg</v>
          </cell>
          <cell r="H10" t="str">
            <v>Get 50% off Galaxy A71 5G with T-Mobile and Verizon</v>
          </cell>
          <cell r="I10" t="str">
            <v xml:space="preserve">Now from only only $8.34/mo for 36 mos&lt;sup&gt;⊕&lt;/sup&gt; or $299.99 with eligible trade-in.&lt;sup&gt;ᶿ&lt;/sup&gt; </v>
          </cell>
          <cell r="J10" t="str">
            <v xml:space="preserve">Save up to $250 instantly and get $75 or more trade-in credit. Treat yourself to blazing fast 5G speeds and incredible features at an amazing value. </v>
          </cell>
          <cell r="K10" t="str">
            <v>Buy now</v>
          </cell>
          <cell r="L10" t="str">
            <v>https://www.samsung.com/us/mobile/phones/galaxy-a/buy/?link=galaxy-a71-5g</v>
          </cell>
          <cell r="M10" t="str">
            <v>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v>
          </cell>
          <cell r="N10" t="str">
            <v>NULL</v>
          </cell>
          <cell r="O10" t="str">
            <v>NULL</v>
          </cell>
          <cell r="P10" t="str">
            <v>NULL</v>
          </cell>
        </row>
        <row r="12">
          <cell r="G12" t="str">
            <v>111_CE_MB_TABLET_500xV.jpg</v>
          </cell>
          <cell r="H12" t="str">
            <v>Save up to $150 on Galaxy Tab S7</v>
          </cell>
          <cell r="I12" t="str">
            <v xml:space="preserve">Now from only $549.99. </v>
          </cell>
          <cell r="J12" t="str">
            <v>Designed for work and perfect for play, Galaxy Tab S7 or Tab S7+ is everything you love in one tablet</v>
          </cell>
          <cell r="K12" t="str">
            <v>Buy now</v>
          </cell>
          <cell r="L12" t="str">
            <v>https://www.samsung.com/us/tablets/tab-s7/buy/</v>
          </cell>
          <cell r="M12" t="str">
            <v>https://shopsamsung.page.link?link=https%3A%2F%2Fwww.samsung.com%2Fus%2Ftablets%2Ftab-s7%2Fbuy%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cw_12042020%23marsLinkCategory%3D__MARSTRACKING__%23MKM_RID%3D__BPNUMBER__%23MKM_MID%3D__DELIVERNAME__%23cid%3D__CID____SEGMENTCODE__%23bpid%3D__BPNUMBER__&amp;afl=https%3A%2F%2Fwww.samsung.com%2Fus%2Ftablets%2Ftab-s7%2Fbuy%2F%3Futm_source%3Dsamsung%26utm_medium%3Demail%26utm_campaign%3Dcw_12042020%26marsLinkCategory%3D__MARSTRACKING__%26MKM_RID%3D__BPNUMBER__%26MKM_MID%3D__DELIVERNAME__%26cid%3D__CID____SEGMENTCODE__%26bpid%3D__BPNUMBER__&amp;efr=1</v>
          </cell>
          <cell r="N12" t="str">
            <v>NULL</v>
          </cell>
          <cell r="O12" t="str">
            <v>NULL</v>
          </cell>
          <cell r="P12" t="str">
            <v>NULL</v>
          </cell>
        </row>
        <row r="14">
          <cell r="G14" t="str">
            <v>113_CE_MB_TABLET_500xV.jpg</v>
          </cell>
          <cell r="H14" t="str">
            <v>Save $100 on Galaxy Tab S6 Lite</v>
          </cell>
          <cell r="I14" t="str">
            <v>Now from only $174.99 $349.99 with eligible trade-in.&lt;sup&gt;ᶿ&lt;/sup&gt;</v>
          </cell>
          <cell r="J14" t="str">
            <v>Effortlessly create, edit, and navigate with the included S Pen – work and play with equal freedom.</v>
          </cell>
          <cell r="K14" t="str">
            <v>Buy now</v>
          </cell>
          <cell r="L14" t="str">
            <v>https://www.samsung.com/us/mobile/tablets/buy/?modelCode=SM-P610NZAEXAR</v>
          </cell>
          <cell r="M14" t="str">
            <v>https://shopsamsung.page.link?link=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efr=1</v>
          </cell>
          <cell r="N14" t="str">
            <v>NULL</v>
          </cell>
          <cell r="O14" t="str">
            <v>NULL</v>
          </cell>
          <cell r="P14" t="str">
            <v>NULL</v>
          </cell>
        </row>
        <row r="15">
          <cell r="G15" t="str">
            <v>37_HE_CE_Computing_Monitor_HeadImage_500xV.jpg</v>
          </cell>
          <cell r="H15" t="str">
            <v>Get up to 20% off monitors</v>
          </cell>
          <cell r="I15" t="str">
            <v xml:space="preserve">Now from only $89.99 </v>
          </cell>
          <cell r="J15" t="str">
            <v xml:space="preserve">No matter how hard you work or how hard you play, our wide array of monitors will deliver with stunning sharpness, minimal lag and more. </v>
          </cell>
          <cell r="K15" t="str">
            <v>Shop now</v>
          </cell>
          <cell r="L15" t="str">
            <v>https://www.samsung.com/us/computing/monitors/all-monitors/?shop=Buy+Online</v>
          </cell>
          <cell r="M15" t="str">
            <v>https://shopsamsung.page.link?link=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efr=1</v>
          </cell>
          <cell r="N15" t="str">
            <v>NULL</v>
          </cell>
          <cell r="O15" t="str">
            <v>NULL</v>
          </cell>
          <cell r="P15" t="str">
            <v>NULL</v>
          </cell>
        </row>
        <row r="16">
          <cell r="G16" t="str">
            <v>39_HE_CE_Computer_MemoryCards_HeadImage-500xV.jpg</v>
          </cell>
          <cell r="H16" t="str">
            <v>Get up to 50% off Memory Cards</v>
          </cell>
          <cell r="I16" t="str">
            <v>Now from only $6.99</v>
          </cell>
          <cell r="J16" t="str">
            <v>Prepare for holiday photo ops, the latest app and more with more memory.</v>
          </cell>
          <cell r="K16" t="str">
            <v>Shop now</v>
          </cell>
          <cell r="L16" t="str">
            <v>https://www.samsung.com/us/computing/memory-storage/memory-cards/</v>
          </cell>
          <cell r="M16" t="str">
            <v>https://shopsamsung.page.link?link=https%3A%2F%2Fwww.samsung.com%2Fus%2Fcomputing%2Fmemory-storage%2Fmemory-cards%2F%3F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utm_source%3Dsamsung%23utm_medium%3Demail%23utm_campaign%3Dcw_12042020%23marsLinkCategory%3D__MARSTRACKING__%23MKM_RID%3D__BPNUMBER__%23MKM_MID%3D__DELIVERNAME__%23cid%3D__CID____SEGMENTCODE__%23bpid%3D__BPNUMBER__&amp;afl=https%3A%2F%2Fwww.samsung.com%2Fus%2Fcomputing%2Fmemory-storage%2Fmemory-cards%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utm_source%3Dsamsung%26utm_medium%3Demail%26utm_campaign%3Dcw_12042020%26marsLinkCategory%3D__MARSTRACKING__%26MKM_RID%3D__BPNUMBER__%26MKM_MID%3D__DELIVERNAME__%26cid%3D__CID____SEGMENTCODE__%26bpid%3D__BPNUMBER__&amp;efr=1</v>
          </cell>
          <cell r="N16" t="str">
            <v>NULL</v>
          </cell>
          <cell r="O16" t="str">
            <v>NULL</v>
          </cell>
          <cell r="P16" t="str">
            <v>NULL</v>
          </cell>
        </row>
        <row r="20">
          <cell r="G20" t="str">
            <v>114_ME_MB_WEAR_Buds_LIVE_500xV.jpg</v>
          </cell>
          <cell r="H20" t="str">
            <v>Save $30 on Galaxy Buds Live</v>
          </cell>
          <cell r="I20" t="str">
            <v>Now only $119.99 with eligible trade-in.&lt;sup&gt;ᶿ&lt;/sup&gt;</v>
          </cell>
          <cell r="J20" t="str">
            <v>Give the gift of a truly immersive listening experience with the newest shape of true wireless earbuds.</v>
          </cell>
          <cell r="K20" t="str">
            <v>Buy now</v>
          </cell>
          <cell r="L20" t="str">
            <v>https://www.samsung.com/us/mobile/audio/headphones/galaxy-buds-live-mystic-bronze-sm-r180nznaxar/</v>
          </cell>
          <cell r="M20" t="str">
            <v>https://shopsamsung.page.link?link=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efr=1</v>
          </cell>
          <cell r="N20" t="str">
            <v>NULL</v>
          </cell>
          <cell r="O20" t="str">
            <v>NULL</v>
          </cell>
          <cell r="P20" t="str">
            <v>NULL</v>
          </cell>
        </row>
        <row r="21">
          <cell r="G21" t="str">
            <v>115_ME_MB_WEAR_GW3_Titanium_500xV.jpg</v>
          </cell>
          <cell r="H21" t="str">
            <v xml:space="preserve">Get $100 off Galaxy Watch3 Titanium </v>
          </cell>
          <cell r="I21" t="str">
            <v>Now from only $299.99 with eligible trade-in.&lt;sup&gt;ᶿ&lt;/sup&gt;</v>
          </cell>
          <cell r="J21" t="str">
            <v>Own the Galaxy Watch as tough as you. Save $100 and up to $200, with eligible trade-in.&lt;sup&gt;ᶿ&lt;/sup&gt;</v>
          </cell>
          <cell r="K21" t="str">
            <v>Buy now</v>
          </cell>
          <cell r="L21" t="str">
            <v>https://www.samsung.com/us/watches/galaxy-watch3/buy/?modelCode=SM-R840NTKAXAR</v>
          </cell>
          <cell r="M21" t="str">
            <v>https://shopsamsung.page.link?link=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efr=1</v>
          </cell>
          <cell r="N21" t="str">
            <v>NULL</v>
          </cell>
          <cell r="O21" t="str">
            <v>NULL</v>
          </cell>
          <cell r="P21" t="str">
            <v>NULL</v>
          </cell>
        </row>
        <row r="22">
          <cell r="G22" t="str">
            <v>116_ME_MB_WEAR_GW3_500xV.jpg</v>
          </cell>
          <cell r="H22" t="str">
            <v xml:space="preserve">Get $60 off Galaxy Watch3 </v>
          </cell>
          <cell r="I22" t="str">
            <v>Now from only $139.99 with eligible trade-in.&lt;sup&gt;ᶿ&lt;/sup&gt;</v>
          </cell>
          <cell r="J22" t="str">
            <v xml:space="preserve">Plus, create a style as unique as you in the new Samsung Design Studio and get 30% off a second watch band.  </v>
          </cell>
          <cell r="K22" t="str">
            <v>Buy now</v>
          </cell>
          <cell r="L22" t="str">
            <v>https://www.samsung.com/us/watches/galaxy-watch3/buy/</v>
          </cell>
          <cell r="M22" t="str">
            <v>https://shopsamsung.page.link?link=https%3A%2F%2Fwww.samsung.com%2Fus%2Fwatches%2Fgalaxy-watch3%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23utm_source%3Dsamsung%23utm_medium%3Demail%23utm_campaign%3Dcw_12042020%23marsLinkCategory%3D__MARSTRACKING__%23MKM_RID%3D__BPNUMBER__%23MKM_MID%3D__DELIVERNAME__%23cid%3D__CID____SEGMENTCODE__%23bpid%3D__BPNUMBER__&amp;afl=https%3A%2F%2Fwww.samsung.com%2Fus%2Fwatches%2Fgalaxy-watch3%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utm_source%3Dsamsung%26utm_medium%3Demail%26utm_campaign%3Dcw_12042020%26marsLinkCategory%3D__MARSTRACKING__%26MKM_RID%3D__BPNUMBER__%26MKM_MID%3D__DELIVERNAME__%26cid%3D__CID____SEGMENTCODE__%26bpid%3D__BPNUMBER__&amp;efr=1</v>
          </cell>
          <cell r="N22" t="str">
            <v>NULL</v>
          </cell>
          <cell r="O22" t="str">
            <v>NULL</v>
          </cell>
          <cell r="P22" t="str">
            <v>NULL</v>
          </cell>
        </row>
        <row r="23">
          <cell r="G23" t="str">
            <v>117_ME_MB_WEAR_GW2_500xV.jpg</v>
          </cell>
          <cell r="H23" t="str">
            <v>Save $50 on Galaxy Watch Active2</v>
          </cell>
          <cell r="I23" t="str">
            <v>Now from only $49.99 with eligible trade-in.&lt;sup&gt;ᶿ&lt;/sup&gt;</v>
          </cell>
          <cell r="J23" t="str">
            <v xml:space="preserve">Offer includes Galaxy Watch Active2 Under Armor and Golf Editions. Plus, save up to $150 with eligible trade-inᶿ and get more out of every mile. </v>
          </cell>
          <cell r="K23" t="str">
            <v>Buy now</v>
          </cell>
          <cell r="L23" t="str">
            <v>https://www.samsung.com/us/smartwatches-and-fitness-bands/galaxy-watch-active2/buy/</v>
          </cell>
          <cell r="M23" t="str">
            <v>https://shopsamsung.page.link?link=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efr=1</v>
          </cell>
          <cell r="N23" t="str">
            <v>NULL</v>
          </cell>
          <cell r="O23" t="str">
            <v>NULL</v>
          </cell>
          <cell r="P23" t="str">
            <v>NULL</v>
          </cell>
        </row>
        <row r="25">
          <cell r="G25" t="str">
            <v>110-CPO-HeadImage-500xV.jpg</v>
          </cell>
          <cell r="H25" t="str">
            <v>Save up to $75 instantly on select Certified Pre-owned devices</v>
          </cell>
          <cell r="I25" t="str">
            <v xml:space="preserve">Starting from only $320. </v>
          </cell>
          <cell r="J25" t="str">
            <v xml:space="preserve">Refreshed with a brand new charger and accessories in the box, get some of our favorite phones like Galaxy S10, Note9 and more. Covered by a 12-month warranty, just like our new devices. </v>
          </cell>
          <cell r="K25" t="str">
            <v>Shop now</v>
          </cell>
          <cell r="L25" t="str">
            <v>https://www.samsung.com/us/search/searchMain/?listType=g&amp;searchTerm=cpo&amp;sort=relevance&amp;size=30&amp;item_type=Phones</v>
          </cell>
          <cell r="M25" t="str">
            <v>no equivalent page</v>
          </cell>
          <cell r="N25" t="str">
            <v>NULL</v>
          </cell>
          <cell r="O25" t="str">
            <v>NULL</v>
          </cell>
          <cell r="P25" t="str">
            <v>NULL</v>
          </cell>
        </row>
      </sheetData>
      <sheetData sheetId="15">
        <row r="2">
          <cell r="B2" t="str">
            <v>NULL</v>
          </cell>
          <cell r="C2" t="str">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ell>
          <cell r="D2" t="str">
            <v>NULL</v>
          </cell>
          <cell r="E2" t="str">
            <v>NULL</v>
          </cell>
          <cell r="F2" t="str">
            <v>NULL</v>
          </cell>
          <cell r="G2" t="str">
            <v>1) https://www.samsung.com/us/trade-in/terms-and-conditions/</v>
          </cell>
          <cell r="I2" t="str">
            <v>NULL</v>
          </cell>
          <cell r="J2" t="str">
            <v>NULL</v>
          </cell>
          <cell r="K2" t="str">
            <v>NULL</v>
          </cell>
        </row>
        <row r="3">
          <cell r="B3" t="str">
            <v>NULL</v>
          </cell>
          <cell r="C3" t="str">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ell>
          <cell r="D3" t="str">
            <v>NULL</v>
          </cell>
          <cell r="E3" t="str">
            <v>NULL</v>
          </cell>
          <cell r="F3" t="str">
            <v>NULL</v>
          </cell>
          <cell r="G3" t="str">
            <v>1) https://www.samsung.com/us/trade-in/terms-and-conditions/</v>
          </cell>
          <cell r="I3" t="str">
            <v>NULL</v>
          </cell>
          <cell r="J3" t="str">
            <v>NULL</v>
          </cell>
          <cell r="K3" t="str">
            <v>NULL</v>
          </cell>
        </row>
        <row r="4">
          <cell r="B4" t="str">
            <v>NULL</v>
          </cell>
          <cell r="C4" t="str">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ell>
          <cell r="D4" t="str">
            <v>NULL</v>
          </cell>
          <cell r="E4" t="str">
            <v>NULL</v>
          </cell>
          <cell r="F4" t="str">
            <v>NULL</v>
          </cell>
          <cell r="I4" t="str">
            <v>NULL</v>
          </cell>
          <cell r="J4" t="str">
            <v>NULL</v>
          </cell>
          <cell r="K4" t="str">
            <v>NULL</v>
          </cell>
        </row>
        <row r="5">
          <cell r="B5" t="str">
            <v>NULL</v>
          </cell>
          <cell r="C5" t="str">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ell>
          <cell r="D5" t="str">
            <v>NULL</v>
          </cell>
          <cell r="E5" t="str">
            <v>NULL</v>
          </cell>
          <cell r="F5" t="str">
            <v>NULL</v>
          </cell>
          <cell r="I5" t="str">
            <v>NULL</v>
          </cell>
          <cell r="J5" t="str">
            <v>NULL</v>
          </cell>
          <cell r="K5" t="str">
            <v>NULL</v>
          </cell>
        </row>
        <row r="6">
          <cell r="B6" t="str">
            <v>NULL</v>
          </cell>
          <cell r="C6" t="str">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ell>
          <cell r="D6" t="str">
            <v>NULL</v>
          </cell>
          <cell r="E6" t="str">
            <v>NULL</v>
          </cell>
          <cell r="F6" t="str">
            <v>NULL</v>
          </cell>
          <cell r="G6" t="str">
            <v xml:space="preserve">https://www.samsung.com/us/
</v>
          </cell>
          <cell r="I6" t="str">
            <v>NULL</v>
          </cell>
          <cell r="J6" t="str">
            <v>NULL</v>
          </cell>
          <cell r="K6" t="str">
            <v>NULL</v>
          </cell>
        </row>
      </sheetData>
      <sheetData sheetId="16">
        <row r="2">
          <cell r="B2" t="str">
            <v>NULL</v>
          </cell>
          <cell r="C2" t="str">
            <v>NULL</v>
          </cell>
          <cell r="D2" t="str">
            <v xml:space="preserve">It’s not too late to give wonder. </v>
          </cell>
          <cell r="E2" t="str">
            <v xml:space="preserve">Plus,there is still time to redeem your exclusive $20 instant credit toward eligible accessories with smartphone purchase. </v>
          </cell>
          <cell r="F2" t="str">
            <v xml:space="preserve"> NULL</v>
          </cell>
          <cell r="G2" t="str">
            <v>https://www.samsung.com/us/shop/all-deals/</v>
          </cell>
          <cell r="H2" t="str">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ell>
          <cell r="I2" t="str">
            <v xml:space="preserve"> NULL</v>
          </cell>
          <cell r="J2" t="str">
            <v xml:space="preserve"> NULL</v>
          </cell>
          <cell r="K2" t="str">
            <v xml:space="preserve"> NULL</v>
          </cell>
        </row>
        <row r="3">
          <cell r="B3" t="str">
            <v>NULL</v>
          </cell>
          <cell r="C3" t="str">
            <v>NULL</v>
          </cell>
          <cell r="D3" t="str">
            <v xml:space="preserve">It’s not too late to give wonder. </v>
          </cell>
          <cell r="E3" t="str">
            <v>NULL</v>
          </cell>
          <cell r="F3" t="str">
            <v xml:space="preserve"> NULL</v>
          </cell>
          <cell r="G3" t="str">
            <v>https://www.samsung.com/us/shop/all-deals/</v>
          </cell>
          <cell r="H3" t="str">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ell>
          <cell r="I3" t="str">
            <v xml:space="preserve"> NULL</v>
          </cell>
          <cell r="J3" t="str">
            <v xml:space="preserve"> NULL</v>
          </cell>
          <cell r="K3" t="str">
            <v xml:space="preserve"> NULL</v>
          </cell>
        </row>
        <row r="8">
          <cell r="B8" t="str">
            <v>Give-wonder-500xV.jpg</v>
          </cell>
          <cell r="C8" t="str">
            <v>NULL</v>
          </cell>
          <cell r="D8" t="str">
            <v>NULL</v>
          </cell>
          <cell r="E8" t="str">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ell>
          <cell r="F8" t="str">
            <v>Shop now</v>
          </cell>
          <cell r="G8" t="str">
            <v>https://www.samsung.com/us/gift-ideas/</v>
          </cell>
          <cell r="H8" t="str">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ell>
          <cell r="I8" t="str">
            <v xml:space="preserve"> NULL</v>
          </cell>
          <cell r="J8" t="str">
            <v xml:space="preserve"> NULL</v>
          </cell>
          <cell r="K8" t="str">
            <v xml:space="preserve"> NULL</v>
          </cell>
        </row>
        <row r="9">
          <cell r="B9" t="str">
            <v>Give-wonder-500xV.jpg</v>
          </cell>
          <cell r="C9" t="str">
            <v>NULL</v>
          </cell>
          <cell r="D9" t="str">
            <v>NULL</v>
          </cell>
          <cell r="E9" t="str">
            <v xml:space="preserve">Discover even more exclusive offers on your favorite products. Unlock the power of smart and savvy gifting with our holiday gift guide. </v>
          </cell>
          <cell r="F9" t="str">
            <v>Shop now</v>
          </cell>
          <cell r="G9" t="str">
            <v>https://www.samsung.com/us/gift-ideas/</v>
          </cell>
          <cell r="H9" t="str">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ell>
          <cell r="I9" t="str">
            <v xml:space="preserve"> NULL</v>
          </cell>
          <cell r="J9" t="str">
            <v xml:space="preserve"> NULL</v>
          </cell>
          <cell r="K9" t="str">
            <v xml:space="preserve"> NULL</v>
          </cell>
        </row>
        <row r="10">
          <cell r="B10" t="str">
            <v xml:space="preserve"> </v>
          </cell>
          <cell r="C10" t="str">
            <v xml:space="preserve">Students &amp; Educators • Government • Military • Save@Work • First Responders </v>
          </cell>
          <cell r="D10" t="str">
            <v xml:space="preserve">Login to your Discount Program to save even more on the great offers below. </v>
          </cell>
          <cell r="E10" t="str">
            <v>NULL</v>
          </cell>
          <cell r="F10" t="str">
            <v>NULL</v>
          </cell>
          <cell r="G10" t="str">
            <v>https://www.samsung.com/us/shop/all-deals/</v>
          </cell>
          <cell r="H10" t="str">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ell>
          <cell r="I10" t="str">
            <v xml:space="preserve"> NULL</v>
          </cell>
          <cell r="J10" t="str">
            <v xml:space="preserve"> NULL</v>
          </cell>
          <cell r="K10" t="str">
            <v xml:space="preserve"> NULL</v>
          </cell>
        </row>
        <row r="11">
          <cell r="C11" t="str">
            <v xml:space="preserve">Students &amp; Educators • Government • Military • Save@Work • First Responders </v>
          </cell>
          <cell r="D11" t="str">
            <v xml:space="preserve">Login to your Discount Program to save even more on the great offers below. </v>
          </cell>
          <cell r="E11" t="str">
            <v>NULL</v>
          </cell>
          <cell r="F11" t="str">
            <v>NULL</v>
          </cell>
          <cell r="G11" t="str">
            <v>https://www.samsung.com/us/shop/all-deals/</v>
          </cell>
          <cell r="H11" t="str">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ell>
          <cell r="I11" t="str">
            <v xml:space="preserve"> NULL</v>
          </cell>
          <cell r="J11" t="str">
            <v xml:space="preserve"> NULL</v>
          </cell>
        </row>
        <row r="12">
          <cell r="B12" t="str">
            <v>NULL</v>
          </cell>
          <cell r="C12" t="str">
            <v xml:space="preserve">Order by December 19 to get most smartphones, wearables, tablets and laptops delivered by December 25. </v>
          </cell>
          <cell r="D12" t="str">
            <v>NULL</v>
          </cell>
          <cell r="E12" t="str">
            <v>NULL</v>
          </cell>
          <cell r="F12" t="str">
            <v>NULL</v>
          </cell>
          <cell r="G12" t="str">
            <v>https://www.samsung.com/us/support/order-faqs/#SHIPPINGANDPAYMENTS</v>
          </cell>
          <cell r="H12" t="str">
            <v xml:space="preserve"> </v>
          </cell>
          <cell r="I12" t="str">
            <v>NULL</v>
          </cell>
          <cell r="J12" t="str">
            <v>NULL</v>
          </cell>
        </row>
        <row r="13">
          <cell r="B13" t="str">
            <v>NULL</v>
          </cell>
          <cell r="C13" t="str">
            <v xml:space="preserve">Order by December 19 to get most smartphones, wearables, tablets and laptops delivered by December 25. </v>
          </cell>
          <cell r="D13" t="str">
            <v>NULL</v>
          </cell>
          <cell r="E13" t="str">
            <v>NULL</v>
          </cell>
          <cell r="F13" t="str">
            <v>NULL</v>
          </cell>
          <cell r="G13" t="str">
            <v>https://www.samsung.com/us/support/order-faqs/#SHIPPINGANDPAYMENTS</v>
          </cell>
          <cell r="H13" t="str">
            <v xml:space="preserve"> </v>
          </cell>
          <cell r="I13" t="str">
            <v>NULL</v>
          </cell>
          <cell r="J13" t="str">
            <v>NULL</v>
          </cell>
        </row>
        <row r="17">
          <cell r="B17" t="str">
            <v>Last_Minute_Deals_T2_KV.jpg</v>
          </cell>
          <cell r="C17" t="str">
            <v>Last-minute gifts just in time</v>
          </cell>
          <cell r="D17" t="str">
            <v>NULL</v>
          </cell>
          <cell r="E17" t="str">
            <v>NULL</v>
          </cell>
          <cell r="F17" t="str">
            <v xml:space="preserve"> NULL</v>
          </cell>
          <cell r="G17" t="str">
            <v>https://www.samsung.com/us/shop/all-deals/</v>
          </cell>
          <cell r="H17" t="str">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ell>
          <cell r="I17" t="str">
            <v xml:space="preserve"> NULL</v>
          </cell>
          <cell r="J17" t="str">
            <v xml:space="preserve"> NULL</v>
          </cell>
          <cell r="K17" t="str">
            <v xml:space="preserve"> NULL</v>
          </cell>
        </row>
        <row r="18">
          <cell r="B18" t="str">
            <v>Last_Minute_Deals_T2_KV.jpg</v>
          </cell>
          <cell r="C18" t="str">
            <v>Last-minute gifts just in time</v>
          </cell>
          <cell r="D18" t="str">
            <v>NULL</v>
          </cell>
          <cell r="E18" t="str">
            <v>NULL</v>
          </cell>
          <cell r="F18" t="str">
            <v xml:space="preserve"> NULL</v>
          </cell>
          <cell r="G18" t="str">
            <v>https://www.samsung.com/us/shop/all-deals/</v>
          </cell>
          <cell r="H18" t="str">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ell>
          <cell r="I18" t="str">
            <v xml:space="preserve"> NULL</v>
          </cell>
          <cell r="J18" t="str">
            <v xml:space="preserve"> NULL</v>
          </cell>
          <cell r="K18" t="str">
            <v xml:space="preserve"> NULL</v>
          </cell>
        </row>
      </sheetData>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msung.com/us/watches/galaxy-watch3/buy/?modelCode=SM-R840NTKAXAR"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amsung.com/us/shop/all-deals/tv-and-home-theater-deals/" TargetMode="External"/><Relationship Id="rId1" Type="http://schemas.openxmlformats.org/officeDocument/2006/relationships/hyperlink" Target="https://www.samsung.com/us/shop/all-deals/tv-and-home-theater-deals/"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samsung.com/us/shop/all-deals/" TargetMode="External"/><Relationship Id="rId1" Type="http://schemas.openxmlformats.org/officeDocument/2006/relationships/hyperlink" Target="https://www.samsung.com/us/shop/all-deal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Q25"/>
  <sheetViews>
    <sheetView topLeftCell="A10" workbookViewId="0">
      <selection activeCell="L21" sqref="L21"/>
    </sheetView>
  </sheetViews>
  <sheetFormatPr defaultRowHeight="15" x14ac:dyDescent="0.25"/>
  <cols>
    <col min="1" max="1" width="11.140625" customWidth="1"/>
    <col min="2" max="2" width="10.7109375" bestFit="1" customWidth="1"/>
    <col min="3" max="3" width="10.28515625" bestFit="1" customWidth="1"/>
    <col min="4" max="4" width="14.42578125" bestFit="1" customWidth="1"/>
    <col min="5" max="5" width="10" customWidth="1"/>
    <col min="6" max="6" width="25.42578125" customWidth="1"/>
    <col min="7" max="7" width="17.7109375" bestFit="1" customWidth="1"/>
    <col min="8" max="9" width="24.140625" style="1" customWidth="1"/>
    <col min="10" max="10" width="33.28515625" style="1" customWidth="1"/>
    <col min="11" max="11" width="9.28515625" customWidth="1"/>
    <col min="12" max="12" width="19.7109375" style="1" customWidth="1"/>
    <col min="13" max="13" width="46" customWidth="1"/>
    <col min="14" max="14" width="7.5703125" bestFit="1" customWidth="1"/>
    <col min="15" max="15" width="8.140625" bestFit="1" customWidth="1"/>
    <col min="16" max="16" width="8.7109375" bestFit="1" customWidth="1"/>
    <col min="17" max="17" width="75.7109375" customWidth="1"/>
  </cols>
  <sheetData>
    <row r="1" spans="1:16" x14ac:dyDescent="0.25">
      <c r="A1" s="49" t="s">
        <v>156</v>
      </c>
      <c r="B1" s="39"/>
      <c r="C1" s="39"/>
      <c r="D1" s="50"/>
      <c r="E1" s="92" t="s">
        <v>157</v>
      </c>
      <c r="F1" s="51"/>
      <c r="G1" s="43"/>
    </row>
    <row r="2" spans="1:16" x14ac:dyDescent="0.25">
      <c r="A2" s="39" t="s">
        <v>158</v>
      </c>
      <c r="B2" s="39"/>
      <c r="C2" s="39"/>
      <c r="D2" s="50"/>
      <c r="E2" s="111" t="s">
        <v>488</v>
      </c>
      <c r="F2" s="112"/>
      <c r="G2" s="43"/>
    </row>
    <row r="3" spans="1:16" x14ac:dyDescent="0.25">
      <c r="A3" s="50" t="s">
        <v>432</v>
      </c>
      <c r="B3" s="39"/>
      <c r="C3" s="39"/>
      <c r="D3" s="50"/>
      <c r="E3" s="52"/>
      <c r="F3" s="52"/>
      <c r="G3" s="43"/>
    </row>
    <row r="4" spans="1:16" x14ac:dyDescent="0.25">
      <c r="A4" s="53" t="s">
        <v>159</v>
      </c>
      <c r="B4" s="39"/>
      <c r="C4" s="39"/>
      <c r="D4" s="50"/>
      <c r="E4" s="52"/>
      <c r="F4" s="52"/>
      <c r="G4" s="43"/>
    </row>
    <row r="5" spans="1:16" x14ac:dyDescent="0.25">
      <c r="A5" s="93"/>
      <c r="B5" s="39"/>
      <c r="C5" s="39"/>
      <c r="D5" s="50"/>
      <c r="E5" s="52"/>
      <c r="F5" s="52"/>
      <c r="G5" s="43"/>
    </row>
    <row r="6" spans="1:16" s="1" customFormat="1" ht="30" x14ac:dyDescent="0.25">
      <c r="A6" s="54" t="s">
        <v>161</v>
      </c>
      <c r="B6" s="54" t="s">
        <v>162</v>
      </c>
      <c r="C6" s="54" t="s">
        <v>163</v>
      </c>
      <c r="D6" s="54" t="s">
        <v>164</v>
      </c>
      <c r="E6" s="54" t="s">
        <v>165</v>
      </c>
      <c r="F6" s="54" t="s">
        <v>166</v>
      </c>
      <c r="G6" s="54" t="s">
        <v>4</v>
      </c>
      <c r="H6" s="54" t="s">
        <v>11</v>
      </c>
      <c r="I6" s="54" t="s">
        <v>167</v>
      </c>
      <c r="J6" s="54" t="s">
        <v>41</v>
      </c>
      <c r="K6" s="54" t="s">
        <v>119</v>
      </c>
      <c r="L6" s="54" t="s">
        <v>120</v>
      </c>
      <c r="M6" s="54" t="s">
        <v>121</v>
      </c>
      <c r="N6" s="54" t="s">
        <v>42</v>
      </c>
      <c r="O6" s="54" t="s">
        <v>43</v>
      </c>
      <c r="P6" s="54" t="s">
        <v>168</v>
      </c>
    </row>
    <row r="7" spans="1:16" s="48" customFormat="1" x14ac:dyDescent="0.25">
      <c r="A7" s="166" t="s">
        <v>169</v>
      </c>
      <c r="B7" s="167"/>
      <c r="C7" s="167"/>
      <c r="D7" s="167"/>
      <c r="E7" s="167"/>
      <c r="F7" s="167"/>
      <c r="G7" s="167"/>
      <c r="H7" s="167"/>
      <c r="I7" s="167"/>
      <c r="J7" s="167"/>
      <c r="K7" s="167"/>
      <c r="L7" s="167"/>
      <c r="M7" s="167"/>
    </row>
    <row r="8" spans="1:16" s="48" customFormat="1" ht="90" x14ac:dyDescent="0.25">
      <c r="A8" s="55">
        <v>44175</v>
      </c>
      <c r="B8" s="55">
        <v>44196</v>
      </c>
      <c r="C8" s="31" t="s">
        <v>170</v>
      </c>
      <c r="D8" s="31" t="s">
        <v>171</v>
      </c>
      <c r="E8" s="31">
        <v>1</v>
      </c>
      <c r="F8" s="27" t="s">
        <v>122</v>
      </c>
      <c r="G8" s="30" t="s">
        <v>433</v>
      </c>
      <c r="H8" s="94" t="s">
        <v>123</v>
      </c>
      <c r="I8" s="94" t="s">
        <v>434</v>
      </c>
      <c r="J8" s="94" t="s">
        <v>435</v>
      </c>
      <c r="K8" s="29" t="s">
        <v>124</v>
      </c>
      <c r="L8" s="28" t="s">
        <v>125</v>
      </c>
      <c r="M8" s="30" t="s">
        <v>489</v>
      </c>
      <c r="N8" s="29" t="s">
        <v>182</v>
      </c>
      <c r="O8" s="29" t="s">
        <v>182</v>
      </c>
      <c r="P8" s="29" t="s">
        <v>182</v>
      </c>
    </row>
    <row r="9" spans="1:16" s="48" customFormat="1" ht="75" x14ac:dyDescent="0.25">
      <c r="A9" s="55">
        <v>44145</v>
      </c>
      <c r="B9" s="55">
        <v>44196</v>
      </c>
      <c r="C9" s="31" t="s">
        <v>170</v>
      </c>
      <c r="D9" s="31" t="s">
        <v>172</v>
      </c>
      <c r="E9" s="31">
        <v>2</v>
      </c>
      <c r="F9" s="27" t="s">
        <v>126</v>
      </c>
      <c r="G9" s="41" t="s">
        <v>127</v>
      </c>
      <c r="H9" s="28" t="s">
        <v>128</v>
      </c>
      <c r="I9" s="28" t="s">
        <v>437</v>
      </c>
      <c r="J9" s="27" t="s">
        <v>438</v>
      </c>
      <c r="K9" s="46" t="s">
        <v>124</v>
      </c>
      <c r="L9" s="159" t="s">
        <v>113</v>
      </c>
      <c r="M9" s="41" t="s">
        <v>490</v>
      </c>
      <c r="N9" s="29" t="s">
        <v>182</v>
      </c>
      <c r="O9" s="29" t="s">
        <v>182</v>
      </c>
      <c r="P9" s="29" t="s">
        <v>182</v>
      </c>
    </row>
    <row r="10" spans="1:16" s="48" customFormat="1" ht="75" x14ac:dyDescent="0.25">
      <c r="A10" s="56">
        <v>44150</v>
      </c>
      <c r="B10" s="57">
        <v>44196</v>
      </c>
      <c r="C10" s="31" t="s">
        <v>170</v>
      </c>
      <c r="D10" s="31" t="s">
        <v>392</v>
      </c>
      <c r="E10" s="31">
        <v>3</v>
      </c>
      <c r="F10" s="58" t="s">
        <v>129</v>
      </c>
      <c r="G10" s="48" t="s">
        <v>130</v>
      </c>
      <c r="H10" s="58" t="s">
        <v>131</v>
      </c>
      <c r="I10" s="58" t="s">
        <v>491</v>
      </c>
      <c r="J10" s="58" t="s">
        <v>132</v>
      </c>
      <c r="K10" s="59" t="s">
        <v>124</v>
      </c>
      <c r="L10" s="160" t="s">
        <v>133</v>
      </c>
      <c r="M10" s="59" t="s">
        <v>135</v>
      </c>
      <c r="N10" s="29" t="s">
        <v>182</v>
      </c>
      <c r="O10" s="29" t="s">
        <v>182</v>
      </c>
      <c r="P10" s="29" t="s">
        <v>182</v>
      </c>
    </row>
    <row r="11" spans="1:16" s="48" customFormat="1" x14ac:dyDescent="0.25">
      <c r="A11" s="168" t="s">
        <v>173</v>
      </c>
      <c r="B11" s="169"/>
      <c r="C11" s="169"/>
      <c r="D11" s="169"/>
      <c r="E11" s="169"/>
      <c r="F11" s="169"/>
      <c r="G11" s="169"/>
      <c r="H11" s="169"/>
      <c r="I11" s="169"/>
      <c r="J11" s="169"/>
      <c r="K11" s="169"/>
      <c r="L11" s="169"/>
      <c r="M11" s="169"/>
    </row>
    <row r="12" spans="1:16" s="48" customFormat="1" ht="60" x14ac:dyDescent="0.25">
      <c r="A12" s="55">
        <v>44172</v>
      </c>
      <c r="B12" s="55">
        <v>44192</v>
      </c>
      <c r="C12" s="31" t="s">
        <v>1</v>
      </c>
      <c r="D12" s="31" t="s">
        <v>174</v>
      </c>
      <c r="E12" s="31">
        <v>1</v>
      </c>
      <c r="F12" s="27" t="s">
        <v>136</v>
      </c>
      <c r="G12" s="30" t="s">
        <v>440</v>
      </c>
      <c r="H12" s="28" t="s">
        <v>137</v>
      </c>
      <c r="I12" s="28" t="s">
        <v>138</v>
      </c>
      <c r="J12" s="28" t="s">
        <v>139</v>
      </c>
      <c r="K12" s="29" t="s">
        <v>124</v>
      </c>
      <c r="L12" s="28" t="s">
        <v>140</v>
      </c>
      <c r="M12" s="95" t="s">
        <v>492</v>
      </c>
      <c r="N12" s="29" t="s">
        <v>182</v>
      </c>
      <c r="O12" s="29" t="s">
        <v>182</v>
      </c>
      <c r="P12" s="29" t="s">
        <v>182</v>
      </c>
    </row>
    <row r="13" spans="1:16" s="48" customFormat="1" ht="60" x14ac:dyDescent="0.25">
      <c r="A13" s="113">
        <v>44172</v>
      </c>
      <c r="B13" s="113">
        <v>44185</v>
      </c>
      <c r="C13" s="114" t="s">
        <v>1</v>
      </c>
      <c r="D13" s="114" t="s">
        <v>175</v>
      </c>
      <c r="E13" s="114">
        <v>2</v>
      </c>
      <c r="F13" s="115" t="s">
        <v>141</v>
      </c>
      <c r="G13" s="114" t="s">
        <v>442</v>
      </c>
      <c r="H13" s="115" t="s">
        <v>142</v>
      </c>
      <c r="I13" s="115" t="s">
        <v>443</v>
      </c>
      <c r="J13" s="115" t="s">
        <v>143</v>
      </c>
      <c r="K13" s="114" t="s">
        <v>124</v>
      </c>
      <c r="L13" s="115" t="s">
        <v>144</v>
      </c>
      <c r="M13" s="116" t="s">
        <v>493</v>
      </c>
      <c r="N13" s="114" t="s">
        <v>182</v>
      </c>
      <c r="O13" s="114" t="s">
        <v>182</v>
      </c>
      <c r="P13" s="114" t="s">
        <v>182</v>
      </c>
    </row>
    <row r="14" spans="1:16" s="48" customFormat="1" ht="75" x14ac:dyDescent="0.25">
      <c r="A14" s="55">
        <v>44172</v>
      </c>
      <c r="B14" s="55">
        <v>44192</v>
      </c>
      <c r="C14" s="31" t="s">
        <v>1</v>
      </c>
      <c r="D14" s="31" t="s">
        <v>174</v>
      </c>
      <c r="E14" s="31">
        <v>3</v>
      </c>
      <c r="F14" s="27" t="s">
        <v>145</v>
      </c>
      <c r="G14" s="30" t="s">
        <v>445</v>
      </c>
      <c r="H14" s="28" t="s">
        <v>146</v>
      </c>
      <c r="I14" s="28" t="s">
        <v>446</v>
      </c>
      <c r="J14" s="28" t="s">
        <v>147</v>
      </c>
      <c r="K14" s="29" t="s">
        <v>124</v>
      </c>
      <c r="L14" s="28" t="s">
        <v>148</v>
      </c>
      <c r="M14" s="95" t="s">
        <v>494</v>
      </c>
      <c r="N14" s="29" t="s">
        <v>182</v>
      </c>
      <c r="O14" s="29" t="s">
        <v>182</v>
      </c>
      <c r="P14" s="29" t="s">
        <v>182</v>
      </c>
    </row>
    <row r="15" spans="1:16" s="48" customFormat="1" ht="75" x14ac:dyDescent="0.25">
      <c r="A15" s="55">
        <v>44179</v>
      </c>
      <c r="B15" s="55">
        <v>44192</v>
      </c>
      <c r="C15" s="31" t="s">
        <v>1</v>
      </c>
      <c r="D15" s="31" t="s">
        <v>175</v>
      </c>
      <c r="E15" s="31">
        <v>4</v>
      </c>
      <c r="F15" s="100" t="s">
        <v>448</v>
      </c>
      <c r="G15" s="60" t="s">
        <v>149</v>
      </c>
      <c r="H15" s="27" t="s">
        <v>150</v>
      </c>
      <c r="I15" s="101" t="s">
        <v>449</v>
      </c>
      <c r="J15" s="27" t="s">
        <v>151</v>
      </c>
      <c r="K15" s="31" t="s">
        <v>30</v>
      </c>
      <c r="L15" s="161" t="s">
        <v>152</v>
      </c>
      <c r="M15" s="95" t="s">
        <v>495</v>
      </c>
      <c r="N15" s="29" t="s">
        <v>182</v>
      </c>
      <c r="O15" s="29" t="s">
        <v>182</v>
      </c>
      <c r="P15" s="29" t="s">
        <v>182</v>
      </c>
    </row>
    <row r="16" spans="1:16" s="48" customFormat="1" ht="75" x14ac:dyDescent="0.25">
      <c r="A16" s="55">
        <v>44172</v>
      </c>
      <c r="B16" s="55">
        <v>44192</v>
      </c>
      <c r="C16" s="31" t="s">
        <v>1</v>
      </c>
      <c r="D16" s="31" t="s">
        <v>175</v>
      </c>
      <c r="E16" s="31">
        <v>5</v>
      </c>
      <c r="F16" s="27" t="s">
        <v>451</v>
      </c>
      <c r="G16" s="60" t="s">
        <v>176</v>
      </c>
      <c r="H16" s="28" t="s">
        <v>452</v>
      </c>
      <c r="I16" s="101" t="s">
        <v>453</v>
      </c>
      <c r="J16" s="28" t="s">
        <v>177</v>
      </c>
      <c r="K16" s="29" t="s">
        <v>30</v>
      </c>
      <c r="L16" s="162" t="s">
        <v>178</v>
      </c>
      <c r="M16" s="95" t="s">
        <v>496</v>
      </c>
      <c r="N16" s="29" t="s">
        <v>182</v>
      </c>
      <c r="O16" s="29" t="s">
        <v>182</v>
      </c>
      <c r="P16" s="29" t="s">
        <v>182</v>
      </c>
    </row>
    <row r="17" spans="1:17" s="105" customFormat="1" ht="15.75" x14ac:dyDescent="0.25">
      <c r="A17" s="61">
        <v>44158</v>
      </c>
      <c r="B17" s="61">
        <v>44178</v>
      </c>
      <c r="C17" s="62" t="s">
        <v>1</v>
      </c>
      <c r="D17" s="62" t="s">
        <v>175</v>
      </c>
      <c r="E17" s="62">
        <v>6</v>
      </c>
      <c r="F17" s="102" t="s">
        <v>455</v>
      </c>
      <c r="G17" s="103" t="s">
        <v>34</v>
      </c>
      <c r="H17" s="104"/>
      <c r="I17" s="104"/>
      <c r="J17" s="104"/>
      <c r="K17" s="62"/>
      <c r="L17" s="104"/>
      <c r="M17" s="62"/>
      <c r="N17" s="62"/>
      <c r="O17" s="62"/>
      <c r="P17" s="62"/>
    </row>
    <row r="18" spans="1:17" s="105" customFormat="1" ht="30" x14ac:dyDescent="0.25">
      <c r="A18" s="61">
        <v>44158</v>
      </c>
      <c r="B18" s="61">
        <v>44192</v>
      </c>
      <c r="C18" s="62" t="s">
        <v>1</v>
      </c>
      <c r="D18" s="62" t="s">
        <v>175</v>
      </c>
      <c r="E18" s="62">
        <v>7</v>
      </c>
      <c r="F18" s="104" t="s">
        <v>179</v>
      </c>
      <c r="G18" s="103" t="s">
        <v>34</v>
      </c>
      <c r="H18" s="104"/>
      <c r="I18" s="104"/>
      <c r="J18" s="104"/>
      <c r="K18" s="62"/>
      <c r="L18" s="104"/>
      <c r="M18" s="62"/>
      <c r="N18" s="62"/>
      <c r="O18" s="62"/>
      <c r="P18" s="62"/>
    </row>
    <row r="19" spans="1:17" s="48" customFormat="1" x14ac:dyDescent="0.25">
      <c r="A19" s="168" t="s">
        <v>180</v>
      </c>
      <c r="B19" s="169"/>
      <c r="C19" s="169"/>
      <c r="D19" s="169"/>
      <c r="E19" s="169"/>
      <c r="F19" s="169"/>
      <c r="G19" s="169"/>
      <c r="H19" s="169"/>
      <c r="I19" s="169"/>
      <c r="J19" s="169"/>
      <c r="K19" s="169"/>
      <c r="L19" s="169"/>
      <c r="M19" s="169"/>
    </row>
    <row r="20" spans="1:17" s="48" customFormat="1" ht="90" x14ac:dyDescent="0.25">
      <c r="A20" s="55">
        <v>44179</v>
      </c>
      <c r="B20" s="55">
        <v>44196</v>
      </c>
      <c r="C20" s="31" t="s">
        <v>2</v>
      </c>
      <c r="D20" s="31" t="s">
        <v>181</v>
      </c>
      <c r="E20" s="31">
        <v>1</v>
      </c>
      <c r="F20" s="27" t="s">
        <v>456</v>
      </c>
      <c r="G20" s="63" t="s">
        <v>457</v>
      </c>
      <c r="H20" s="106" t="s">
        <v>153</v>
      </c>
      <c r="I20" s="107" t="s">
        <v>458</v>
      </c>
      <c r="J20" s="106" t="s">
        <v>154</v>
      </c>
      <c r="K20" s="37" t="s">
        <v>124</v>
      </c>
      <c r="L20" s="163" t="s">
        <v>155</v>
      </c>
      <c r="M20" s="30" t="s">
        <v>497</v>
      </c>
      <c r="N20" s="29" t="s">
        <v>182</v>
      </c>
      <c r="O20" s="29" t="s">
        <v>182</v>
      </c>
      <c r="P20" s="29" t="s">
        <v>182</v>
      </c>
    </row>
    <row r="21" spans="1:17" s="48" customFormat="1" ht="90" x14ac:dyDescent="0.25">
      <c r="A21" s="55">
        <v>44179</v>
      </c>
      <c r="B21" s="55">
        <v>44196</v>
      </c>
      <c r="C21" s="31" t="s">
        <v>2</v>
      </c>
      <c r="D21" s="31" t="s">
        <v>181</v>
      </c>
      <c r="E21" s="31">
        <v>2</v>
      </c>
      <c r="F21" s="27" t="s">
        <v>460</v>
      </c>
      <c r="G21" s="108" t="s">
        <v>461</v>
      </c>
      <c r="H21" s="27" t="s">
        <v>462</v>
      </c>
      <c r="I21" s="27" t="s">
        <v>463</v>
      </c>
      <c r="J21" s="27" t="s">
        <v>464</v>
      </c>
      <c r="K21" s="31" t="s">
        <v>124</v>
      </c>
      <c r="L21" s="27" t="s">
        <v>103</v>
      </c>
      <c r="M21" s="30" t="s">
        <v>498</v>
      </c>
      <c r="N21" s="29" t="s">
        <v>182</v>
      </c>
      <c r="O21" s="29" t="s">
        <v>182</v>
      </c>
      <c r="P21" s="29" t="s">
        <v>182</v>
      </c>
      <c r="Q21" s="109"/>
    </row>
    <row r="22" spans="1:17" s="48" customFormat="1" ht="60" x14ac:dyDescent="0.25">
      <c r="A22" s="55">
        <v>44179</v>
      </c>
      <c r="B22" s="55">
        <v>44196</v>
      </c>
      <c r="C22" s="31" t="s">
        <v>2</v>
      </c>
      <c r="D22" s="31" t="s">
        <v>181</v>
      </c>
      <c r="E22" s="31">
        <v>3</v>
      </c>
      <c r="F22" s="27" t="s">
        <v>466</v>
      </c>
      <c r="G22" s="108" t="s">
        <v>467</v>
      </c>
      <c r="H22" s="27" t="s">
        <v>468</v>
      </c>
      <c r="I22" s="27" t="s">
        <v>469</v>
      </c>
      <c r="J22" s="27" t="s">
        <v>470</v>
      </c>
      <c r="K22" s="31" t="s">
        <v>124</v>
      </c>
      <c r="L22" s="27" t="s">
        <v>471</v>
      </c>
      <c r="M22" s="30" t="s">
        <v>499</v>
      </c>
      <c r="N22" s="29" t="s">
        <v>182</v>
      </c>
      <c r="O22" s="29" t="s">
        <v>182</v>
      </c>
      <c r="P22" s="29" t="s">
        <v>182</v>
      </c>
      <c r="Q22" s="109"/>
    </row>
    <row r="23" spans="1:17" s="48" customFormat="1" ht="75" x14ac:dyDescent="0.25">
      <c r="A23" s="55">
        <v>44179</v>
      </c>
      <c r="B23" s="55">
        <v>44196</v>
      </c>
      <c r="C23" s="31" t="s">
        <v>2</v>
      </c>
      <c r="D23" s="31" t="s">
        <v>181</v>
      </c>
      <c r="E23" s="31">
        <v>4</v>
      </c>
      <c r="F23" s="27" t="s">
        <v>473</v>
      </c>
      <c r="G23" s="108" t="s">
        <v>474</v>
      </c>
      <c r="H23" s="27" t="s">
        <v>475</v>
      </c>
      <c r="I23" s="27" t="s">
        <v>476</v>
      </c>
      <c r="J23" s="101" t="s">
        <v>477</v>
      </c>
      <c r="K23" s="31" t="s">
        <v>124</v>
      </c>
      <c r="L23" s="27" t="s">
        <v>478</v>
      </c>
      <c r="M23" s="30" t="s">
        <v>500</v>
      </c>
      <c r="N23" s="29" t="s">
        <v>182</v>
      </c>
      <c r="O23" s="29" t="s">
        <v>182</v>
      </c>
      <c r="P23" s="29" t="s">
        <v>182</v>
      </c>
      <c r="Q23" s="109"/>
    </row>
    <row r="24" spans="1:17" x14ac:dyDescent="0.25">
      <c r="A24" s="166" t="s">
        <v>480</v>
      </c>
      <c r="B24" s="167"/>
      <c r="C24" s="167"/>
      <c r="D24" s="167"/>
      <c r="E24" s="167"/>
      <c r="F24" s="167"/>
      <c r="G24" s="167"/>
      <c r="H24" s="167"/>
      <c r="I24" s="167"/>
      <c r="J24" s="167"/>
      <c r="K24" s="167"/>
      <c r="L24" s="167"/>
      <c r="M24" s="167"/>
    </row>
    <row r="25" spans="1:17" ht="105" x14ac:dyDescent="0.25">
      <c r="A25" t="s">
        <v>481</v>
      </c>
      <c r="B25" t="s">
        <v>481</v>
      </c>
      <c r="C25" s="48" t="s">
        <v>169</v>
      </c>
      <c r="D25" s="48" t="s">
        <v>392</v>
      </c>
      <c r="E25" s="48">
        <v>4</v>
      </c>
      <c r="F25" s="47" t="s">
        <v>482</v>
      </c>
      <c r="G25" s="110" t="s">
        <v>483</v>
      </c>
      <c r="H25" s="1" t="s">
        <v>482</v>
      </c>
      <c r="I25" s="1" t="s">
        <v>484</v>
      </c>
      <c r="J25" s="1" t="s">
        <v>485</v>
      </c>
      <c r="K25" s="48" t="s">
        <v>30</v>
      </c>
      <c r="L25" s="1" t="s">
        <v>486</v>
      </c>
      <c r="M25" s="110" t="s">
        <v>501</v>
      </c>
      <c r="N25" s="29" t="s">
        <v>182</v>
      </c>
      <c r="O25" s="29" t="s">
        <v>182</v>
      </c>
      <c r="P25" s="29" t="s">
        <v>182</v>
      </c>
    </row>
  </sheetData>
  <mergeCells count="4">
    <mergeCell ref="A7:M7"/>
    <mergeCell ref="A11:M11"/>
    <mergeCell ref="A19:M19"/>
    <mergeCell ref="A24:M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Q25"/>
  <sheetViews>
    <sheetView tabSelected="1" topLeftCell="C1" workbookViewId="0">
      <pane ySplit="6" topLeftCell="A7" activePane="bottomLeft" state="frozen"/>
      <selection sqref="A1:XFD1048576"/>
      <selection pane="bottomLeft" activeCell="L8" sqref="L8"/>
    </sheetView>
  </sheetViews>
  <sheetFormatPr defaultRowHeight="15" x14ac:dyDescent="0.25"/>
  <cols>
    <col min="1" max="1" width="11.140625" customWidth="1"/>
    <col min="2" max="2" width="10.7109375" bestFit="1" customWidth="1"/>
    <col min="3" max="3" width="10.28515625" bestFit="1" customWidth="1"/>
    <col min="4" max="4" width="14.42578125" bestFit="1" customWidth="1"/>
    <col min="5" max="5" width="10" customWidth="1"/>
    <col min="6" max="6" width="25.42578125" customWidth="1"/>
    <col min="7" max="7" width="17.7109375" bestFit="1" customWidth="1"/>
    <col min="8" max="9" width="24.140625" style="1" customWidth="1"/>
    <col min="10" max="10" width="33.28515625" style="1" customWidth="1"/>
    <col min="11" max="11" width="9" customWidth="1"/>
    <col min="12" max="12" width="22.140625" style="1" customWidth="1"/>
    <col min="13" max="13" width="22.140625" customWidth="1"/>
    <col min="14" max="14" width="7.5703125" bestFit="1" customWidth="1"/>
    <col min="15" max="15" width="8.140625" bestFit="1" customWidth="1"/>
    <col min="16" max="16" width="8.7109375" bestFit="1" customWidth="1"/>
    <col min="17" max="17" width="67.5703125" customWidth="1"/>
  </cols>
  <sheetData>
    <row r="1" spans="1:17" x14ac:dyDescent="0.25">
      <c r="A1" s="49" t="s">
        <v>156</v>
      </c>
      <c r="B1" s="39"/>
      <c r="C1" s="39"/>
      <c r="D1" s="50"/>
      <c r="E1" s="92" t="s">
        <v>157</v>
      </c>
      <c r="F1" s="51"/>
      <c r="G1" s="43"/>
    </row>
    <row r="2" spans="1:17" x14ac:dyDescent="0.25">
      <c r="A2" s="39" t="s">
        <v>158</v>
      </c>
      <c r="B2" s="39"/>
      <c r="C2" s="39"/>
      <c r="D2" s="50"/>
      <c r="E2" s="52"/>
      <c r="F2" s="52"/>
      <c r="G2" s="43"/>
    </row>
    <row r="3" spans="1:17" x14ac:dyDescent="0.25">
      <c r="A3" s="50" t="s">
        <v>432</v>
      </c>
      <c r="B3" s="39"/>
      <c r="C3" s="39"/>
      <c r="D3" s="50"/>
      <c r="E3" s="52"/>
      <c r="F3" s="52"/>
      <c r="G3" s="43"/>
    </row>
    <row r="4" spans="1:17" x14ac:dyDescent="0.25">
      <c r="A4" s="53" t="s">
        <v>159</v>
      </c>
      <c r="B4" s="39"/>
      <c r="C4" s="39"/>
      <c r="D4" s="50"/>
      <c r="E4" s="52"/>
      <c r="F4" s="52"/>
      <c r="G4" s="43"/>
    </row>
    <row r="5" spans="1:17" x14ac:dyDescent="0.25">
      <c r="A5" s="93"/>
      <c r="B5" s="39"/>
      <c r="C5" s="39"/>
      <c r="D5" s="50"/>
      <c r="E5" s="52"/>
      <c r="F5" s="52"/>
      <c r="G5" s="43"/>
    </row>
    <row r="6" spans="1:17" s="1" customFormat="1" ht="30" x14ac:dyDescent="0.25">
      <c r="A6" s="54" t="s">
        <v>161</v>
      </c>
      <c r="B6" s="54" t="s">
        <v>162</v>
      </c>
      <c r="C6" s="54" t="s">
        <v>163</v>
      </c>
      <c r="D6" s="54" t="s">
        <v>164</v>
      </c>
      <c r="E6" s="54" t="s">
        <v>165</v>
      </c>
      <c r="F6" s="54" t="s">
        <v>166</v>
      </c>
      <c r="G6" s="54" t="s">
        <v>4</v>
      </c>
      <c r="H6" s="54" t="s">
        <v>11</v>
      </c>
      <c r="I6" s="54" t="s">
        <v>167</v>
      </c>
      <c r="J6" s="54" t="s">
        <v>41</v>
      </c>
      <c r="K6" s="54" t="s">
        <v>119</v>
      </c>
      <c r="L6" s="54" t="s">
        <v>120</v>
      </c>
      <c r="M6" s="54" t="s">
        <v>121</v>
      </c>
      <c r="N6" s="54" t="s">
        <v>42</v>
      </c>
      <c r="O6" s="54" t="s">
        <v>43</v>
      </c>
      <c r="P6" s="54" t="s">
        <v>168</v>
      </c>
    </row>
    <row r="7" spans="1:17" s="48" customFormat="1" x14ac:dyDescent="0.25">
      <c r="A7" s="166" t="s">
        <v>169</v>
      </c>
      <c r="B7" s="167"/>
      <c r="C7" s="167"/>
      <c r="D7" s="167"/>
      <c r="E7" s="167"/>
      <c r="F7" s="167"/>
      <c r="G7" s="167"/>
      <c r="H7" s="167"/>
      <c r="I7" s="167"/>
      <c r="J7" s="167"/>
      <c r="K7" s="167"/>
      <c r="L7" s="167"/>
      <c r="M7" s="167"/>
    </row>
    <row r="8" spans="1:17" s="48" customFormat="1" ht="75" x14ac:dyDescent="0.25">
      <c r="A8" s="55">
        <v>44175</v>
      </c>
      <c r="B8" s="55">
        <v>44196</v>
      </c>
      <c r="C8" s="31" t="s">
        <v>170</v>
      </c>
      <c r="D8" s="31" t="s">
        <v>171</v>
      </c>
      <c r="E8" s="31">
        <v>1</v>
      </c>
      <c r="F8" s="27" t="s">
        <v>122</v>
      </c>
      <c r="G8" s="30" t="s">
        <v>433</v>
      </c>
      <c r="H8" s="94" t="s">
        <v>123</v>
      </c>
      <c r="I8" s="94" t="s">
        <v>434</v>
      </c>
      <c r="J8" s="94" t="s">
        <v>435</v>
      </c>
      <c r="K8" s="29" t="s">
        <v>124</v>
      </c>
      <c r="L8" s="28" t="s">
        <v>589</v>
      </c>
      <c r="M8" s="30" t="s">
        <v>436</v>
      </c>
      <c r="N8" s="29" t="s">
        <v>182</v>
      </c>
      <c r="O8" s="29" t="s">
        <v>182</v>
      </c>
      <c r="P8" s="29" t="s">
        <v>182</v>
      </c>
      <c r="Q8" s="48" t="s">
        <v>586</v>
      </c>
    </row>
    <row r="9" spans="1:17" s="48" customFormat="1" ht="75" x14ac:dyDescent="0.25">
      <c r="A9" s="55">
        <v>44145</v>
      </c>
      <c r="B9" s="55">
        <v>44196</v>
      </c>
      <c r="C9" s="31" t="s">
        <v>170</v>
      </c>
      <c r="D9" s="31" t="s">
        <v>172</v>
      </c>
      <c r="E9" s="31">
        <v>2</v>
      </c>
      <c r="F9" s="27" t="s">
        <v>126</v>
      </c>
      <c r="G9" s="41" t="s">
        <v>127</v>
      </c>
      <c r="H9" s="28" t="s">
        <v>128</v>
      </c>
      <c r="I9" s="28" t="s">
        <v>437</v>
      </c>
      <c r="J9" s="27" t="s">
        <v>438</v>
      </c>
      <c r="K9" s="46" t="s">
        <v>124</v>
      </c>
      <c r="L9" s="159" t="s">
        <v>113</v>
      </c>
      <c r="M9" s="41" t="s">
        <v>114</v>
      </c>
      <c r="N9" s="29" t="s">
        <v>182</v>
      </c>
      <c r="O9" s="29" t="s">
        <v>182</v>
      </c>
      <c r="P9" s="29" t="s">
        <v>182</v>
      </c>
    </row>
    <row r="10" spans="1:17" s="48" customFormat="1" ht="75" x14ac:dyDescent="0.25">
      <c r="A10" s="56">
        <v>44150</v>
      </c>
      <c r="B10" s="57">
        <v>44196</v>
      </c>
      <c r="C10" s="31" t="s">
        <v>170</v>
      </c>
      <c r="D10" s="31" t="s">
        <v>392</v>
      </c>
      <c r="E10" s="31">
        <v>3</v>
      </c>
      <c r="F10" s="58" t="s">
        <v>129</v>
      </c>
      <c r="G10" s="48" t="s">
        <v>130</v>
      </c>
      <c r="H10" s="58" t="s">
        <v>131</v>
      </c>
      <c r="I10" s="58" t="s">
        <v>439</v>
      </c>
      <c r="J10" s="58" t="s">
        <v>132</v>
      </c>
      <c r="K10" s="59" t="s">
        <v>124</v>
      </c>
      <c r="L10" s="160" t="s">
        <v>133</v>
      </c>
      <c r="M10" s="59" t="s">
        <v>134</v>
      </c>
      <c r="N10" s="29" t="s">
        <v>182</v>
      </c>
      <c r="O10" s="29" t="s">
        <v>182</v>
      </c>
      <c r="P10" s="29" t="s">
        <v>182</v>
      </c>
    </row>
    <row r="11" spans="1:17" s="48" customFormat="1" x14ac:dyDescent="0.25">
      <c r="A11" s="166" t="s">
        <v>173</v>
      </c>
      <c r="B11" s="167"/>
      <c r="C11" s="167"/>
      <c r="D11" s="167"/>
      <c r="E11" s="167"/>
      <c r="F11" s="167"/>
      <c r="G11" s="167"/>
      <c r="H11" s="167"/>
      <c r="I11" s="167"/>
      <c r="J11" s="167"/>
      <c r="K11" s="167"/>
      <c r="L11" s="167"/>
      <c r="M11" s="167"/>
    </row>
    <row r="12" spans="1:17" s="48" customFormat="1" ht="60" x14ac:dyDescent="0.25">
      <c r="A12" s="55">
        <v>44172</v>
      </c>
      <c r="B12" s="55">
        <v>44192</v>
      </c>
      <c r="C12" s="31" t="s">
        <v>1</v>
      </c>
      <c r="D12" s="31" t="s">
        <v>174</v>
      </c>
      <c r="E12" s="31">
        <v>1</v>
      </c>
      <c r="F12" s="27" t="s">
        <v>136</v>
      </c>
      <c r="G12" s="30" t="s">
        <v>440</v>
      </c>
      <c r="H12" s="28" t="s">
        <v>137</v>
      </c>
      <c r="I12" s="28" t="s">
        <v>138</v>
      </c>
      <c r="J12" s="28" t="s">
        <v>139</v>
      </c>
      <c r="K12" s="29" t="s">
        <v>124</v>
      </c>
      <c r="L12" s="28" t="s">
        <v>140</v>
      </c>
      <c r="M12" s="95" t="s">
        <v>441</v>
      </c>
      <c r="N12" s="29" t="s">
        <v>182</v>
      </c>
      <c r="O12" s="29" t="s">
        <v>182</v>
      </c>
      <c r="P12" s="29" t="s">
        <v>182</v>
      </c>
    </row>
    <row r="13" spans="1:17" s="48" customFormat="1" ht="60" x14ac:dyDescent="0.25">
      <c r="A13" s="96">
        <v>44172</v>
      </c>
      <c r="B13" s="96">
        <v>44185</v>
      </c>
      <c r="C13" s="97" t="s">
        <v>1</v>
      </c>
      <c r="D13" s="97" t="s">
        <v>175</v>
      </c>
      <c r="E13" s="97">
        <v>2</v>
      </c>
      <c r="F13" s="98" t="s">
        <v>141</v>
      </c>
      <c r="G13" s="97" t="s">
        <v>442</v>
      </c>
      <c r="H13" s="98" t="s">
        <v>142</v>
      </c>
      <c r="I13" s="98" t="s">
        <v>443</v>
      </c>
      <c r="J13" s="98" t="s">
        <v>143</v>
      </c>
      <c r="K13" s="97" t="s">
        <v>124</v>
      </c>
      <c r="L13" s="98" t="s">
        <v>144</v>
      </c>
      <c r="M13" s="99" t="s">
        <v>444</v>
      </c>
      <c r="N13" s="97" t="s">
        <v>182</v>
      </c>
      <c r="O13" s="97" t="s">
        <v>182</v>
      </c>
      <c r="P13" s="97" t="s">
        <v>182</v>
      </c>
    </row>
    <row r="14" spans="1:17" s="48" customFormat="1" ht="60" x14ac:dyDescent="0.25">
      <c r="A14" s="55">
        <v>44172</v>
      </c>
      <c r="B14" s="55">
        <v>44192</v>
      </c>
      <c r="C14" s="31" t="s">
        <v>1</v>
      </c>
      <c r="D14" s="31" t="s">
        <v>174</v>
      </c>
      <c r="E14" s="31">
        <v>3</v>
      </c>
      <c r="F14" s="27" t="s">
        <v>145</v>
      </c>
      <c r="G14" s="30" t="s">
        <v>445</v>
      </c>
      <c r="H14" s="28" t="s">
        <v>146</v>
      </c>
      <c r="I14" s="28" t="s">
        <v>446</v>
      </c>
      <c r="J14" s="28" t="s">
        <v>147</v>
      </c>
      <c r="K14" s="29" t="s">
        <v>124</v>
      </c>
      <c r="L14" s="28" t="s">
        <v>148</v>
      </c>
      <c r="M14" s="95" t="s">
        <v>447</v>
      </c>
      <c r="N14" s="29" t="s">
        <v>182</v>
      </c>
      <c r="O14" s="29" t="s">
        <v>182</v>
      </c>
      <c r="P14" s="29" t="s">
        <v>182</v>
      </c>
    </row>
    <row r="15" spans="1:17" s="48" customFormat="1" ht="75" x14ac:dyDescent="0.25">
      <c r="A15" s="55">
        <v>44179</v>
      </c>
      <c r="B15" s="55">
        <v>44192</v>
      </c>
      <c r="C15" s="31" t="s">
        <v>1</v>
      </c>
      <c r="D15" s="31" t="s">
        <v>175</v>
      </c>
      <c r="E15" s="31">
        <v>4</v>
      </c>
      <c r="F15" s="100" t="s">
        <v>448</v>
      </c>
      <c r="G15" s="60" t="s">
        <v>149</v>
      </c>
      <c r="H15" s="27" t="s">
        <v>150</v>
      </c>
      <c r="I15" s="101" t="s">
        <v>449</v>
      </c>
      <c r="J15" s="27" t="s">
        <v>151</v>
      </c>
      <c r="K15" s="31" t="s">
        <v>30</v>
      </c>
      <c r="L15" s="161" t="s">
        <v>152</v>
      </c>
      <c r="M15" s="95" t="s">
        <v>450</v>
      </c>
      <c r="N15" s="29" t="s">
        <v>182</v>
      </c>
      <c r="O15" s="29" t="s">
        <v>182</v>
      </c>
      <c r="P15" s="29" t="s">
        <v>182</v>
      </c>
    </row>
    <row r="16" spans="1:17" s="48" customFormat="1" ht="60" x14ac:dyDescent="0.25">
      <c r="A16" s="55">
        <v>44172</v>
      </c>
      <c r="B16" s="55">
        <v>44192</v>
      </c>
      <c r="C16" s="31" t="s">
        <v>1</v>
      </c>
      <c r="D16" s="31" t="s">
        <v>175</v>
      </c>
      <c r="E16" s="31">
        <v>5</v>
      </c>
      <c r="F16" s="27" t="s">
        <v>451</v>
      </c>
      <c r="G16" s="60" t="s">
        <v>176</v>
      </c>
      <c r="H16" s="28" t="s">
        <v>452</v>
      </c>
      <c r="I16" s="101" t="s">
        <v>453</v>
      </c>
      <c r="J16" s="28" t="s">
        <v>177</v>
      </c>
      <c r="K16" s="29" t="s">
        <v>30</v>
      </c>
      <c r="L16" s="162" t="s">
        <v>178</v>
      </c>
      <c r="M16" s="95" t="s">
        <v>454</v>
      </c>
      <c r="N16" s="29" t="s">
        <v>182</v>
      </c>
      <c r="O16" s="29" t="s">
        <v>182</v>
      </c>
      <c r="P16" s="29" t="s">
        <v>182</v>
      </c>
    </row>
    <row r="17" spans="1:17" s="105" customFormat="1" ht="15.75" x14ac:dyDescent="0.25">
      <c r="A17" s="61">
        <v>44158</v>
      </c>
      <c r="B17" s="61">
        <v>44178</v>
      </c>
      <c r="C17" s="62" t="s">
        <v>1</v>
      </c>
      <c r="D17" s="62" t="s">
        <v>175</v>
      </c>
      <c r="E17" s="62">
        <v>6</v>
      </c>
      <c r="F17" s="102" t="s">
        <v>455</v>
      </c>
      <c r="G17" s="103" t="s">
        <v>34</v>
      </c>
      <c r="H17" s="104"/>
      <c r="I17" s="104"/>
      <c r="J17" s="104"/>
      <c r="K17" s="62"/>
      <c r="L17" s="104"/>
      <c r="M17" s="62"/>
      <c r="N17" s="62"/>
      <c r="O17" s="62"/>
      <c r="P17" s="62"/>
    </row>
    <row r="18" spans="1:17" s="105" customFormat="1" ht="30" x14ac:dyDescent="0.25">
      <c r="A18" s="61">
        <v>44158</v>
      </c>
      <c r="B18" s="61">
        <v>44192</v>
      </c>
      <c r="C18" s="62" t="s">
        <v>1</v>
      </c>
      <c r="D18" s="62" t="s">
        <v>175</v>
      </c>
      <c r="E18" s="62">
        <v>7</v>
      </c>
      <c r="F18" s="104" t="s">
        <v>179</v>
      </c>
      <c r="G18" s="103" t="s">
        <v>34</v>
      </c>
      <c r="H18" s="104"/>
      <c r="I18" s="104"/>
      <c r="J18" s="104"/>
      <c r="K18" s="62"/>
      <c r="L18" s="104"/>
      <c r="M18" s="62"/>
      <c r="N18" s="62"/>
      <c r="O18" s="62"/>
      <c r="P18" s="62"/>
    </row>
    <row r="19" spans="1:17" s="48" customFormat="1" x14ac:dyDescent="0.25">
      <c r="A19" s="166" t="s">
        <v>180</v>
      </c>
      <c r="B19" s="167"/>
      <c r="C19" s="167"/>
      <c r="D19" s="167"/>
      <c r="E19" s="167"/>
      <c r="F19" s="167"/>
      <c r="G19" s="167"/>
      <c r="H19" s="167"/>
      <c r="I19" s="167"/>
      <c r="J19" s="167"/>
      <c r="K19" s="167"/>
      <c r="L19" s="167"/>
      <c r="M19" s="167"/>
    </row>
    <row r="20" spans="1:17" s="48" customFormat="1" ht="90" x14ac:dyDescent="0.25">
      <c r="A20" s="55">
        <v>44179</v>
      </c>
      <c r="B20" s="55">
        <v>44196</v>
      </c>
      <c r="C20" s="31" t="s">
        <v>2</v>
      </c>
      <c r="D20" s="31" t="s">
        <v>181</v>
      </c>
      <c r="E20" s="31">
        <v>1</v>
      </c>
      <c r="F20" s="27" t="s">
        <v>456</v>
      </c>
      <c r="G20" s="63" t="s">
        <v>457</v>
      </c>
      <c r="H20" s="106" t="s">
        <v>153</v>
      </c>
      <c r="I20" s="107" t="s">
        <v>458</v>
      </c>
      <c r="J20" s="106" t="s">
        <v>154</v>
      </c>
      <c r="K20" s="37" t="s">
        <v>124</v>
      </c>
      <c r="L20" s="163" t="s">
        <v>155</v>
      </c>
      <c r="M20" s="30" t="s">
        <v>459</v>
      </c>
      <c r="N20" s="29" t="s">
        <v>182</v>
      </c>
      <c r="O20" s="29" t="s">
        <v>182</v>
      </c>
      <c r="P20" s="29" t="s">
        <v>182</v>
      </c>
    </row>
    <row r="21" spans="1:17" s="48" customFormat="1" ht="75" x14ac:dyDescent="0.25">
      <c r="A21" s="55">
        <v>44179</v>
      </c>
      <c r="B21" s="55">
        <v>44196</v>
      </c>
      <c r="C21" s="31" t="s">
        <v>2</v>
      </c>
      <c r="D21" s="31" t="s">
        <v>181</v>
      </c>
      <c r="E21" s="31">
        <v>2</v>
      </c>
      <c r="F21" s="27" t="s">
        <v>460</v>
      </c>
      <c r="G21" s="108" t="s">
        <v>461</v>
      </c>
      <c r="H21" s="27" t="s">
        <v>462</v>
      </c>
      <c r="I21" s="27" t="s">
        <v>463</v>
      </c>
      <c r="J21" s="27" t="s">
        <v>464</v>
      </c>
      <c r="K21" s="31" t="s">
        <v>124</v>
      </c>
      <c r="L21" s="164" t="s">
        <v>103</v>
      </c>
      <c r="M21" s="30" t="s">
        <v>465</v>
      </c>
      <c r="N21" s="29" t="s">
        <v>182</v>
      </c>
      <c r="O21" s="29" t="s">
        <v>182</v>
      </c>
      <c r="P21" s="29" t="s">
        <v>182</v>
      </c>
      <c r="Q21" s="109"/>
    </row>
    <row r="22" spans="1:17" s="48" customFormat="1" ht="60" x14ac:dyDescent="0.25">
      <c r="A22" s="55">
        <v>44179</v>
      </c>
      <c r="B22" s="55">
        <v>44196</v>
      </c>
      <c r="C22" s="31" t="s">
        <v>2</v>
      </c>
      <c r="D22" s="31" t="s">
        <v>181</v>
      </c>
      <c r="E22" s="31">
        <v>3</v>
      </c>
      <c r="F22" s="27" t="s">
        <v>466</v>
      </c>
      <c r="G22" s="108" t="s">
        <v>467</v>
      </c>
      <c r="H22" s="27" t="s">
        <v>468</v>
      </c>
      <c r="I22" s="27" t="s">
        <v>469</v>
      </c>
      <c r="J22" s="27" t="s">
        <v>470</v>
      </c>
      <c r="K22" s="31" t="s">
        <v>124</v>
      </c>
      <c r="L22" s="27" t="s">
        <v>471</v>
      </c>
      <c r="M22" s="30" t="s">
        <v>472</v>
      </c>
      <c r="N22" s="29" t="s">
        <v>182</v>
      </c>
      <c r="O22" s="29" t="s">
        <v>182</v>
      </c>
      <c r="P22" s="29" t="s">
        <v>182</v>
      </c>
      <c r="Q22" s="109"/>
    </row>
    <row r="23" spans="1:17" s="48" customFormat="1" ht="75" x14ac:dyDescent="0.25">
      <c r="A23" s="55">
        <v>44179</v>
      </c>
      <c r="B23" s="55">
        <v>44196</v>
      </c>
      <c r="C23" s="31" t="s">
        <v>2</v>
      </c>
      <c r="D23" s="31" t="s">
        <v>181</v>
      </c>
      <c r="E23" s="31">
        <v>4</v>
      </c>
      <c r="F23" s="27" t="s">
        <v>473</v>
      </c>
      <c r="G23" s="108" t="s">
        <v>474</v>
      </c>
      <c r="H23" s="27" t="s">
        <v>475</v>
      </c>
      <c r="I23" s="27" t="s">
        <v>476</v>
      </c>
      <c r="J23" s="27" t="s">
        <v>477</v>
      </c>
      <c r="K23" s="31" t="s">
        <v>124</v>
      </c>
      <c r="L23" s="27" t="s">
        <v>478</v>
      </c>
      <c r="M23" s="30" t="s">
        <v>479</v>
      </c>
      <c r="N23" s="29" t="s">
        <v>182</v>
      </c>
      <c r="O23" s="29" t="s">
        <v>182</v>
      </c>
      <c r="P23" s="29" t="s">
        <v>182</v>
      </c>
      <c r="Q23" s="109"/>
    </row>
    <row r="24" spans="1:17" x14ac:dyDescent="0.25">
      <c r="A24" s="166" t="s">
        <v>480</v>
      </c>
      <c r="B24" s="167"/>
      <c r="C24" s="167"/>
      <c r="D24" s="167"/>
      <c r="E24" s="167"/>
      <c r="F24" s="167"/>
      <c r="G24" s="167"/>
      <c r="H24" s="167"/>
      <c r="I24" s="167"/>
      <c r="J24" s="167"/>
      <c r="K24" s="167"/>
      <c r="L24" s="167"/>
      <c r="M24" s="167"/>
    </row>
    <row r="25" spans="1:17" ht="90" x14ac:dyDescent="0.25">
      <c r="A25" t="s">
        <v>481</v>
      </c>
      <c r="B25" t="s">
        <v>481</v>
      </c>
      <c r="C25" s="48" t="s">
        <v>169</v>
      </c>
      <c r="D25" s="48" t="s">
        <v>392</v>
      </c>
      <c r="E25" s="48">
        <v>4</v>
      </c>
      <c r="F25" s="47" t="s">
        <v>482</v>
      </c>
      <c r="G25" s="110" t="s">
        <v>483</v>
      </c>
      <c r="H25" s="1" t="s">
        <v>482</v>
      </c>
      <c r="I25" s="1" t="s">
        <v>484</v>
      </c>
      <c r="J25" s="1" t="s">
        <v>485</v>
      </c>
      <c r="K25" s="48" t="s">
        <v>30</v>
      </c>
      <c r="L25" s="1" t="s">
        <v>486</v>
      </c>
      <c r="M25" s="110" t="s">
        <v>487</v>
      </c>
      <c r="N25" s="29" t="s">
        <v>182</v>
      </c>
      <c r="O25" s="29" t="s">
        <v>182</v>
      </c>
      <c r="P25" s="29" t="s">
        <v>182</v>
      </c>
    </row>
  </sheetData>
  <mergeCells count="4">
    <mergeCell ref="A7:M7"/>
    <mergeCell ref="A11:M11"/>
    <mergeCell ref="A19:M19"/>
    <mergeCell ref="A24:M24"/>
  </mergeCells>
  <hyperlinks>
    <hyperlink ref="L21" r:id="rId1"/>
  </hyperlinks>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L11"/>
  <sheetViews>
    <sheetView topLeftCell="F1" workbookViewId="0">
      <pane ySplit="1" topLeftCell="A2" activePane="bottomLeft" state="frozen"/>
      <selection sqref="A1:XFD1048576"/>
      <selection pane="bottomLeft" activeCell="J5" sqref="J5"/>
    </sheetView>
  </sheetViews>
  <sheetFormatPr defaultColWidth="9" defaultRowHeight="15" x14ac:dyDescent="0.25"/>
  <cols>
    <col min="1" max="1" width="46.85546875" style="91" customWidth="1"/>
    <col min="2" max="2" width="17" style="40" customWidth="1"/>
    <col min="3" max="3" width="28.7109375" style="36" customWidth="1"/>
    <col min="4" max="4" width="20" style="36" customWidth="1"/>
    <col min="5" max="5" width="44.85546875" style="36" customWidth="1"/>
    <col min="6" max="6" width="10.5703125" style="36" customWidth="1"/>
    <col min="7" max="7" width="73.7109375" style="39" customWidth="1"/>
    <col min="8" max="8" width="40.42578125" style="39" customWidth="1"/>
    <col min="9" max="9" width="9" style="91"/>
    <col min="10" max="10" width="79.28515625" style="91" customWidth="1"/>
    <col min="11" max="11" width="20.140625" style="91" customWidth="1"/>
    <col min="12" max="16384" width="9" style="36"/>
  </cols>
  <sheetData>
    <row r="1" spans="1:12" s="33" customFormat="1" ht="30" x14ac:dyDescent="0.25">
      <c r="A1" s="81"/>
      <c r="B1" s="32" t="s">
        <v>4</v>
      </c>
      <c r="C1" s="32" t="s">
        <v>11</v>
      </c>
      <c r="D1" s="32" t="s">
        <v>40</v>
      </c>
      <c r="E1" s="32" t="s">
        <v>41</v>
      </c>
      <c r="F1" s="32" t="s">
        <v>119</v>
      </c>
      <c r="G1" s="82" t="s">
        <v>120</v>
      </c>
      <c r="H1" s="82" t="s">
        <v>121</v>
      </c>
      <c r="I1" s="81" t="s">
        <v>119</v>
      </c>
      <c r="J1" s="82" t="s">
        <v>120</v>
      </c>
      <c r="K1" s="82" t="s">
        <v>121</v>
      </c>
    </row>
    <row r="2" spans="1:12" s="38" customFormat="1" ht="90" x14ac:dyDescent="0.25">
      <c r="A2" s="83" t="s">
        <v>106</v>
      </c>
      <c r="B2" s="84" t="s">
        <v>407</v>
      </c>
      <c r="C2" s="34" t="s">
        <v>408</v>
      </c>
      <c r="D2" s="35" t="s">
        <v>182</v>
      </c>
      <c r="E2" s="35" t="s">
        <v>409</v>
      </c>
      <c r="F2" s="35" t="s">
        <v>44</v>
      </c>
      <c r="G2" s="85" t="s">
        <v>45</v>
      </c>
      <c r="H2" s="39" t="s">
        <v>410</v>
      </c>
      <c r="I2" s="85" t="s">
        <v>182</v>
      </c>
      <c r="J2" s="85" t="s">
        <v>182</v>
      </c>
      <c r="K2" s="85" t="s">
        <v>182</v>
      </c>
    </row>
    <row r="3" spans="1:12" s="38" customFormat="1" ht="15" customHeight="1" x14ac:dyDescent="0.25">
      <c r="A3" s="83" t="s">
        <v>107</v>
      </c>
      <c r="B3" s="84" t="s">
        <v>407</v>
      </c>
      <c r="C3" s="34" t="s">
        <v>408</v>
      </c>
      <c r="D3" s="35" t="s">
        <v>182</v>
      </c>
      <c r="E3" s="35" t="s">
        <v>411</v>
      </c>
      <c r="F3" s="35" t="s">
        <v>44</v>
      </c>
      <c r="G3" s="85" t="s">
        <v>45</v>
      </c>
      <c r="H3" s="85" t="s">
        <v>48</v>
      </c>
      <c r="I3" s="85" t="s">
        <v>182</v>
      </c>
      <c r="J3" s="85" t="s">
        <v>182</v>
      </c>
      <c r="K3" s="85" t="s">
        <v>182</v>
      </c>
    </row>
    <row r="4" spans="1:12" s="24" customFormat="1" ht="30" x14ac:dyDescent="0.25">
      <c r="A4" s="86" t="s">
        <v>412</v>
      </c>
      <c r="B4" s="84" t="s">
        <v>413</v>
      </c>
      <c r="C4" s="34" t="s">
        <v>414</v>
      </c>
      <c r="D4" s="34" t="s">
        <v>182</v>
      </c>
      <c r="E4" s="34" t="s">
        <v>415</v>
      </c>
      <c r="F4" s="165" t="s">
        <v>416</v>
      </c>
      <c r="G4" s="39" t="s">
        <v>46</v>
      </c>
      <c r="H4" s="39" t="s">
        <v>417</v>
      </c>
      <c r="I4" s="87" t="s">
        <v>418</v>
      </c>
      <c r="J4" s="42" t="s">
        <v>47</v>
      </c>
      <c r="K4" s="42" t="s">
        <v>99</v>
      </c>
      <c r="L4" s="24" t="s">
        <v>34</v>
      </c>
    </row>
    <row r="5" spans="1:12" s="24" customFormat="1" ht="30" x14ac:dyDescent="0.25">
      <c r="A5" s="86" t="s">
        <v>419</v>
      </c>
      <c r="B5" s="84" t="s">
        <v>413</v>
      </c>
      <c r="C5" s="34" t="s">
        <v>414</v>
      </c>
      <c r="D5" s="34" t="s">
        <v>182</v>
      </c>
      <c r="E5" s="34" t="s">
        <v>415</v>
      </c>
      <c r="F5" s="165" t="s">
        <v>416</v>
      </c>
      <c r="G5" s="88" t="s">
        <v>46</v>
      </c>
      <c r="H5" s="39" t="s">
        <v>49</v>
      </c>
      <c r="I5" s="87" t="s">
        <v>418</v>
      </c>
      <c r="J5" s="42" t="s">
        <v>47</v>
      </c>
      <c r="K5" s="42" t="s">
        <v>52</v>
      </c>
      <c r="L5" s="24" t="s">
        <v>34</v>
      </c>
    </row>
    <row r="6" spans="1:12" s="38" customFormat="1" ht="15" customHeight="1" x14ac:dyDescent="0.25">
      <c r="A6" s="89" t="s">
        <v>108</v>
      </c>
      <c r="B6" s="84" t="s">
        <v>420</v>
      </c>
      <c r="C6" s="34" t="s">
        <v>421</v>
      </c>
      <c r="D6" s="34" t="s">
        <v>182</v>
      </c>
      <c r="E6" s="34" t="s">
        <v>422</v>
      </c>
      <c r="F6" s="35" t="s">
        <v>44</v>
      </c>
      <c r="G6" s="85" t="s">
        <v>588</v>
      </c>
      <c r="H6" s="39" t="s">
        <v>423</v>
      </c>
      <c r="I6" s="85" t="s">
        <v>182</v>
      </c>
      <c r="J6" s="85" t="s">
        <v>182</v>
      </c>
      <c r="K6" s="85" t="s">
        <v>182</v>
      </c>
    </row>
    <row r="7" spans="1:12" s="38" customFormat="1" ht="15" customHeight="1" x14ac:dyDescent="0.25">
      <c r="A7" s="89" t="s">
        <v>109</v>
      </c>
      <c r="B7" s="84" t="s">
        <v>420</v>
      </c>
      <c r="C7" s="34" t="s">
        <v>421</v>
      </c>
      <c r="D7" s="34" t="s">
        <v>182</v>
      </c>
      <c r="E7" s="34" t="s">
        <v>422</v>
      </c>
      <c r="F7" s="35" t="s">
        <v>44</v>
      </c>
      <c r="G7" s="85" t="s">
        <v>588</v>
      </c>
      <c r="H7" s="85" t="s">
        <v>50</v>
      </c>
      <c r="I7" s="85" t="s">
        <v>182</v>
      </c>
      <c r="J7" s="85" t="s">
        <v>182</v>
      </c>
      <c r="K7" s="85" t="s">
        <v>182</v>
      </c>
    </row>
    <row r="8" spans="1:12" s="24" customFormat="1" ht="45" x14ac:dyDescent="0.25">
      <c r="A8" s="90" t="s">
        <v>110</v>
      </c>
      <c r="B8" s="84" t="s">
        <v>424</v>
      </c>
      <c r="C8" s="25" t="s">
        <v>425</v>
      </c>
      <c r="D8" s="34" t="s">
        <v>182</v>
      </c>
      <c r="E8" s="34" t="s">
        <v>426</v>
      </c>
      <c r="F8" s="36" t="s">
        <v>44</v>
      </c>
      <c r="G8" s="39" t="s">
        <v>587</v>
      </c>
      <c r="H8" s="39" t="s">
        <v>427</v>
      </c>
      <c r="I8" s="85" t="s">
        <v>182</v>
      </c>
      <c r="J8" s="85" t="s">
        <v>182</v>
      </c>
      <c r="K8" s="85" t="s">
        <v>182</v>
      </c>
    </row>
    <row r="9" spans="1:12" s="24" customFormat="1" ht="45" x14ac:dyDescent="0.25">
      <c r="A9" s="90" t="s">
        <v>111</v>
      </c>
      <c r="B9" s="84" t="s">
        <v>424</v>
      </c>
      <c r="C9" s="25" t="s">
        <v>425</v>
      </c>
      <c r="D9" s="34" t="s">
        <v>182</v>
      </c>
      <c r="E9" s="34" t="s">
        <v>426</v>
      </c>
      <c r="F9" s="36" t="s">
        <v>44</v>
      </c>
      <c r="G9" s="39" t="s">
        <v>587</v>
      </c>
      <c r="H9" s="39" t="s">
        <v>51</v>
      </c>
      <c r="I9" s="85" t="s">
        <v>182</v>
      </c>
      <c r="J9" s="85" t="s">
        <v>182</v>
      </c>
      <c r="K9" s="85" t="s">
        <v>182</v>
      </c>
    </row>
    <row r="10" spans="1:12" s="24" customFormat="1" ht="45" x14ac:dyDescent="0.25">
      <c r="A10" s="86" t="s">
        <v>428</v>
      </c>
      <c r="B10" s="84" t="s">
        <v>413</v>
      </c>
      <c r="C10" s="34" t="s">
        <v>429</v>
      </c>
      <c r="D10" s="34" t="s">
        <v>182</v>
      </c>
      <c r="E10" s="34" t="s">
        <v>430</v>
      </c>
      <c r="F10" s="165" t="s">
        <v>416</v>
      </c>
      <c r="G10" s="39" t="s">
        <v>46</v>
      </c>
      <c r="H10" s="39" t="s">
        <v>417</v>
      </c>
      <c r="I10" s="87" t="s">
        <v>418</v>
      </c>
      <c r="J10" s="42" t="s">
        <v>47</v>
      </c>
      <c r="K10" s="42" t="s">
        <v>99</v>
      </c>
      <c r="L10" s="24" t="s">
        <v>34</v>
      </c>
    </row>
    <row r="11" spans="1:12" s="24" customFormat="1" ht="45" x14ac:dyDescent="0.25">
      <c r="A11" s="86" t="s">
        <v>431</v>
      </c>
      <c r="B11" s="84" t="s">
        <v>413</v>
      </c>
      <c r="C11" s="34" t="s">
        <v>429</v>
      </c>
      <c r="D11" s="34" t="s">
        <v>182</v>
      </c>
      <c r="E11" s="34" t="s">
        <v>430</v>
      </c>
      <c r="F11" s="165" t="s">
        <v>416</v>
      </c>
      <c r="G11" s="88" t="s">
        <v>46</v>
      </c>
      <c r="H11" s="39" t="s">
        <v>49</v>
      </c>
      <c r="I11" s="87" t="s">
        <v>418</v>
      </c>
      <c r="J11" s="42" t="s">
        <v>47</v>
      </c>
      <c r="K11" s="42" t="s">
        <v>52</v>
      </c>
      <c r="L11" s="24" t="s">
        <v>34</v>
      </c>
    </row>
  </sheetData>
  <hyperlinks>
    <hyperlink ref="G5" r:id="rId1"/>
    <hyperlink ref="G11" r:id="rId2"/>
  </hyperlinks>
  <pageMargins left="0.7" right="0.7" top="0.75" bottom="0.75" header="0.3" footer="0.3"/>
  <pageSetup orientation="portrait" horizontalDpi="300" verticalDpi="3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S6"/>
  <sheetViews>
    <sheetView workbookViewId="0">
      <selection activeCell="I12" sqref="I12"/>
    </sheetView>
  </sheetViews>
  <sheetFormatPr defaultRowHeight="15" x14ac:dyDescent="0.25"/>
  <cols>
    <col min="2" max="3" width="14.28515625" customWidth="1"/>
    <col min="4" max="4" width="1.7109375" customWidth="1"/>
    <col min="5" max="5" width="2.140625" customWidth="1"/>
    <col min="6" max="6" width="12.28515625" bestFit="1" customWidth="1"/>
    <col min="8" max="8" width="27.140625" customWidth="1"/>
    <col min="9" max="9" width="26.7109375" customWidth="1"/>
    <col min="10" max="43" width="9" customWidth="1"/>
  </cols>
  <sheetData>
    <row r="1" spans="1:175" s="1" customFormat="1" ht="47.45" customHeight="1" x14ac:dyDescent="0.25">
      <c r="A1" s="64" t="s">
        <v>183</v>
      </c>
      <c r="B1" s="65" t="s">
        <v>375</v>
      </c>
      <c r="C1" s="65" t="s">
        <v>185</v>
      </c>
      <c r="D1" s="65" t="s">
        <v>186</v>
      </c>
      <c r="E1" s="65" t="s">
        <v>187</v>
      </c>
      <c r="F1" s="65" t="s">
        <v>188</v>
      </c>
      <c r="G1" s="66" t="s">
        <v>189</v>
      </c>
      <c r="H1" s="67" t="s">
        <v>190</v>
      </c>
      <c r="I1" s="67" t="s">
        <v>191</v>
      </c>
      <c r="J1" s="68" t="s">
        <v>192</v>
      </c>
      <c r="K1" s="68" t="s">
        <v>193</v>
      </c>
      <c r="L1" s="69" t="s">
        <v>194</v>
      </c>
      <c r="M1" s="69" t="s">
        <v>195</v>
      </c>
      <c r="N1" s="69" t="s">
        <v>196</v>
      </c>
      <c r="O1" s="69" t="s">
        <v>197</v>
      </c>
      <c r="P1" s="69" t="s">
        <v>198</v>
      </c>
      <c r="Q1" s="69" t="s">
        <v>199</v>
      </c>
      <c r="R1" s="69" t="s">
        <v>200</v>
      </c>
      <c r="S1" s="69" t="s">
        <v>201</v>
      </c>
      <c r="T1" s="67" t="s">
        <v>202</v>
      </c>
      <c r="U1" s="68" t="s">
        <v>203</v>
      </c>
      <c r="V1" s="69" t="s">
        <v>204</v>
      </c>
      <c r="W1" s="69" t="s">
        <v>205</v>
      </c>
      <c r="X1" s="69" t="s">
        <v>206</v>
      </c>
      <c r="Y1" s="69" t="s">
        <v>207</v>
      </c>
      <c r="Z1" s="69" t="s">
        <v>208</v>
      </c>
      <c r="AA1" s="69" t="s">
        <v>209</v>
      </c>
      <c r="AB1" s="69" t="s">
        <v>210</v>
      </c>
      <c r="AC1" s="69" t="s">
        <v>211</v>
      </c>
      <c r="AD1" s="69" t="s">
        <v>212</v>
      </c>
      <c r="AE1" s="70" t="s">
        <v>214</v>
      </c>
      <c r="AF1" s="68" t="s">
        <v>215</v>
      </c>
      <c r="AG1" s="69" t="s">
        <v>216</v>
      </c>
      <c r="AH1" s="69" t="s">
        <v>217</v>
      </c>
      <c r="AI1" s="69" t="s">
        <v>218</v>
      </c>
      <c r="AJ1" s="69" t="s">
        <v>219</v>
      </c>
      <c r="AK1" s="69" t="s">
        <v>220</v>
      </c>
      <c r="AL1" s="69" t="s">
        <v>221</v>
      </c>
      <c r="AM1" s="69" t="s">
        <v>222</v>
      </c>
      <c r="AN1" s="69" t="s">
        <v>223</v>
      </c>
      <c r="AO1" s="69" t="s">
        <v>224</v>
      </c>
      <c r="AP1" s="69" t="s">
        <v>162</v>
      </c>
      <c r="AQ1" s="69" t="s">
        <v>213</v>
      </c>
      <c r="AR1" s="70" t="s">
        <v>225</v>
      </c>
      <c r="AS1" s="68" t="s">
        <v>226</v>
      </c>
      <c r="AT1" s="69" t="s">
        <v>227</v>
      </c>
      <c r="AU1" s="69" t="s">
        <v>228</v>
      </c>
      <c r="AV1" s="69" t="s">
        <v>229</v>
      </c>
      <c r="AW1" s="69" t="s">
        <v>230</v>
      </c>
      <c r="AX1" s="69" t="s">
        <v>231</v>
      </c>
      <c r="AY1" s="69" t="s">
        <v>232</v>
      </c>
      <c r="AZ1" s="69" t="s">
        <v>233</v>
      </c>
      <c r="BA1" s="69" t="s">
        <v>234</v>
      </c>
      <c r="BB1" s="69" t="s">
        <v>235</v>
      </c>
      <c r="BC1" s="71" t="s">
        <v>236</v>
      </c>
      <c r="BD1" s="68" t="s">
        <v>237</v>
      </c>
      <c r="BE1" s="69" t="s">
        <v>238</v>
      </c>
      <c r="BF1" s="69" t="s">
        <v>239</v>
      </c>
      <c r="BG1" s="69" t="s">
        <v>240</v>
      </c>
      <c r="BH1" s="69" t="s">
        <v>241</v>
      </c>
      <c r="BI1" s="69" t="s">
        <v>242</v>
      </c>
      <c r="BJ1" s="69" t="s">
        <v>243</v>
      </c>
      <c r="BK1" s="69" t="s">
        <v>244</v>
      </c>
      <c r="BL1" s="69" t="s">
        <v>245</v>
      </c>
      <c r="BM1" s="69" t="s">
        <v>246</v>
      </c>
      <c r="BN1" s="71" t="s">
        <v>247</v>
      </c>
      <c r="BO1" s="68" t="s">
        <v>248</v>
      </c>
      <c r="BP1" s="69" t="s">
        <v>249</v>
      </c>
      <c r="BQ1" s="69" t="s">
        <v>250</v>
      </c>
      <c r="BR1" s="69" t="s">
        <v>251</v>
      </c>
      <c r="BS1" s="69" t="s">
        <v>252</v>
      </c>
      <c r="BT1" s="69" t="s">
        <v>253</v>
      </c>
      <c r="BU1" s="69" t="s">
        <v>254</v>
      </c>
      <c r="BV1" s="69" t="s">
        <v>255</v>
      </c>
      <c r="BW1" s="69" t="s">
        <v>256</v>
      </c>
      <c r="BX1" s="69" t="s">
        <v>257</v>
      </c>
      <c r="BY1" s="71" t="s">
        <v>258</v>
      </c>
      <c r="BZ1" s="68" t="s">
        <v>259</v>
      </c>
      <c r="CA1" s="69" t="s">
        <v>260</v>
      </c>
      <c r="CB1" s="69" t="s">
        <v>261</v>
      </c>
      <c r="CC1" s="69" t="s">
        <v>262</v>
      </c>
      <c r="CD1" s="69" t="s">
        <v>263</v>
      </c>
      <c r="CE1" s="69" t="s">
        <v>264</v>
      </c>
      <c r="CF1" s="72" t="s">
        <v>265</v>
      </c>
      <c r="CG1" s="69" t="s">
        <v>266</v>
      </c>
      <c r="CH1" s="69" t="s">
        <v>267</v>
      </c>
      <c r="CI1" s="69" t="s">
        <v>268</v>
      </c>
      <c r="CJ1" s="71" t="s">
        <v>269</v>
      </c>
      <c r="CK1" s="68" t="s">
        <v>270</v>
      </c>
      <c r="CL1" s="69" t="s">
        <v>271</v>
      </c>
      <c r="CM1" s="69" t="s">
        <v>272</v>
      </c>
      <c r="CN1" s="69" t="s">
        <v>273</v>
      </c>
      <c r="CO1" s="69" t="s">
        <v>274</v>
      </c>
      <c r="CP1" s="69" t="s">
        <v>275</v>
      </c>
      <c r="CQ1" s="69" t="s">
        <v>276</v>
      </c>
      <c r="CR1" s="69" t="s">
        <v>277</v>
      </c>
      <c r="CS1" s="69" t="s">
        <v>278</v>
      </c>
      <c r="CT1" s="69" t="s">
        <v>279</v>
      </c>
      <c r="CU1" s="71" t="s">
        <v>280</v>
      </c>
      <c r="CV1" s="68" t="s">
        <v>281</v>
      </c>
      <c r="CW1" s="69" t="s">
        <v>282</v>
      </c>
      <c r="CX1" s="69" t="s">
        <v>283</v>
      </c>
      <c r="CY1" s="69" t="s">
        <v>284</v>
      </c>
      <c r="CZ1" s="69" t="s">
        <v>285</v>
      </c>
      <c r="DA1" s="69" t="s">
        <v>286</v>
      </c>
      <c r="DB1" s="69" t="s">
        <v>287</v>
      </c>
      <c r="DC1" s="69" t="s">
        <v>288</v>
      </c>
      <c r="DD1" s="69" t="s">
        <v>289</v>
      </c>
      <c r="DE1" s="69" t="s">
        <v>290</v>
      </c>
      <c r="DF1" s="71" t="s">
        <v>291</v>
      </c>
      <c r="DG1" s="68" t="s">
        <v>292</v>
      </c>
      <c r="DH1" s="69" t="s">
        <v>293</v>
      </c>
      <c r="DI1" s="69" t="s">
        <v>294</v>
      </c>
      <c r="DJ1" s="72" t="s">
        <v>295</v>
      </c>
      <c r="DK1" s="69" t="s">
        <v>296</v>
      </c>
      <c r="DL1" s="69" t="s">
        <v>297</v>
      </c>
      <c r="DM1" s="69" t="s">
        <v>298</v>
      </c>
      <c r="DN1" s="69" t="s">
        <v>299</v>
      </c>
      <c r="DO1" s="69" t="s">
        <v>300</v>
      </c>
      <c r="DP1" s="69" t="s">
        <v>301</v>
      </c>
      <c r="DQ1" s="71" t="s">
        <v>302</v>
      </c>
      <c r="DR1" s="68" t="s">
        <v>303</v>
      </c>
      <c r="DS1" s="69" t="s">
        <v>304</v>
      </c>
      <c r="DT1" s="69" t="s">
        <v>305</v>
      </c>
      <c r="DU1" s="72" t="s">
        <v>306</v>
      </c>
      <c r="DV1" s="69" t="s">
        <v>307</v>
      </c>
      <c r="DW1" s="69" t="s">
        <v>308</v>
      </c>
      <c r="DX1" s="69" t="s">
        <v>309</v>
      </c>
      <c r="DY1" s="69" t="s">
        <v>310</v>
      </c>
      <c r="DZ1" s="69" t="s">
        <v>311</v>
      </c>
      <c r="EA1" s="69" t="s">
        <v>312</v>
      </c>
      <c r="EB1" s="71" t="s">
        <v>313</v>
      </c>
      <c r="EC1" s="68" t="s">
        <v>314</v>
      </c>
      <c r="ED1" s="69" t="s">
        <v>315</v>
      </c>
      <c r="EE1" s="69" t="s">
        <v>316</v>
      </c>
      <c r="EF1" s="72" t="s">
        <v>317</v>
      </c>
      <c r="EG1" s="69" t="s">
        <v>318</v>
      </c>
      <c r="EH1" s="69" t="s">
        <v>319</v>
      </c>
      <c r="EI1" s="69" t="s">
        <v>320</v>
      </c>
      <c r="EJ1" s="69" t="s">
        <v>321</v>
      </c>
      <c r="EK1" s="69" t="s">
        <v>322</v>
      </c>
      <c r="EL1" s="69" t="s">
        <v>323</v>
      </c>
      <c r="EM1" s="71" t="s">
        <v>324</v>
      </c>
      <c r="EN1" s="68" t="s">
        <v>325</v>
      </c>
      <c r="EO1" s="69" t="s">
        <v>326</v>
      </c>
      <c r="EP1" s="69" t="s">
        <v>327</v>
      </c>
      <c r="EQ1" s="72" t="s">
        <v>328</v>
      </c>
      <c r="ER1" s="69" t="s">
        <v>329</v>
      </c>
      <c r="ES1" s="69" t="s">
        <v>330</v>
      </c>
      <c r="ET1" s="69" t="s">
        <v>331</v>
      </c>
      <c r="EU1" s="69" t="s">
        <v>332</v>
      </c>
      <c r="EV1" s="69" t="s">
        <v>333</v>
      </c>
      <c r="EW1" s="69" t="s">
        <v>334</v>
      </c>
      <c r="EX1" s="71" t="s">
        <v>335</v>
      </c>
      <c r="EY1" s="68" t="s">
        <v>336</v>
      </c>
      <c r="EZ1" s="69" t="s">
        <v>337</v>
      </c>
      <c r="FA1" s="69" t="s">
        <v>338</v>
      </c>
      <c r="FB1" s="72" t="s">
        <v>339</v>
      </c>
      <c r="FC1" s="69" t="s">
        <v>340</v>
      </c>
      <c r="FD1" s="69" t="s">
        <v>341</v>
      </c>
      <c r="FE1" s="69" t="s">
        <v>342</v>
      </c>
      <c r="FF1" s="69" t="s">
        <v>343</v>
      </c>
      <c r="FG1" s="69" t="s">
        <v>344</v>
      </c>
      <c r="FH1" s="69" t="s">
        <v>345</v>
      </c>
      <c r="FI1" s="71" t="s">
        <v>346</v>
      </c>
      <c r="FJ1" s="68" t="s">
        <v>347</v>
      </c>
      <c r="FK1" s="69" t="s">
        <v>348</v>
      </c>
      <c r="FL1" s="69" t="s">
        <v>349</v>
      </c>
      <c r="FM1" s="72" t="s">
        <v>350</v>
      </c>
      <c r="FN1" s="69" t="s">
        <v>351</v>
      </c>
      <c r="FO1" s="69" t="s">
        <v>352</v>
      </c>
      <c r="FP1" s="69" t="s">
        <v>353</v>
      </c>
      <c r="FQ1" s="69" t="s">
        <v>354</v>
      </c>
      <c r="FR1" s="69" t="s">
        <v>355</v>
      </c>
      <c r="FS1" s="69" t="s">
        <v>356</v>
      </c>
    </row>
    <row r="2" spans="1:175" ht="75" x14ac:dyDescent="0.25">
      <c r="A2" t="s">
        <v>118</v>
      </c>
      <c r="B2" s="77" t="s">
        <v>172</v>
      </c>
      <c r="C2" s="1" t="s">
        <v>379</v>
      </c>
      <c r="D2" t="s">
        <v>39</v>
      </c>
      <c r="E2" t="s">
        <v>39</v>
      </c>
      <c r="F2" t="s">
        <v>376</v>
      </c>
      <c r="H2" s="74" t="s">
        <v>388</v>
      </c>
      <c r="I2" s="74" t="s">
        <v>389</v>
      </c>
      <c r="J2" s="45" t="s">
        <v>115</v>
      </c>
      <c r="K2" s="15" t="str">
        <f>[1]MiscModules!$B$12</f>
        <v>NULL</v>
      </c>
      <c r="L2" s="15" t="str">
        <f>[1]MiscModules!$C$12</f>
        <v xml:space="preserve">Order by December 19 to get most smartphones, wearables, tablets and laptops delivered by December 25. </v>
      </c>
      <c r="M2" s="15" t="str">
        <f>[1]MiscModules!$D$12</f>
        <v>NULL</v>
      </c>
      <c r="N2" s="15" t="str">
        <f>[1]MiscModules!$E$12</f>
        <v>NULL</v>
      </c>
      <c r="O2" s="15" t="str">
        <f>[1]MiscModules!$F$12</f>
        <v>NULL</v>
      </c>
      <c r="P2" s="15" t="str">
        <f>[1]MiscModules!$G$12</f>
        <v>https://www.samsung.com/us/support/order-faqs/#SHIPPINGANDPAYMENTS</v>
      </c>
      <c r="Q2" s="15" t="str">
        <f>[1]MiscModules!$H$12</f>
        <v xml:space="preserve"> </v>
      </c>
      <c r="R2" s="15" t="str">
        <f>[1]MiscModules!$I$12</f>
        <v>NULL</v>
      </c>
      <c r="S2" s="15" t="str">
        <f>[1]MiscModules!$J$12</f>
        <v>NULL</v>
      </c>
      <c r="T2" s="45" t="s">
        <v>377</v>
      </c>
      <c r="U2" s="15" t="str">
        <f>[1]MiscModules!$B$10</f>
        <v xml:space="preserve"> </v>
      </c>
      <c r="V2" s="15" t="str">
        <f>[1]MiscModules!$C$10</f>
        <v xml:space="preserve">Students &amp; Educators • Government • Military • Save@Work • First Responders </v>
      </c>
      <c r="W2" s="15" t="str">
        <f>[1]MiscModules!$D$10</f>
        <v xml:space="preserve">Login to your Discount Program to save even more on the great offers below. </v>
      </c>
      <c r="X2" s="15" t="str">
        <f>[1]MiscModules!$E$10</f>
        <v>NULL</v>
      </c>
      <c r="Y2" s="15" t="str">
        <f>[1]MiscModules!$F$10</f>
        <v>NULL</v>
      </c>
      <c r="Z2" s="15" t="str">
        <f>[1]MiscModules!$G$10</f>
        <v>https://www.samsung.com/us/shop/all-deals/</v>
      </c>
      <c r="AA2"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2" s="15" t="str">
        <f>[1]MiscModules!$I$10</f>
        <v xml:space="preserve"> NULL</v>
      </c>
      <c r="AC2" s="15" t="str">
        <f>[1]MiscModules!$J$10</f>
        <v xml:space="preserve"> NULL</v>
      </c>
      <c r="AD2" s="15" t="str">
        <f>[1]MiscModules!$K$10</f>
        <v xml:space="preserve"> NULL</v>
      </c>
      <c r="AE2" s="75" t="s">
        <v>361</v>
      </c>
      <c r="AF2" s="15" t="str">
        <f>[1]MiscModules!$B$17</f>
        <v>Last_Minute_Deals_T2_KV.jpg</v>
      </c>
      <c r="AG2" s="15" t="str">
        <f>[1]MiscModules!$C$17</f>
        <v>Last-minute gifts just in time</v>
      </c>
      <c r="AH2" s="15" t="str">
        <f>[1]MiscModules!$D$17</f>
        <v>NULL</v>
      </c>
      <c r="AI2" s="15" t="str">
        <f>[1]MiscModules!$E$17</f>
        <v>NULL</v>
      </c>
      <c r="AJ2" s="15" t="str">
        <f>[1]MiscModules!$F$17</f>
        <v xml:space="preserve"> NULL</v>
      </c>
      <c r="AK2" s="15" t="str">
        <f>[1]MiscModules!$G$17</f>
        <v>https://www.samsung.com/us/shop/all-deals/</v>
      </c>
      <c r="AL2"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2" s="15" t="str">
        <f>[1]MiscModules!$I$17</f>
        <v xml:space="preserve"> NULL</v>
      </c>
      <c r="AN2" s="15" t="str">
        <f>[1]MiscModules!$J$17</f>
        <v xml:space="preserve"> NULL</v>
      </c>
      <c r="AO2" s="15" t="str">
        <f>[1]MiscModules!$K$17</f>
        <v xml:space="preserve"> NULL</v>
      </c>
      <c r="AP2" s="76">
        <v>44184</v>
      </c>
      <c r="AQ2" s="15" t="s">
        <v>362</v>
      </c>
      <c r="AR2" s="75" t="s">
        <v>363</v>
      </c>
      <c r="AS2" s="15" t="str">
        <f>[1]MiscModules!$B$2</f>
        <v>NULL</v>
      </c>
      <c r="AT2" s="15" t="str">
        <f>[1]MiscModules!$C$2</f>
        <v>NULL</v>
      </c>
      <c r="AU2" s="15" t="str">
        <f>[1]MiscModules!$D$2</f>
        <v xml:space="preserve">It’s not too late to give wonder. </v>
      </c>
      <c r="AV2" s="15" t="str">
        <f>[1]MiscModules!$E$2</f>
        <v xml:space="preserve">Plus,there is still time to redeem your exclusive $20 instant credit toward eligible accessories with smartphone purchase. </v>
      </c>
      <c r="AW2" s="15" t="str">
        <f>[1]MiscModules!$F$2</f>
        <v xml:space="preserve"> NULL</v>
      </c>
      <c r="AX2" s="15" t="str">
        <f>[1]MiscModules!$G$2</f>
        <v>https://www.samsung.com/us/shop/all-deals/</v>
      </c>
      <c r="AY2"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2" s="15" t="str">
        <f>[1]MiscModules!$I$2</f>
        <v xml:space="preserve"> NULL</v>
      </c>
      <c r="BA2" s="15" t="str">
        <f>[1]MiscModules!$J$2</f>
        <v xml:space="preserve"> NULL</v>
      </c>
      <c r="BB2" s="15" t="str">
        <f>[1]MiscModules!$K$2</f>
        <v xml:space="preserve"> NULL</v>
      </c>
      <c r="BC2" s="75" t="s">
        <v>382</v>
      </c>
      <c r="BD2" t="str">
        <f>[1]DD_R!$G$9</f>
        <v>23_IM_HeadImage_MB_Fold-500xV.jpg</v>
      </c>
      <c r="BE2" t="str">
        <f>[1]DD_R!$H$9</f>
        <v xml:space="preserve">Get up to 50% off Galaxy Z Fold2 5G </v>
      </c>
      <c r="BF2" t="str">
        <f>[1]DD_R!$I$9</f>
        <v>Now from only $20.84/mo for 48 mos&lt;sup&gt;⊕&lt;/sup&gt; or $999.99 with eligible trade-in.&lt;sup&gt;ᶿ&lt;/sup&gt;</v>
      </c>
      <c r="BG2" t="str">
        <f>[1]DD_R!$J$9</f>
        <v xml:space="preserve">Our best Galaxy Z Fold2 5G offer of the year. Get up to $1000 trade-in credit.&lt;sup&gt;ᶿ&lt;/sup&gt; </v>
      </c>
      <c r="BH2" t="str">
        <f>[1]DD_R!$K$9</f>
        <v>Buy now</v>
      </c>
      <c r="BI2" t="str">
        <f>[1]DD_R!$L$9</f>
        <v>https://www.samsung.com/us/smartphones/galaxy-z-fold2-5g/buy/</v>
      </c>
      <c r="BJ2"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K2" t="str">
        <f>[1]DD_R!$N$9</f>
        <v>NULL</v>
      </c>
      <c r="BL2" t="str">
        <f>[1]DD_R!$O$9</f>
        <v>NULL</v>
      </c>
      <c r="BM2" t="str">
        <f>[1]DD_R!$P$9</f>
        <v>NULL</v>
      </c>
      <c r="BN2" s="75" t="s">
        <v>383</v>
      </c>
      <c r="BO2" t="str">
        <f>[1]DD_R!$G$8</f>
        <v>110_IM_HeadImage_MB_Galaxy_500xV.jpg</v>
      </c>
      <c r="BP2" t="str">
        <f>[1]DD_R!$H$8</f>
        <v xml:space="preserve">Get up to $250 off select Galaxy S20 5G </v>
      </c>
      <c r="BQ2" t="str">
        <f>[1]DD_R!$I$8</f>
        <v>Now from only $13.62/mo for 36 mos&lt;sup&gt;⊕&lt;/sup&gt; or $489.99 with eligible trade-in.&lt;sup&gt;ᶿ&lt;/sup&gt;</v>
      </c>
      <c r="BR2" t="str">
        <f>[1]DD_R!$J$8</f>
        <v xml:space="preserve">Get up to $250 off instantly and up to $310 trade-in credit&lt;sup&gt;ᶿ&lt;/sup&gt; toward your next Galaxy S20 5G, S20+ 5G or S20 Ultra 5G. </v>
      </c>
      <c r="BS2" t="str">
        <f>[1]DD_R!$K$8</f>
        <v>Buy now</v>
      </c>
      <c r="BT2" t="str">
        <f>[1]DD_R!$L$8</f>
        <v>https://www.samsung.com/us/mobile/galaxy-s20-5g/buy/galaxy-s20-5g-128gb-unlocked-sm-g981uzaaxaa/</v>
      </c>
      <c r="BU2"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V2" t="str">
        <f>[1]DD_R!$N$8</f>
        <v>NULL</v>
      </c>
      <c r="BW2" t="str">
        <f>[1]DD_R!$O$8</f>
        <v>NULL</v>
      </c>
      <c r="BX2" t="str">
        <f>[1]DD_R!$P$8</f>
        <v>NULL</v>
      </c>
      <c r="BY2" s="75" t="s">
        <v>384</v>
      </c>
      <c r="BZ2" t="str">
        <f>[1]DD_R!$G$10</f>
        <v>24-IM-A71-A51-HeadImage-500xV.jpg</v>
      </c>
      <c r="CA2" t="str">
        <f>[1]DD_R!$H$10</f>
        <v>Get 50% off Galaxy A71 5G with T-Mobile and Verizon</v>
      </c>
      <c r="CB2" t="str">
        <f>[1]DD_R!$I$10</f>
        <v xml:space="preserve">Now from only $8.34/mo for 36 mos&lt;sup&gt;⊕&lt;/sup&gt; or $299.99 with eligible trade-in.&lt;sup&gt;ᶿ&lt;/sup&gt; </v>
      </c>
      <c r="CC2" t="str">
        <f>[1]DD_R!$J$10</f>
        <v xml:space="preserve">Save up to $250 instantly and get $75 or more trade-in credit. Treat yourself to blazing fast 5G speeds and incredible features at an amazing value. </v>
      </c>
      <c r="CD2" t="str">
        <f>[1]DD_R!$K$10</f>
        <v>Buy now</v>
      </c>
      <c r="CE2" t="str">
        <f>[1]DD_R!$L$10</f>
        <v>https://www.samsung.com/us/mobile/phones/galaxy-a/buy/?link=galaxy-a71-5g</v>
      </c>
      <c r="CF2"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G2" t="str">
        <f>[1]DD_R!$N$10</f>
        <v>NULL</v>
      </c>
      <c r="CH2" t="str">
        <f>[1]DD_R!$O$10</f>
        <v>NULL</v>
      </c>
      <c r="CI2" t="str">
        <f>[1]DD_R!$P$10</f>
        <v>NULL</v>
      </c>
      <c r="CJ2" s="75" t="s">
        <v>385</v>
      </c>
      <c r="CK2" t="str">
        <f>[1]DD_R!$G$25</f>
        <v>110-CPO-HeadImage-500xV.jpg</v>
      </c>
      <c r="CL2" t="str">
        <f>[1]DD_R!$H$25</f>
        <v>Save up to $75 instantly on select Certified Pre-owned devices</v>
      </c>
      <c r="CM2" t="str">
        <f>[1]DD_R!$I$25</f>
        <v xml:space="preserve">Starting from only $320. </v>
      </c>
      <c r="CN2" t="str">
        <f>[1]DD_R!$J$25</f>
        <v xml:space="preserve">Refreshed with a brand new charger and accessories in the box, get some of our favorite phones like Galaxy S10, Note9 and more. Covered by a 12-month warranty, just like our new devices. </v>
      </c>
      <c r="CO2" t="str">
        <f>[1]DD_R!$K$25</f>
        <v>Shop now</v>
      </c>
      <c r="CP2" t="str">
        <f>[1]DD_R!$L$25</f>
        <v>https://www.samsung.com/us/search/searchMain/?listType=g&amp;searchTerm=cpo&amp;sort=relevance&amp;size=30&amp;item_type=Phones</v>
      </c>
      <c r="CQ2" t="str">
        <f>[1]DD_R!$M$25</f>
        <v>no equivalent URL</v>
      </c>
      <c r="CR2" t="str">
        <f>[1]DD_R!$N$25</f>
        <v>NULL</v>
      </c>
      <c r="CS2" t="str">
        <f>[1]DD_R!$O$25</f>
        <v>NULL</v>
      </c>
      <c r="CT2" t="str">
        <f>[1]DD_R!$P$25</f>
        <v>NULL</v>
      </c>
      <c r="CU2" s="75" t="s">
        <v>368</v>
      </c>
      <c r="CV2" s="15" t="str">
        <f>[1]MiscModules!$B$8</f>
        <v>Give-wonder-500xV.jpg</v>
      </c>
      <c r="CW2" s="15" t="str">
        <f>[1]MiscModules!$C$8</f>
        <v>NULL</v>
      </c>
      <c r="CX2" s="15" t="str">
        <f>[1]MiscModules!$D$8</f>
        <v>NULL</v>
      </c>
      <c r="CY2"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Z2" s="15" t="str">
        <f>[1]MiscModules!$F$8</f>
        <v>Shop now</v>
      </c>
      <c r="DA2" s="15" t="str">
        <f>[1]MiscModules!$G$8</f>
        <v>https://www.samsung.com/us/gift-ideas/</v>
      </c>
      <c r="DB2"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C2" s="15" t="str">
        <f>[1]MiscModules!$I$8</f>
        <v xml:space="preserve"> NULL</v>
      </c>
      <c r="DD2" s="15" t="str">
        <f>[1]MiscModules!$J$8</f>
        <v xml:space="preserve"> NULL</v>
      </c>
      <c r="DE2" s="15" t="str">
        <f>[1]MiscModules!$K$8</f>
        <v xml:space="preserve"> NULL</v>
      </c>
      <c r="DF2" s="75" t="s">
        <v>369</v>
      </c>
      <c r="DG2" s="15" t="str">
        <f>[1]TC!$B$4</f>
        <v>NULL</v>
      </c>
      <c r="DH2"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I2" s="15" t="str">
        <f>[1]TC!$D$4</f>
        <v>NULL</v>
      </c>
      <c r="DJ2" s="15" t="str">
        <f>[1]TC!$E$4</f>
        <v>NULL</v>
      </c>
      <c r="DK2" s="15" t="str">
        <f>[1]TC!$F$4</f>
        <v>NULL</v>
      </c>
      <c r="DL2" s="15">
        <f>[1]TC!$G$4</f>
        <v>0</v>
      </c>
      <c r="DM2" s="15">
        <f>[1]TC!$H$4</f>
        <v>0</v>
      </c>
      <c r="DN2" s="15" t="str">
        <f>[1]TC!$I$4</f>
        <v>NULL</v>
      </c>
      <c r="DO2" s="15" t="str">
        <f>[1]TC!$J$4</f>
        <v>NULL</v>
      </c>
      <c r="DP2" s="15" t="str">
        <f>[1]TC!$K$4</f>
        <v>NULL</v>
      </c>
      <c r="DQ2" s="75" t="s">
        <v>386</v>
      </c>
      <c r="DR2" s="15" t="str">
        <f>[1]TC!$B$2</f>
        <v>NULL</v>
      </c>
      <c r="DS2"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T2" s="15" t="str">
        <f>[1]TC!$D$2</f>
        <v>NULL</v>
      </c>
      <c r="DU2" s="15" t="str">
        <f>[1]TC!$E$2</f>
        <v>NULL</v>
      </c>
      <c r="DV2" s="15" t="str">
        <f>[1]TC!$F$2</f>
        <v>NULL</v>
      </c>
      <c r="DW2" s="15" t="str">
        <f>[1]TC!$G$2</f>
        <v>1) https://www.samsung.com/us/trade-in/terms-and-conditions/</v>
      </c>
      <c r="DX2" s="15">
        <f>[1]TC!$H$2</f>
        <v>0</v>
      </c>
      <c r="DY2" s="15" t="str">
        <f>[1]TC!$I$2</f>
        <v>NULL</v>
      </c>
      <c r="DZ2" s="15" t="str">
        <f>[1]TC!$J$2</f>
        <v>NULL</v>
      </c>
      <c r="EA2" s="15" t="str">
        <f>[1]TC!$K$2</f>
        <v>NULL</v>
      </c>
      <c r="EB2" s="75" t="s">
        <v>387</v>
      </c>
      <c r="EC2" s="15" t="str">
        <f>[1]TC!$B$6</f>
        <v>NULL</v>
      </c>
      <c r="ED2"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E2" s="15" t="str">
        <f>[1]TC!$D$6</f>
        <v>NULL</v>
      </c>
      <c r="EF2" s="15" t="str">
        <f>[1]TC!$E$6</f>
        <v>NULL</v>
      </c>
      <c r="EG2" s="15" t="str">
        <f>[1]TC!$F$6</f>
        <v>NULL</v>
      </c>
      <c r="EH2" s="15" t="str">
        <f>[1]TC!$G$6</f>
        <v xml:space="preserve">https://www.samsung.com/us/
</v>
      </c>
      <c r="EI2" s="15">
        <f>[1]TC!$H$6</f>
        <v>0</v>
      </c>
      <c r="EJ2" s="15" t="str">
        <f>[1]TC!$I$6</f>
        <v>NULL</v>
      </c>
      <c r="EK2" s="15" t="str">
        <f>[1]TC!$J$6</f>
        <v>NULL</v>
      </c>
      <c r="EL2" s="15" t="str">
        <f>[1]TC!$K$6</f>
        <v>NULL</v>
      </c>
    </row>
    <row r="3" spans="1:175" ht="75" x14ac:dyDescent="0.25">
      <c r="A3" t="s">
        <v>118</v>
      </c>
      <c r="B3" s="77" t="s">
        <v>171</v>
      </c>
      <c r="C3" s="1" t="s">
        <v>390</v>
      </c>
      <c r="D3" t="s">
        <v>39</v>
      </c>
      <c r="E3" t="s">
        <v>39</v>
      </c>
      <c r="F3" t="s">
        <v>376</v>
      </c>
      <c r="H3" s="74" t="s">
        <v>391</v>
      </c>
      <c r="I3" s="74" t="s">
        <v>389</v>
      </c>
      <c r="J3" s="45" t="s">
        <v>115</v>
      </c>
      <c r="K3" s="15" t="str">
        <f>[1]MiscModules!$B$12</f>
        <v>NULL</v>
      </c>
      <c r="L3" s="15" t="str">
        <f>[1]MiscModules!$C$12</f>
        <v xml:space="preserve">Order by December 19 to get most smartphones, wearables, tablets and laptops delivered by December 25. </v>
      </c>
      <c r="M3" s="15" t="str">
        <f>[1]MiscModules!$D$12</f>
        <v>NULL</v>
      </c>
      <c r="N3" s="15" t="str">
        <f>[1]MiscModules!$E$12</f>
        <v>NULL</v>
      </c>
      <c r="O3" s="15" t="str">
        <f>[1]MiscModules!$F$12</f>
        <v>NULL</v>
      </c>
      <c r="P3" s="15" t="str">
        <f>[1]MiscModules!$G$12</f>
        <v>https://www.samsung.com/us/support/order-faqs/#SHIPPINGANDPAYMENTS</v>
      </c>
      <c r="Q3" s="15" t="str">
        <f>[1]MiscModules!$H$12</f>
        <v xml:space="preserve"> </v>
      </c>
      <c r="R3" s="15" t="str">
        <f>[1]MiscModules!$I$12</f>
        <v>NULL</v>
      </c>
      <c r="S3" s="15" t="str">
        <f>[1]MiscModules!$J$12</f>
        <v>NULL</v>
      </c>
      <c r="T3" s="45" t="s">
        <v>377</v>
      </c>
      <c r="U3" s="15" t="str">
        <f>[1]MiscModules!$B$10</f>
        <v xml:space="preserve"> </v>
      </c>
      <c r="V3" s="15" t="str">
        <f>[1]MiscModules!$C$10</f>
        <v xml:space="preserve">Students &amp; Educators • Government • Military • Save@Work • First Responders </v>
      </c>
      <c r="W3" s="15" t="str">
        <f>[1]MiscModules!$D$10</f>
        <v xml:space="preserve">Login to your Discount Program to save even more on the great offers below. </v>
      </c>
      <c r="X3" s="15" t="str">
        <f>[1]MiscModules!$E$10</f>
        <v>NULL</v>
      </c>
      <c r="Y3" s="15" t="str">
        <f>[1]MiscModules!$F$10</f>
        <v>NULL</v>
      </c>
      <c r="Z3" s="15" t="str">
        <f>[1]MiscModules!$G$10</f>
        <v>https://www.samsung.com/us/shop/all-deals/</v>
      </c>
      <c r="AA3"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3" s="15" t="str">
        <f>[1]MiscModules!$I$10</f>
        <v xml:space="preserve"> NULL</v>
      </c>
      <c r="AC3" s="15" t="str">
        <f>[1]MiscModules!$J$10</f>
        <v xml:space="preserve"> NULL</v>
      </c>
      <c r="AD3" s="15" t="str">
        <f>[1]MiscModules!$K$10</f>
        <v xml:space="preserve"> NULL</v>
      </c>
      <c r="AE3" s="75" t="s">
        <v>361</v>
      </c>
      <c r="AF3" s="15" t="str">
        <f>[1]MiscModules!$B$17</f>
        <v>Last_Minute_Deals_T2_KV.jpg</v>
      </c>
      <c r="AG3" s="15" t="str">
        <f>[1]MiscModules!$C$17</f>
        <v>Last-minute gifts just in time</v>
      </c>
      <c r="AH3" s="15" t="str">
        <f>[1]MiscModules!$D$17</f>
        <v>NULL</v>
      </c>
      <c r="AI3" s="15" t="str">
        <f>[1]MiscModules!$E$17</f>
        <v>NULL</v>
      </c>
      <c r="AJ3" s="15" t="str">
        <f>[1]MiscModules!$F$17</f>
        <v xml:space="preserve"> NULL</v>
      </c>
      <c r="AK3" s="15" t="str">
        <f>[1]MiscModules!$G$17</f>
        <v>https://www.samsung.com/us/shop/all-deals/</v>
      </c>
      <c r="AL3"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3" s="15" t="str">
        <f>[1]MiscModules!$I$17</f>
        <v xml:space="preserve"> NULL</v>
      </c>
      <c r="AN3" s="15" t="str">
        <f>[1]MiscModules!$J$17</f>
        <v xml:space="preserve"> NULL</v>
      </c>
      <c r="AO3" s="15" t="str">
        <f>[1]MiscModules!$K$17</f>
        <v xml:space="preserve"> NULL</v>
      </c>
      <c r="AP3" s="76">
        <v>44184</v>
      </c>
      <c r="AQ3" s="15" t="s">
        <v>362</v>
      </c>
      <c r="AR3" s="75" t="s">
        <v>363</v>
      </c>
      <c r="AS3" s="15" t="str">
        <f>[1]MiscModules!$B$2</f>
        <v>NULL</v>
      </c>
      <c r="AT3" s="15" t="str">
        <f>[1]MiscModules!$C$2</f>
        <v>NULL</v>
      </c>
      <c r="AU3" s="15" t="str">
        <f>[1]MiscModules!$D$2</f>
        <v xml:space="preserve">It’s not too late to give wonder. </v>
      </c>
      <c r="AV3" s="15" t="str">
        <f>[1]MiscModules!$E$2</f>
        <v xml:space="preserve">Plus,there is still time to redeem your exclusive $20 instant credit toward eligible accessories with smartphone purchase. </v>
      </c>
      <c r="AW3" s="15" t="str">
        <f>[1]MiscModules!$F$2</f>
        <v xml:space="preserve"> NULL</v>
      </c>
      <c r="AX3" s="15" t="str">
        <f>[1]MiscModules!$G$2</f>
        <v>https://www.samsung.com/us/shop/all-deals/</v>
      </c>
      <c r="AY3"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3" s="15" t="str">
        <f>[1]MiscModules!$I$2</f>
        <v xml:space="preserve"> NULL</v>
      </c>
      <c r="BA3" s="15" t="str">
        <f>[1]MiscModules!$J$2</f>
        <v xml:space="preserve"> NULL</v>
      </c>
      <c r="BB3" s="15" t="str">
        <f>[1]MiscModules!$K$2</f>
        <v xml:space="preserve"> NULL</v>
      </c>
      <c r="BC3" s="75" t="s">
        <v>383</v>
      </c>
      <c r="BD3" t="str">
        <f>[1]DD_R!$G$8</f>
        <v>110_IM_HeadImage_MB_Galaxy_500xV.jpg</v>
      </c>
      <c r="BE3" t="str">
        <f>[1]DD_R!$H$8</f>
        <v xml:space="preserve">Get up to $250 off select Galaxy S20 5G </v>
      </c>
      <c r="BF3" t="str">
        <f>[1]DD_R!$I$8</f>
        <v>Now from only $13.62/mo for 36 mos&lt;sup&gt;⊕&lt;/sup&gt; or $489.99 with eligible trade-in.&lt;sup&gt;ᶿ&lt;/sup&gt;</v>
      </c>
      <c r="BG3" t="str">
        <f>[1]DD_R!$J$8</f>
        <v xml:space="preserve">Get up to $250 off instantly and up to $310 trade-in credit&lt;sup&gt;ᶿ&lt;/sup&gt; toward your next Galaxy S20 5G, S20+ 5G or S20 Ultra 5G. </v>
      </c>
      <c r="BH3" t="str">
        <f>[1]DD_R!$K$8</f>
        <v>Buy now</v>
      </c>
      <c r="BI3" t="str">
        <f>[1]DD_R!$L$8</f>
        <v>https://www.samsung.com/us/mobile/galaxy-s20-5g/buy/galaxy-s20-5g-128gb-unlocked-sm-g981uzaaxaa/</v>
      </c>
      <c r="BJ3"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K3" t="str">
        <f>[1]DD_R!$N$8</f>
        <v>NULL</v>
      </c>
      <c r="BL3" t="str">
        <f>[1]DD_R!$O$8</f>
        <v>NULL</v>
      </c>
      <c r="BM3" t="str">
        <f>[1]DD_R!$P$8</f>
        <v>NULL</v>
      </c>
      <c r="BN3" s="75" t="s">
        <v>382</v>
      </c>
      <c r="BO3" t="str">
        <f>[1]DD_R!$G$9</f>
        <v>23_IM_HeadImage_MB_Fold-500xV.jpg</v>
      </c>
      <c r="BP3" t="str">
        <f>[1]DD_R!$H$9</f>
        <v xml:space="preserve">Get up to 50% off Galaxy Z Fold2 5G </v>
      </c>
      <c r="BQ3" t="str">
        <f>[1]DD_R!$I$9</f>
        <v>Now from only $20.84/mo for 48 mos&lt;sup&gt;⊕&lt;/sup&gt; or $999.99 with eligible trade-in.&lt;sup&gt;ᶿ&lt;/sup&gt;</v>
      </c>
      <c r="BR3" t="str">
        <f>[1]DD_R!$J$9</f>
        <v xml:space="preserve">Our best Galaxy Z Fold2 5G offer of the year. Get up to $1000 trade-in credit.&lt;sup&gt;ᶿ&lt;/sup&gt; </v>
      </c>
      <c r="BS3" t="str">
        <f>[1]DD_R!$K$9</f>
        <v>Buy now</v>
      </c>
      <c r="BT3" t="str">
        <f>[1]DD_R!$L$9</f>
        <v>https://www.samsung.com/us/smartphones/galaxy-z-fold2-5g/buy/</v>
      </c>
      <c r="BU3"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V3" t="str">
        <f>[1]DD_R!$N$9</f>
        <v>NULL</v>
      </c>
      <c r="BW3" t="str">
        <f>[1]DD_R!$O$9</f>
        <v>NULL</v>
      </c>
      <c r="BX3" t="str">
        <f>[1]DD_R!$P$9</f>
        <v>NULL</v>
      </c>
      <c r="BY3" s="75" t="s">
        <v>384</v>
      </c>
      <c r="BZ3" t="str">
        <f>[1]DD_R!$G$10</f>
        <v>24-IM-A71-A51-HeadImage-500xV.jpg</v>
      </c>
      <c r="CA3" t="str">
        <f>[1]DD_R!$H$10</f>
        <v>Get 50% off Galaxy A71 5G with T-Mobile and Verizon</v>
      </c>
      <c r="CB3" t="str">
        <f>[1]DD_R!$I$10</f>
        <v xml:space="preserve">Now from only $8.34/mo for 36 mos&lt;sup&gt;⊕&lt;/sup&gt; or $299.99 with eligible trade-in.&lt;sup&gt;ᶿ&lt;/sup&gt; </v>
      </c>
      <c r="CC3" t="str">
        <f>[1]DD_R!$J$10</f>
        <v xml:space="preserve">Save up to $250 instantly and get $75 or more trade-in credit. Treat yourself to blazing fast 5G speeds and incredible features at an amazing value. </v>
      </c>
      <c r="CD3" t="str">
        <f>[1]DD_R!$K$10</f>
        <v>Buy now</v>
      </c>
      <c r="CE3" t="str">
        <f>[1]DD_R!$L$10</f>
        <v>https://www.samsung.com/us/mobile/phones/galaxy-a/buy/?link=galaxy-a71-5g</v>
      </c>
      <c r="CF3"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G3" t="str">
        <f>[1]DD_R!$N$10</f>
        <v>NULL</v>
      </c>
      <c r="CH3" t="str">
        <f>[1]DD_R!$O$10</f>
        <v>NULL</v>
      </c>
      <c r="CI3" t="str">
        <f>[1]DD_R!$P$10</f>
        <v>NULL</v>
      </c>
      <c r="CJ3" s="75" t="s">
        <v>385</v>
      </c>
      <c r="CK3" t="str">
        <f>[1]DD_R!$G$25</f>
        <v>110-CPO-HeadImage-500xV.jpg</v>
      </c>
      <c r="CL3" t="str">
        <f>[1]DD_R!$H$25</f>
        <v>Save up to $75 instantly on select Certified Pre-owned devices</v>
      </c>
      <c r="CM3" t="str">
        <f>[1]DD_R!$I$25</f>
        <v xml:space="preserve">Starting from only $320. </v>
      </c>
      <c r="CN3" t="str">
        <f>[1]DD_R!$J$25</f>
        <v xml:space="preserve">Refreshed with a brand new charger and accessories in the box, get some of our favorite phones like Galaxy S10, Note9 and more. Covered by a 12-month warranty, just like our new devices. </v>
      </c>
      <c r="CO3" t="str">
        <f>[1]DD_R!$K$25</f>
        <v>Shop now</v>
      </c>
      <c r="CP3" t="str">
        <f>[1]DD_R!$L$25</f>
        <v>https://www.samsung.com/us/search/searchMain/?listType=g&amp;searchTerm=cpo&amp;sort=relevance&amp;size=30&amp;item_type=Phones</v>
      </c>
      <c r="CQ3" t="str">
        <f>[1]DD_R!$M$25</f>
        <v>no equivalent URL</v>
      </c>
      <c r="CR3" t="str">
        <f>[1]DD_R!$N$25</f>
        <v>NULL</v>
      </c>
      <c r="CS3" t="str">
        <f>[1]DD_R!$O$25</f>
        <v>NULL</v>
      </c>
      <c r="CT3" t="str">
        <f>[1]DD_R!$P$25</f>
        <v>NULL</v>
      </c>
      <c r="CU3" s="75" t="s">
        <v>368</v>
      </c>
      <c r="CV3" s="15" t="str">
        <f>[1]MiscModules!$B$8</f>
        <v>Give-wonder-500xV.jpg</v>
      </c>
      <c r="CW3" s="15" t="str">
        <f>[1]MiscModules!$C$8</f>
        <v>NULL</v>
      </c>
      <c r="CX3" s="15" t="str">
        <f>[1]MiscModules!$D$8</f>
        <v>NULL</v>
      </c>
      <c r="CY3"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Z3" s="15" t="str">
        <f>[1]MiscModules!$F$8</f>
        <v>Shop now</v>
      </c>
      <c r="DA3" s="15" t="str">
        <f>[1]MiscModules!$G$8</f>
        <v>https://www.samsung.com/us/gift-ideas/</v>
      </c>
      <c r="DB3"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C3" s="15" t="str">
        <f>[1]MiscModules!$I$8</f>
        <v xml:space="preserve"> NULL</v>
      </c>
      <c r="DD3" s="15" t="str">
        <f>[1]MiscModules!$J$8</f>
        <v xml:space="preserve"> NULL</v>
      </c>
      <c r="DE3" s="15" t="str">
        <f>[1]MiscModules!$K$8</f>
        <v xml:space="preserve"> NULL</v>
      </c>
      <c r="DF3" s="75" t="s">
        <v>369</v>
      </c>
      <c r="DG3" s="15" t="str">
        <f>[1]TC!$B$4</f>
        <v>NULL</v>
      </c>
      <c r="DH3"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I3" s="15" t="str">
        <f>[1]TC!$D$4</f>
        <v>NULL</v>
      </c>
      <c r="DJ3" s="15" t="str">
        <f>[1]TC!$E$4</f>
        <v>NULL</v>
      </c>
      <c r="DK3" s="15" t="str">
        <f>[1]TC!$F$4</f>
        <v>NULL</v>
      </c>
      <c r="DL3" s="15">
        <f>[1]TC!$G$4</f>
        <v>0</v>
      </c>
      <c r="DM3" s="15">
        <f>[1]TC!$H$4</f>
        <v>0</v>
      </c>
      <c r="DN3" s="15" t="str">
        <f>[1]TC!$I$4</f>
        <v>NULL</v>
      </c>
      <c r="DO3" s="15" t="str">
        <f>[1]TC!$J$4</f>
        <v>NULL</v>
      </c>
      <c r="DP3" s="15" t="str">
        <f>[1]TC!$K$4</f>
        <v>NULL</v>
      </c>
      <c r="DQ3" s="75" t="s">
        <v>386</v>
      </c>
      <c r="DR3" s="15" t="str">
        <f>[1]TC!$B$2</f>
        <v>NULL</v>
      </c>
      <c r="DS3"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T3" s="15" t="str">
        <f>[1]TC!$D$2</f>
        <v>NULL</v>
      </c>
      <c r="DU3" s="15" t="str">
        <f>[1]TC!$E$2</f>
        <v>NULL</v>
      </c>
      <c r="DV3" s="15" t="str">
        <f>[1]TC!$F$2</f>
        <v>NULL</v>
      </c>
      <c r="DW3" s="15" t="str">
        <f>[1]TC!$G$2</f>
        <v>1) https://www.samsung.com/us/trade-in/terms-and-conditions/</v>
      </c>
      <c r="DX3" s="15">
        <f>[1]TC!$H$2</f>
        <v>0</v>
      </c>
      <c r="DY3" s="15" t="str">
        <f>[1]TC!$I$2</f>
        <v>NULL</v>
      </c>
      <c r="DZ3" s="15" t="str">
        <f>[1]TC!$J$2</f>
        <v>NULL</v>
      </c>
      <c r="EA3" s="15" t="str">
        <f>[1]TC!$K$2</f>
        <v>NULL</v>
      </c>
      <c r="EB3" s="75" t="s">
        <v>387</v>
      </c>
      <c r="EC3" s="15" t="str">
        <f>[1]TC!$B$6</f>
        <v>NULL</v>
      </c>
      <c r="ED3"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E3" s="15" t="str">
        <f>[1]TC!$D$6</f>
        <v>NULL</v>
      </c>
      <c r="EF3" s="15" t="str">
        <f>[1]TC!$E$6</f>
        <v>NULL</v>
      </c>
      <c r="EG3" s="15" t="str">
        <f>[1]TC!$F$6</f>
        <v>NULL</v>
      </c>
      <c r="EH3" s="15" t="str">
        <f>[1]TC!$G$6</f>
        <v xml:space="preserve">https://www.samsung.com/us/
</v>
      </c>
      <c r="EI3" s="15">
        <f>[1]TC!$H$6</f>
        <v>0</v>
      </c>
      <c r="EJ3" s="15" t="str">
        <f>[1]TC!$I$6</f>
        <v>NULL</v>
      </c>
      <c r="EK3" s="15" t="str">
        <f>[1]TC!$J$6</f>
        <v>NULL</v>
      </c>
      <c r="EL3" s="15" t="str">
        <f>[1]TC!$K$6</f>
        <v>NULL</v>
      </c>
    </row>
    <row r="4" spans="1:175" ht="75" x14ac:dyDescent="0.25">
      <c r="A4" t="s">
        <v>118</v>
      </c>
      <c r="B4" s="77" t="s">
        <v>392</v>
      </c>
      <c r="C4" s="1" t="s">
        <v>393</v>
      </c>
      <c r="D4" t="s">
        <v>39</v>
      </c>
      <c r="E4" t="s">
        <v>39</v>
      </c>
      <c r="F4" t="s">
        <v>376</v>
      </c>
      <c r="H4" s="74" t="s">
        <v>394</v>
      </c>
      <c r="I4" s="74" t="s">
        <v>389</v>
      </c>
      <c r="J4" s="45" t="s">
        <v>115</v>
      </c>
      <c r="K4" s="15" t="str">
        <f>[1]MiscModules!$B$12</f>
        <v>NULL</v>
      </c>
      <c r="L4" s="15" t="str">
        <f>[1]MiscModules!$C$12</f>
        <v xml:space="preserve">Order by December 19 to get most smartphones, wearables, tablets and laptops delivered by December 25. </v>
      </c>
      <c r="M4" s="15" t="str">
        <f>[1]MiscModules!$D$12</f>
        <v>NULL</v>
      </c>
      <c r="N4" s="15" t="str">
        <f>[1]MiscModules!$E$12</f>
        <v>NULL</v>
      </c>
      <c r="O4" s="15" t="str">
        <f>[1]MiscModules!$F$12</f>
        <v>NULL</v>
      </c>
      <c r="P4" s="15" t="str">
        <f>[1]MiscModules!$G$12</f>
        <v>https://www.samsung.com/us/support/order-faqs/#SHIPPINGANDPAYMENTS</v>
      </c>
      <c r="Q4" s="15" t="str">
        <f>[1]MiscModules!$H$12</f>
        <v xml:space="preserve"> </v>
      </c>
      <c r="R4" s="15" t="str">
        <f>[1]MiscModules!$I$12</f>
        <v>NULL</v>
      </c>
      <c r="S4" s="15" t="str">
        <f>[1]MiscModules!$J$12</f>
        <v>NULL</v>
      </c>
      <c r="T4" s="45" t="s">
        <v>377</v>
      </c>
      <c r="U4" s="15" t="str">
        <f>[1]MiscModules!$B$10</f>
        <v xml:space="preserve"> </v>
      </c>
      <c r="V4" s="15" t="str">
        <f>[1]MiscModules!$C$10</f>
        <v xml:space="preserve">Students &amp; Educators • Government • Military • Save@Work • First Responders </v>
      </c>
      <c r="W4" s="15" t="str">
        <f>[1]MiscModules!$D$10</f>
        <v xml:space="preserve">Login to your Discount Program to save even more on the great offers below. </v>
      </c>
      <c r="X4" s="15" t="str">
        <f>[1]MiscModules!$E$10</f>
        <v>NULL</v>
      </c>
      <c r="Y4" s="15" t="str">
        <f>[1]MiscModules!$F$10</f>
        <v>NULL</v>
      </c>
      <c r="Z4" s="15" t="str">
        <f>[1]MiscModules!$G$10</f>
        <v>https://www.samsung.com/us/shop/all-deals/</v>
      </c>
      <c r="AA4"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4" s="15" t="str">
        <f>[1]MiscModules!$I$10</f>
        <v xml:space="preserve"> NULL</v>
      </c>
      <c r="AC4" s="15" t="str">
        <f>[1]MiscModules!$J$10</f>
        <v xml:space="preserve"> NULL</v>
      </c>
      <c r="AD4" s="15" t="str">
        <f>[1]MiscModules!$K$10</f>
        <v xml:space="preserve"> NULL</v>
      </c>
      <c r="AE4" s="75" t="s">
        <v>361</v>
      </c>
      <c r="AF4" s="15" t="str">
        <f>[1]MiscModules!$B$17</f>
        <v>Last_Minute_Deals_T2_KV.jpg</v>
      </c>
      <c r="AG4" s="15" t="str">
        <f>[1]MiscModules!$C$17</f>
        <v>Last-minute gifts just in time</v>
      </c>
      <c r="AH4" s="15" t="str">
        <f>[1]MiscModules!$D$17</f>
        <v>NULL</v>
      </c>
      <c r="AI4" s="15" t="str">
        <f>[1]MiscModules!$E$17</f>
        <v>NULL</v>
      </c>
      <c r="AJ4" s="15" t="str">
        <f>[1]MiscModules!$F$17</f>
        <v xml:space="preserve"> NULL</v>
      </c>
      <c r="AK4" s="15" t="str">
        <f>[1]MiscModules!$G$17</f>
        <v>https://www.samsung.com/us/shop/all-deals/</v>
      </c>
      <c r="AL4"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4" s="15" t="str">
        <f>[1]MiscModules!$I$17</f>
        <v xml:space="preserve"> NULL</v>
      </c>
      <c r="AN4" s="15" t="str">
        <f>[1]MiscModules!$J$17</f>
        <v xml:space="preserve"> NULL</v>
      </c>
      <c r="AO4" s="15" t="str">
        <f>[1]MiscModules!$K$17</f>
        <v xml:space="preserve"> NULL</v>
      </c>
      <c r="AP4" s="76">
        <v>44184</v>
      </c>
      <c r="AQ4" s="15" t="s">
        <v>362</v>
      </c>
      <c r="AR4" s="75" t="s">
        <v>363</v>
      </c>
      <c r="AS4" s="15" t="str">
        <f>[1]MiscModules!$B$2</f>
        <v>NULL</v>
      </c>
      <c r="AT4" s="15" t="str">
        <f>[1]MiscModules!$C$2</f>
        <v>NULL</v>
      </c>
      <c r="AU4" s="15" t="str">
        <f>[1]MiscModules!$D$2</f>
        <v xml:space="preserve">It’s not too late to give wonder. </v>
      </c>
      <c r="AV4" s="15" t="str">
        <f>[1]MiscModules!$E$2</f>
        <v xml:space="preserve">Plus,there is still time to redeem your exclusive $20 instant credit toward eligible accessories with smartphone purchase. </v>
      </c>
      <c r="AW4" s="15" t="str">
        <f>[1]MiscModules!$F$2</f>
        <v xml:space="preserve"> NULL</v>
      </c>
      <c r="AX4" s="15" t="str">
        <f>[1]MiscModules!$G$2</f>
        <v>https://www.samsung.com/us/shop/all-deals/</v>
      </c>
      <c r="AY4"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4" s="15" t="str">
        <f>[1]MiscModules!$I$2</f>
        <v xml:space="preserve"> NULL</v>
      </c>
      <c r="BA4" s="15" t="str">
        <f>[1]MiscModules!$J$2</f>
        <v xml:space="preserve"> NULL</v>
      </c>
      <c r="BB4" s="15" t="str">
        <f>[1]MiscModules!$K$2</f>
        <v xml:space="preserve"> NULL</v>
      </c>
      <c r="BC4" s="75" t="s">
        <v>384</v>
      </c>
      <c r="BD4" t="str">
        <f>[1]DD_R!$G$10</f>
        <v>24-IM-A71-A51-HeadImage-500xV.jpg</v>
      </c>
      <c r="BE4" t="str">
        <f>[1]DD_R!$H$10</f>
        <v>Get 50% off Galaxy A71 5G with T-Mobile and Verizon</v>
      </c>
      <c r="BF4" t="str">
        <f>[1]DD_R!$I$10</f>
        <v xml:space="preserve">Now from only $8.34/mo for 36 mos&lt;sup&gt;⊕&lt;/sup&gt; or $299.99 with eligible trade-in.&lt;sup&gt;ᶿ&lt;/sup&gt; </v>
      </c>
      <c r="BG4" t="str">
        <f>[1]DD_R!$J$10</f>
        <v xml:space="preserve">Save up to $250 instantly and get $75 or more trade-in credit. Treat yourself to blazing fast 5G speeds and incredible features at an amazing value. </v>
      </c>
      <c r="BH4" t="str">
        <f>[1]DD_R!$K$10</f>
        <v>Buy now</v>
      </c>
      <c r="BI4" t="str">
        <f>[1]DD_R!$L$10</f>
        <v>https://www.samsung.com/us/mobile/phones/galaxy-a/buy/?link=galaxy-a71-5g</v>
      </c>
      <c r="BJ4"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BK4" t="str">
        <f>[1]DD_R!$N$10</f>
        <v>NULL</v>
      </c>
      <c r="BL4" t="str">
        <f>[1]DD_R!$O$10</f>
        <v>NULL</v>
      </c>
      <c r="BM4" t="str">
        <f>[1]DD_R!$P$10</f>
        <v>NULL</v>
      </c>
      <c r="BN4" s="75" t="s">
        <v>383</v>
      </c>
      <c r="BO4" t="str">
        <f>[1]DD_R!$G$8</f>
        <v>110_IM_HeadImage_MB_Galaxy_500xV.jpg</v>
      </c>
      <c r="BP4" t="str">
        <f>[1]DD_R!$H$8</f>
        <v xml:space="preserve">Get up to $250 off select Galaxy S20 5G </v>
      </c>
      <c r="BQ4" t="str">
        <f>[1]DD_R!$I$8</f>
        <v>Now from only $13.62/mo for 36 mos&lt;sup&gt;⊕&lt;/sup&gt; or $489.99 with eligible trade-in.&lt;sup&gt;ᶿ&lt;/sup&gt;</v>
      </c>
      <c r="BR4" t="str">
        <f>[1]DD_R!$J$8</f>
        <v xml:space="preserve">Get up to $250 off instantly and up to $310 trade-in credit&lt;sup&gt;ᶿ&lt;/sup&gt; toward your next Galaxy S20 5G, S20+ 5G or S20 Ultra 5G. </v>
      </c>
      <c r="BS4" t="str">
        <f>[1]DD_R!$K$8</f>
        <v>Buy now</v>
      </c>
      <c r="BT4" t="str">
        <f>[1]DD_R!$L$8</f>
        <v>https://www.samsung.com/us/mobile/galaxy-s20-5g/buy/galaxy-s20-5g-128gb-unlocked-sm-g981uzaaxaa/</v>
      </c>
      <c r="BU4"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V4" t="str">
        <f>[1]DD_R!$N$8</f>
        <v>NULL</v>
      </c>
      <c r="BW4" t="str">
        <f>[1]DD_R!$O$8</f>
        <v>NULL</v>
      </c>
      <c r="BX4" t="str">
        <f>[1]DD_R!$P$8</f>
        <v>NULL</v>
      </c>
      <c r="BY4" s="75" t="s">
        <v>382</v>
      </c>
      <c r="BZ4" t="str">
        <f>[1]DD_R!$G$9</f>
        <v>23_IM_HeadImage_MB_Fold-500xV.jpg</v>
      </c>
      <c r="CA4" t="str">
        <f>[1]DD_R!$H$9</f>
        <v xml:space="preserve">Get up to 50% off Galaxy Z Fold2 5G </v>
      </c>
      <c r="CB4" t="str">
        <f>[1]DD_R!$I$9</f>
        <v>Now from only $20.84/mo for 48 mos&lt;sup&gt;⊕&lt;/sup&gt; or $999.99 with eligible trade-in.&lt;sup&gt;ᶿ&lt;/sup&gt;</v>
      </c>
      <c r="CC4" t="str">
        <f>[1]DD_R!$J$9</f>
        <v xml:space="preserve">Our best Galaxy Z Fold2 5G offer of the year. Get up to $1000 trade-in credit.&lt;sup&gt;ᶿ&lt;/sup&gt; </v>
      </c>
      <c r="CD4" t="str">
        <f>[1]DD_R!$K$9</f>
        <v>Buy now</v>
      </c>
      <c r="CE4" t="str">
        <f>[1]DD_R!$L$9</f>
        <v>https://www.samsung.com/us/smartphones/galaxy-z-fold2-5g/buy/</v>
      </c>
      <c r="CF4"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CG4" t="str">
        <f>[1]DD_R!$N$9</f>
        <v>NULL</v>
      </c>
      <c r="CH4" t="str">
        <f>[1]DD_R!$O$9</f>
        <v>NULL</v>
      </c>
      <c r="CI4" t="str">
        <f>[1]DD_R!$P$9</f>
        <v>NULL</v>
      </c>
      <c r="CJ4" s="75" t="s">
        <v>385</v>
      </c>
      <c r="CK4" t="str">
        <f>[1]DD_R!$G$25</f>
        <v>110-CPO-HeadImage-500xV.jpg</v>
      </c>
      <c r="CL4" t="str">
        <f>[1]DD_R!$H$25</f>
        <v>Save up to $75 instantly on select Certified Pre-owned devices</v>
      </c>
      <c r="CM4" t="str">
        <f>[1]DD_R!$I$25</f>
        <v xml:space="preserve">Starting from only $320. </v>
      </c>
      <c r="CN4" t="str">
        <f>[1]DD_R!$J$25</f>
        <v xml:space="preserve">Refreshed with a brand new charger and accessories in the box, get some of our favorite phones like Galaxy S10, Note9 and more. Covered by a 12-month warranty, just like our new devices. </v>
      </c>
      <c r="CO4" t="str">
        <f>[1]DD_R!$K$25</f>
        <v>Shop now</v>
      </c>
      <c r="CP4" t="str">
        <f>[1]DD_R!$L$25</f>
        <v>https://www.samsung.com/us/search/searchMain/?listType=g&amp;searchTerm=cpo&amp;sort=relevance&amp;size=30&amp;item_type=Phones</v>
      </c>
      <c r="CQ4" t="str">
        <f>[1]DD_R!$M$25</f>
        <v>no equivalent URL</v>
      </c>
      <c r="CR4" t="str">
        <f>[1]DD_R!$N$25</f>
        <v>NULL</v>
      </c>
      <c r="CS4" t="str">
        <f>[1]DD_R!$O$25</f>
        <v>NULL</v>
      </c>
      <c r="CT4" t="str">
        <f>[1]DD_R!$P$25</f>
        <v>NULL</v>
      </c>
      <c r="CU4" s="75" t="s">
        <v>368</v>
      </c>
      <c r="CV4" s="15" t="str">
        <f>[1]MiscModules!$B$8</f>
        <v>Give-wonder-500xV.jpg</v>
      </c>
      <c r="CW4" s="15" t="str">
        <f>[1]MiscModules!$C$8</f>
        <v>NULL</v>
      </c>
      <c r="CX4" s="15" t="str">
        <f>[1]MiscModules!$D$8</f>
        <v>NULL</v>
      </c>
      <c r="CY4"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Z4" s="15" t="str">
        <f>[1]MiscModules!$F$8</f>
        <v>Shop now</v>
      </c>
      <c r="DA4" s="15" t="str">
        <f>[1]MiscModules!$G$8</f>
        <v>https://www.samsung.com/us/gift-ideas/</v>
      </c>
      <c r="DB4"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C4" s="15" t="str">
        <f>[1]MiscModules!$I$8</f>
        <v xml:space="preserve"> NULL</v>
      </c>
      <c r="DD4" s="15" t="str">
        <f>[1]MiscModules!$J$8</f>
        <v xml:space="preserve"> NULL</v>
      </c>
      <c r="DE4" s="15" t="str">
        <f>[1]MiscModules!$K$8</f>
        <v xml:space="preserve"> NULL</v>
      </c>
      <c r="DF4" s="75" t="s">
        <v>369</v>
      </c>
      <c r="DG4" s="15" t="str">
        <f>[1]TC!$B$4</f>
        <v>NULL</v>
      </c>
      <c r="DH4"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I4" s="15" t="str">
        <f>[1]TC!$D$4</f>
        <v>NULL</v>
      </c>
      <c r="DJ4" s="15" t="str">
        <f>[1]TC!$E$4</f>
        <v>NULL</v>
      </c>
      <c r="DK4" s="15" t="str">
        <f>[1]TC!$F$4</f>
        <v>NULL</v>
      </c>
      <c r="DL4" s="15">
        <f>[1]TC!$G$4</f>
        <v>0</v>
      </c>
      <c r="DM4" s="15">
        <f>[1]TC!$H$4</f>
        <v>0</v>
      </c>
      <c r="DN4" s="15" t="str">
        <f>[1]TC!$I$4</f>
        <v>NULL</v>
      </c>
      <c r="DO4" s="15" t="str">
        <f>[1]TC!$J$4</f>
        <v>NULL</v>
      </c>
      <c r="DP4" s="15" t="str">
        <f>[1]TC!$K$4</f>
        <v>NULL</v>
      </c>
      <c r="DQ4" s="75" t="s">
        <v>386</v>
      </c>
      <c r="DR4" s="15" t="str">
        <f>[1]TC!$B$2</f>
        <v>NULL</v>
      </c>
      <c r="DS4"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T4" s="15" t="str">
        <f>[1]TC!$D$2</f>
        <v>NULL</v>
      </c>
      <c r="DU4" s="15" t="str">
        <f>[1]TC!$E$2</f>
        <v>NULL</v>
      </c>
      <c r="DV4" s="15" t="str">
        <f>[1]TC!$F$2</f>
        <v>NULL</v>
      </c>
      <c r="DW4" s="15" t="str">
        <f>[1]TC!$G$2</f>
        <v>1) https://www.samsung.com/us/trade-in/terms-and-conditions/</v>
      </c>
      <c r="DX4" s="15">
        <f>[1]TC!$H$2</f>
        <v>0</v>
      </c>
      <c r="DY4" s="15" t="str">
        <f>[1]TC!$I$2</f>
        <v>NULL</v>
      </c>
      <c r="DZ4" s="15" t="str">
        <f>[1]TC!$J$2</f>
        <v>NULL</v>
      </c>
      <c r="EA4" s="15" t="str">
        <f>[1]TC!$K$2</f>
        <v>NULL</v>
      </c>
      <c r="EB4" s="75" t="s">
        <v>387</v>
      </c>
      <c r="EC4" s="15" t="str">
        <f>[1]TC!$B$6</f>
        <v>NULL</v>
      </c>
      <c r="ED4"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E4" s="15" t="str">
        <f>[1]TC!$D$6</f>
        <v>NULL</v>
      </c>
      <c r="EF4" s="15" t="str">
        <f>[1]TC!$E$6</f>
        <v>NULL</v>
      </c>
      <c r="EG4" s="15" t="str">
        <f>[1]TC!$F$6</f>
        <v>NULL</v>
      </c>
      <c r="EH4" s="15" t="str">
        <f>[1]TC!$G$6</f>
        <v xml:space="preserve">https://www.samsung.com/us/
</v>
      </c>
      <c r="EI4" s="15">
        <f>[1]TC!$H$6</f>
        <v>0</v>
      </c>
      <c r="EJ4" s="15" t="str">
        <f>[1]TC!$I$6</f>
        <v>NULL</v>
      </c>
      <c r="EK4" s="15" t="str">
        <f>[1]TC!$J$6</f>
        <v>NULL</v>
      </c>
      <c r="EL4" s="15" t="str">
        <f>[1]TC!$K$6</f>
        <v>NULL</v>
      </c>
    </row>
    <row r="5" spans="1:175" ht="75" x14ac:dyDescent="0.25">
      <c r="A5" t="s">
        <v>118</v>
      </c>
      <c r="B5" s="77" t="s">
        <v>116</v>
      </c>
      <c r="C5" s="1" t="s">
        <v>373</v>
      </c>
      <c r="D5" t="s">
        <v>39</v>
      </c>
      <c r="E5" t="s">
        <v>39</v>
      </c>
      <c r="F5" t="s">
        <v>376</v>
      </c>
      <c r="H5" s="74" t="s">
        <v>395</v>
      </c>
      <c r="I5" s="74" t="s">
        <v>360</v>
      </c>
      <c r="J5" s="45" t="s">
        <v>115</v>
      </c>
      <c r="K5" s="15" t="str">
        <f>[1]MiscModules!$B$12</f>
        <v>NULL</v>
      </c>
      <c r="L5" s="15" t="str">
        <f>[1]MiscModules!$C$12</f>
        <v xml:space="preserve">Order by December 19 to get most smartphones, wearables, tablets and laptops delivered by December 25. </v>
      </c>
      <c r="M5" s="15" t="str">
        <f>[1]MiscModules!$D$12</f>
        <v>NULL</v>
      </c>
      <c r="N5" s="15" t="str">
        <f>[1]MiscModules!$E$12</f>
        <v>NULL</v>
      </c>
      <c r="O5" s="15" t="str">
        <f>[1]MiscModules!$F$12</f>
        <v>NULL</v>
      </c>
      <c r="P5" s="15" t="str">
        <f>[1]MiscModules!$G$12</f>
        <v>https://www.samsung.com/us/support/order-faqs/#SHIPPINGANDPAYMENTS</v>
      </c>
      <c r="Q5" s="15" t="str">
        <f>[1]MiscModules!$H$12</f>
        <v xml:space="preserve"> </v>
      </c>
      <c r="R5" s="15" t="str">
        <f>[1]MiscModules!$I$12</f>
        <v>NULL</v>
      </c>
      <c r="S5" s="15" t="str">
        <f>[1]MiscModules!$J$12</f>
        <v>NULL</v>
      </c>
      <c r="T5" s="45" t="s">
        <v>377</v>
      </c>
      <c r="U5" s="15" t="str">
        <f>[1]MiscModules!$B$10</f>
        <v xml:space="preserve"> </v>
      </c>
      <c r="V5" s="15" t="str">
        <f>[1]MiscModules!$C$10</f>
        <v xml:space="preserve">Students &amp; Educators • Government • Military • Save@Work • First Responders </v>
      </c>
      <c r="W5" s="15" t="str">
        <f>[1]MiscModules!$D$10</f>
        <v xml:space="preserve">Login to your Discount Program to save even more on the great offers below. </v>
      </c>
      <c r="X5" s="15" t="str">
        <f>[1]MiscModules!$E$10</f>
        <v>NULL</v>
      </c>
      <c r="Y5" s="15" t="str">
        <f>[1]MiscModules!$F$10</f>
        <v>NULL</v>
      </c>
      <c r="Z5" s="15" t="str">
        <f>[1]MiscModules!$G$10</f>
        <v>https://www.samsung.com/us/shop/all-deals/</v>
      </c>
      <c r="AA5"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5" s="15" t="str">
        <f>[1]MiscModules!$I$10</f>
        <v xml:space="preserve"> NULL</v>
      </c>
      <c r="AC5" s="15" t="str">
        <f>[1]MiscModules!$J$10</f>
        <v xml:space="preserve"> NULL</v>
      </c>
      <c r="AD5" s="15" t="str">
        <f>[1]MiscModules!$K$10</f>
        <v xml:space="preserve"> NULL</v>
      </c>
      <c r="AE5" s="75" t="s">
        <v>361</v>
      </c>
      <c r="AF5" s="15" t="str">
        <f>[1]MiscModules!$B$17</f>
        <v>Last_Minute_Deals_T2_KV.jpg</v>
      </c>
      <c r="AG5" s="15" t="str">
        <f>[1]MiscModules!$C$17</f>
        <v>Last-minute gifts just in time</v>
      </c>
      <c r="AH5" s="15" t="str">
        <f>[1]MiscModules!$D$17</f>
        <v>NULL</v>
      </c>
      <c r="AI5" s="15" t="str">
        <f>[1]MiscModules!$E$17</f>
        <v>NULL</v>
      </c>
      <c r="AJ5" s="15" t="str">
        <f>[1]MiscModules!$F$17</f>
        <v xml:space="preserve"> NULL</v>
      </c>
      <c r="AK5" s="15" t="str">
        <f>[1]MiscModules!$G$17</f>
        <v>https://www.samsung.com/us/shop/all-deals/</v>
      </c>
      <c r="AL5"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5" s="15" t="str">
        <f>[1]MiscModules!$I$17</f>
        <v xml:space="preserve"> NULL</v>
      </c>
      <c r="AN5" s="15" t="str">
        <f>[1]MiscModules!$J$17</f>
        <v xml:space="preserve"> NULL</v>
      </c>
      <c r="AO5" s="15" t="str">
        <f>[1]MiscModules!$K$17</f>
        <v xml:space="preserve"> NULL</v>
      </c>
      <c r="AP5" s="76">
        <v>44184</v>
      </c>
      <c r="AQ5" s="15" t="s">
        <v>362</v>
      </c>
      <c r="AR5" s="75" t="s">
        <v>363</v>
      </c>
      <c r="AS5" s="15" t="str">
        <f>[1]MiscModules!$B$2</f>
        <v>NULL</v>
      </c>
      <c r="AT5" s="15" t="str">
        <f>[1]MiscModules!$C$2</f>
        <v>NULL</v>
      </c>
      <c r="AU5" s="15" t="str">
        <f>[1]MiscModules!$D$2</f>
        <v xml:space="preserve">It’s not too late to give wonder. </v>
      </c>
      <c r="AV5" s="15" t="str">
        <f>[1]MiscModules!$E$2</f>
        <v xml:space="preserve">Plus,there is still time to redeem your exclusive $20 instant credit toward eligible accessories with smartphone purchase. </v>
      </c>
      <c r="AW5" s="15" t="str">
        <f>[1]MiscModules!$F$2</f>
        <v xml:space="preserve"> NULL</v>
      </c>
      <c r="AX5" s="15" t="str">
        <f>[1]MiscModules!$G$2</f>
        <v>https://www.samsung.com/us/shop/all-deals/</v>
      </c>
      <c r="AY5"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5" s="15" t="str">
        <f>[1]MiscModules!$I$2</f>
        <v xml:space="preserve"> NULL</v>
      </c>
      <c r="BA5" s="15" t="str">
        <f>[1]MiscModules!$J$2</f>
        <v xml:space="preserve"> NULL</v>
      </c>
      <c r="BB5" s="15" t="str">
        <f>[1]MiscModules!$K$2</f>
        <v xml:space="preserve"> NULL</v>
      </c>
      <c r="BC5" s="75" t="s">
        <v>396</v>
      </c>
      <c r="BD5" t="str">
        <f>[1]DD_R!$G$12</f>
        <v>111_CE_MB_TABLET_500xV.jpg</v>
      </c>
      <c r="BE5" t="str">
        <f>[1]DD_R!$H$12</f>
        <v>Save up to $150 on Galaxy Tab S7</v>
      </c>
      <c r="BF5" t="str">
        <f>[1]DD_R!$I$12</f>
        <v xml:space="preserve">Now from only $549.99. </v>
      </c>
      <c r="BG5" t="str">
        <f>[1]DD_R!$J$12</f>
        <v>Designed for work and perfect for play, Galaxy Tab S7 or Tab S7+ is everything you love in one tablet</v>
      </c>
      <c r="BH5" t="str">
        <f>[1]DD_R!$K$12</f>
        <v>Buy now</v>
      </c>
      <c r="BI5" t="str">
        <f>[1]DD_R!$L$12</f>
        <v>https://www.samsung.com/us/tablets/tab-s7/buy/</v>
      </c>
      <c r="BJ5" t="str">
        <f>[1]DD_R!$M$12</f>
        <v>https://shopsamsung.page.link?link=https%3A%2F%2Fwww.samsung.com%2Fus%2Ftablets%2Ftab-s7%2Fbuy%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tablets%2Ftab-s7%2Fbuy%2F%3FofferCID%3DearlyAccess%26utm_source%3Dsamsung%26utm_medium%3Demail%26utm_campaign%3Dcw_12042020%26marsLinkCategory%3D__MARSTRACKING__%26MKM_RID%3D__BPNUMBER__%26MKM_MID%3D__DELIVERNAME__%26cid%3D__CID____SEGMENTCODE__%26bpid%3D__BPNUMBER__&amp;efr=1</v>
      </c>
      <c r="BK5" t="str">
        <f>[1]DD_R!$N$12</f>
        <v>NULL</v>
      </c>
      <c r="BL5" t="str">
        <f>[1]DD_R!$O$12</f>
        <v>NULL</v>
      </c>
      <c r="BM5" t="str">
        <f>[1]DD_R!$P$12</f>
        <v>NULL</v>
      </c>
      <c r="BN5" s="75" t="s">
        <v>397</v>
      </c>
      <c r="BO5" t="str">
        <f>[1]DD_R!$G$14</f>
        <v>113_CE_MB_TABLET_500xV.jpg</v>
      </c>
      <c r="BP5" t="str">
        <f>[1]DD_R!$H$14</f>
        <v>Save $100 on Galaxy Tab S6 Lite</v>
      </c>
      <c r="BQ5" t="str">
        <f>[1]DD_R!$I$14</f>
        <v>Now from only $174.99 $349.99 with eligible trade-in.&lt;sup&gt;ᶿ&lt;/sup&gt;</v>
      </c>
      <c r="BR5" t="str">
        <f>[1]DD_R!$J$14</f>
        <v>Effortlessly create, edit, and navigate with the included S Pen – work and play with equal freedom.</v>
      </c>
      <c r="BS5" t="str">
        <f>[1]DD_R!$K$14</f>
        <v>Buy now</v>
      </c>
      <c r="BT5" t="str">
        <f>[1]DD_R!$L$14</f>
        <v>https://www.samsung.com/us/mobile/tablets/buy/?modelCode=SM-P610NZAEXAR</v>
      </c>
      <c r="BU5" t="str">
        <f>[1]DD_R!$M$14</f>
        <v>https://shopsamsung.page.link?link=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efr=1</v>
      </c>
      <c r="BV5" t="str">
        <f>[1]DD_R!$N$14</f>
        <v>NULL</v>
      </c>
      <c r="BW5" t="str">
        <f>[1]DD_R!$O$14</f>
        <v>NULL</v>
      </c>
      <c r="BX5" t="str">
        <f>[1]DD_R!$P$14</f>
        <v>NULL</v>
      </c>
      <c r="BY5" s="75" t="s">
        <v>398</v>
      </c>
      <c r="BZ5" s="78" t="str">
        <f>[1]DD_R!$G$15</f>
        <v>37_HE_CE_Computing_Monitor_HeadImage_500xV.jpg</v>
      </c>
      <c r="CA5" t="str">
        <f>[1]DD_R!$H$15</f>
        <v>Get up to 20% off monitors</v>
      </c>
      <c r="CB5" t="str">
        <f>[1]DD_R!$I$15</f>
        <v xml:space="preserve">Now from only $89.99 </v>
      </c>
      <c r="CC5" t="str">
        <f>[1]DD_R!$J$15</f>
        <v xml:space="preserve">No matter how hard you work or how hard you play, our wide array of monitors will deliver with stunning sharpness, minimal lag and more. </v>
      </c>
      <c r="CD5" t="str">
        <f>[1]DD_R!$K$15</f>
        <v>Shop now</v>
      </c>
      <c r="CE5" t="str">
        <f>[1]DD_R!$L$15</f>
        <v>https://www.samsung.com/us/computing/monitors/all-monitors/?shop=Buy+Online</v>
      </c>
      <c r="CF5" t="str">
        <f>[1]DD_R!$M$15</f>
        <v>https://shopsamsung.page.link?link=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efr=1</v>
      </c>
      <c r="CG5" t="str">
        <f>[1]DD_R!$N$15</f>
        <v>NULL</v>
      </c>
      <c r="CH5" t="str">
        <f>[1]DD_R!$O$15</f>
        <v>NULL</v>
      </c>
      <c r="CI5" t="str">
        <f>[1]DD_R!$P$15</f>
        <v>NULL</v>
      </c>
      <c r="CJ5" s="79" t="s">
        <v>399</v>
      </c>
      <c r="CK5" s="78" t="str">
        <f>[1]DD_R!$G$16</f>
        <v>39_HE_CE_Computer_MemoryCards_HeadImage-500xV.jpg</v>
      </c>
      <c r="CL5" t="str">
        <f>[1]DD_R!$H$16</f>
        <v>Get up to 50% off Memory Cards</v>
      </c>
      <c r="CM5" t="str">
        <f>[1]DD_R!$I$16</f>
        <v>Now from only $6.99</v>
      </c>
      <c r="CN5" t="str">
        <f>[1]DD_R!$J$16</f>
        <v>Prepare for holiday photo ops, the latest app and more with more memory.</v>
      </c>
      <c r="CO5" t="str">
        <f>[1]DD_R!$K$16</f>
        <v>Shop now</v>
      </c>
      <c r="CP5" t="str">
        <f>[1]DD_R!$L$16</f>
        <v>https://www.samsung.com/us/computing/memory-storage/memory-cards/</v>
      </c>
      <c r="CQ5" t="str">
        <f>[1]DD_R!$M$16</f>
        <v>https://shopsamsung.page.link?link=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efr=1</v>
      </c>
      <c r="CR5" t="str">
        <f>[1]DD_R!$N$16</f>
        <v>NULL</v>
      </c>
      <c r="CS5" t="str">
        <f>[1]DD_R!$O$16</f>
        <v>NULL</v>
      </c>
      <c r="CT5" t="str">
        <f>[1]DD_R!$P$16</f>
        <v>NULL</v>
      </c>
      <c r="CU5" s="75" t="s">
        <v>368</v>
      </c>
      <c r="CV5" s="15" t="str">
        <f>[1]MiscModules!$B$8</f>
        <v>Give-wonder-500xV.jpg</v>
      </c>
      <c r="CW5" s="15" t="str">
        <f>[1]MiscModules!$C$8</f>
        <v>NULL</v>
      </c>
      <c r="CX5" s="15" t="str">
        <f>[1]MiscModules!$D$8</f>
        <v>NULL</v>
      </c>
      <c r="CY5"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Z5" s="15" t="str">
        <f>[1]MiscModules!$F$8</f>
        <v>Shop now</v>
      </c>
      <c r="DA5" s="15" t="str">
        <f>[1]MiscModules!$G$8</f>
        <v>https://www.samsung.com/us/gift-ideas/</v>
      </c>
      <c r="DB5"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C5" s="15" t="str">
        <f>[1]MiscModules!$I$8</f>
        <v xml:space="preserve"> NULL</v>
      </c>
      <c r="DD5" s="15" t="str">
        <f>[1]MiscModules!$J$8</f>
        <v xml:space="preserve"> NULL</v>
      </c>
      <c r="DE5" s="15" t="str">
        <f>[1]MiscModules!$K$8</f>
        <v xml:space="preserve"> NULL</v>
      </c>
      <c r="DF5" s="75" t="s">
        <v>369</v>
      </c>
      <c r="DG5" s="15" t="str">
        <f>[1]TC!$B$2</f>
        <v>NULL</v>
      </c>
      <c r="DH5"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5" s="15" t="str">
        <f>[1]TC!$D$2</f>
        <v>NULL</v>
      </c>
      <c r="DJ5" s="15" t="str">
        <f>[1]TC!$E$2</f>
        <v>NULL</v>
      </c>
      <c r="DK5" s="15" t="str">
        <f>[1]TC!$F$2</f>
        <v>NULL</v>
      </c>
      <c r="DL5" s="15" t="str">
        <f>[1]TC!$G$2</f>
        <v>1) https://www.samsung.com/us/trade-in/terms-and-conditions/</v>
      </c>
      <c r="DM5" s="15">
        <f>[1]TC!$H$2</f>
        <v>0</v>
      </c>
      <c r="DN5" s="15" t="str">
        <f>[1]TC!$I$2</f>
        <v>NULL</v>
      </c>
      <c r="DO5" s="15" t="str">
        <f>[1]TC!$J$2</f>
        <v>NULL</v>
      </c>
      <c r="DP5" s="15" t="str">
        <f>[1]TC!$K$2</f>
        <v>NULL</v>
      </c>
    </row>
    <row r="6" spans="1:175" ht="75" x14ac:dyDescent="0.25">
      <c r="A6" t="s">
        <v>118</v>
      </c>
      <c r="B6" s="77" t="s">
        <v>117</v>
      </c>
      <c r="C6" s="1" t="s">
        <v>371</v>
      </c>
      <c r="D6" t="s">
        <v>39</v>
      </c>
      <c r="E6" t="s">
        <v>39</v>
      </c>
      <c r="F6" t="s">
        <v>376</v>
      </c>
      <c r="H6" s="74" t="s">
        <v>401</v>
      </c>
      <c r="I6" s="74" t="s">
        <v>402</v>
      </c>
      <c r="J6" s="45" t="s">
        <v>115</v>
      </c>
      <c r="K6" s="15" t="str">
        <f>[1]MiscModules!$B$12</f>
        <v>NULL</v>
      </c>
      <c r="L6" s="15" t="str">
        <f>[1]MiscModules!$C$12</f>
        <v xml:space="preserve">Order by December 19 to get most smartphones, wearables, tablets and laptops delivered by December 25. </v>
      </c>
      <c r="M6" s="15" t="str">
        <f>[1]MiscModules!$D$12</f>
        <v>NULL</v>
      </c>
      <c r="N6" s="15" t="str">
        <f>[1]MiscModules!$E$12</f>
        <v>NULL</v>
      </c>
      <c r="O6" s="15" t="str">
        <f>[1]MiscModules!$F$12</f>
        <v>NULL</v>
      </c>
      <c r="P6" s="15" t="str">
        <f>[1]MiscModules!$G$12</f>
        <v>https://www.samsung.com/us/support/order-faqs/#SHIPPINGANDPAYMENTS</v>
      </c>
      <c r="Q6" s="15" t="str">
        <f>[1]MiscModules!$H$12</f>
        <v xml:space="preserve"> </v>
      </c>
      <c r="R6" s="15" t="str">
        <f>[1]MiscModules!$I$12</f>
        <v>NULL</v>
      </c>
      <c r="S6" s="15" t="str">
        <f>[1]MiscModules!$J$12</f>
        <v>NULL</v>
      </c>
      <c r="T6" s="45" t="s">
        <v>377</v>
      </c>
      <c r="U6" s="15" t="str">
        <f>[1]MiscModules!$B$10</f>
        <v xml:space="preserve"> </v>
      </c>
      <c r="V6" s="15" t="str">
        <f>[1]MiscModules!$C$10</f>
        <v xml:space="preserve">Students &amp; Educators • Government • Military • Save@Work • First Responders </v>
      </c>
      <c r="W6" s="15" t="str">
        <f>[1]MiscModules!$D$10</f>
        <v xml:space="preserve">Login to your Discount Program to save even more on the great offers below. </v>
      </c>
      <c r="X6" s="15" t="str">
        <f>[1]MiscModules!$E$10</f>
        <v>NULL</v>
      </c>
      <c r="Y6" s="15" t="str">
        <f>[1]MiscModules!$F$10</f>
        <v>NULL</v>
      </c>
      <c r="Z6" s="15" t="str">
        <f>[1]MiscModules!$G$10</f>
        <v>https://www.samsung.com/us/shop/all-deals/</v>
      </c>
      <c r="AA6"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6" s="15" t="str">
        <f>[1]MiscModules!$I$10</f>
        <v xml:space="preserve"> NULL</v>
      </c>
      <c r="AC6" s="15" t="str">
        <f>[1]MiscModules!$J$10</f>
        <v xml:space="preserve"> NULL</v>
      </c>
      <c r="AD6" s="15" t="str">
        <f>[1]MiscModules!$K$10</f>
        <v xml:space="preserve"> NULL</v>
      </c>
      <c r="AE6" s="75" t="s">
        <v>361</v>
      </c>
      <c r="AF6" s="15" t="str">
        <f>[1]MiscModules!$B$17</f>
        <v>Last_Minute_Deals_T2_KV.jpg</v>
      </c>
      <c r="AG6" s="15" t="str">
        <f>[1]MiscModules!$C$17</f>
        <v>Last-minute gifts just in time</v>
      </c>
      <c r="AH6" s="15" t="str">
        <f>[1]MiscModules!$D$17</f>
        <v>NULL</v>
      </c>
      <c r="AI6" s="15" t="str">
        <f>[1]MiscModules!$E$17</f>
        <v>NULL</v>
      </c>
      <c r="AJ6" s="15" t="str">
        <f>[1]MiscModules!$F$17</f>
        <v xml:space="preserve"> NULL</v>
      </c>
      <c r="AK6" s="15" t="str">
        <f>[1]MiscModules!$G$17</f>
        <v>https://www.samsung.com/us/shop/all-deals/</v>
      </c>
      <c r="AL6"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6" s="15" t="str">
        <f>[1]MiscModules!$I$17</f>
        <v xml:space="preserve"> NULL</v>
      </c>
      <c r="AN6" s="15" t="str">
        <f>[1]MiscModules!$J$17</f>
        <v xml:space="preserve"> NULL</v>
      </c>
      <c r="AO6" s="15" t="str">
        <f>[1]MiscModules!$K$17</f>
        <v xml:space="preserve"> NULL</v>
      </c>
      <c r="AP6" s="76">
        <v>44184</v>
      </c>
      <c r="AQ6" s="15" t="s">
        <v>362</v>
      </c>
      <c r="AR6" s="75" t="s">
        <v>363</v>
      </c>
      <c r="AS6" s="15" t="str">
        <f>[1]MiscModules!$B$2</f>
        <v>NULL</v>
      </c>
      <c r="AT6" s="15" t="str">
        <f>[1]MiscModules!$C$2</f>
        <v>NULL</v>
      </c>
      <c r="AU6" s="15" t="str">
        <f>[1]MiscModules!$D$2</f>
        <v xml:space="preserve">It’s not too late to give wonder. </v>
      </c>
      <c r="AV6" s="15" t="str">
        <f>[1]MiscModules!$E$2</f>
        <v xml:space="preserve">Plus,there is still time to redeem your exclusive $20 instant credit toward eligible accessories with smartphone purchase. </v>
      </c>
      <c r="AW6" s="15" t="str">
        <f>[1]MiscModules!$F$2</f>
        <v xml:space="preserve"> NULL</v>
      </c>
      <c r="AX6" s="15" t="str">
        <f>[1]MiscModules!$G$2</f>
        <v>https://www.samsung.com/us/shop/all-deals/</v>
      </c>
      <c r="AY6"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6" s="15" t="str">
        <f>[1]MiscModules!$I$2</f>
        <v xml:space="preserve"> NULL</v>
      </c>
      <c r="BA6" s="15" t="str">
        <f>[1]MiscModules!$J$2</f>
        <v xml:space="preserve"> NULL</v>
      </c>
      <c r="BB6" s="15" t="str">
        <f>[1]MiscModules!$K$2</f>
        <v xml:space="preserve"> NULL</v>
      </c>
      <c r="BC6" s="79" t="s">
        <v>403</v>
      </c>
      <c r="BD6" t="str">
        <f>[1]DD_R!$G$20</f>
        <v>114_ME_MB_WEAR_Buds_LIVE_500xV.jpg</v>
      </c>
      <c r="BE6" t="str">
        <f>[1]DD_R!$H$20</f>
        <v>Save $30 on Galaxy Buds Live</v>
      </c>
      <c r="BF6" t="str">
        <f>[1]DD_R!$I$20</f>
        <v>Now only $119.99 with eligible trade-in.&lt;sup&gt;ᶿ&lt;/sup&gt;</v>
      </c>
      <c r="BG6" t="str">
        <f>[1]DD_R!$J$20</f>
        <v>Give the gift of a truly immersive listening experience with the newest shape of true wireless earbuds.</v>
      </c>
      <c r="BH6" t="str">
        <f>[1]DD_R!$K$20</f>
        <v>Buy now</v>
      </c>
      <c r="BI6" t="str">
        <f>[1]DD_R!$L$20</f>
        <v>https://www.samsung.com/us/mobile/audio/headphones/galaxy-buds-live-mystic-bronze-sm-r180nznaxar/</v>
      </c>
      <c r="BJ6" t="str">
        <f>[1]DD_R!$M$20</f>
        <v>https://shopsamsung.page.link?link=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efr=1</v>
      </c>
      <c r="BK6" t="str">
        <f>[1]DD_R!$N$20</f>
        <v>NULL</v>
      </c>
      <c r="BL6" t="str">
        <f>[1]DD_R!$O$20</f>
        <v>NULL</v>
      </c>
      <c r="BM6" t="str">
        <f>[1]DD_R!$P$20</f>
        <v>NULL</v>
      </c>
      <c r="BN6" s="79" t="s">
        <v>404</v>
      </c>
      <c r="BO6" s="80" t="str">
        <f>[1]DD_R!$G$21</f>
        <v>115_ME_MB_WEAR_GW3_Titanium_500xV.jpg</v>
      </c>
      <c r="BP6" t="str">
        <f>[1]DD_R!$H$21</f>
        <v xml:space="preserve">Get $100 off Galaxy Watch3 Titanium </v>
      </c>
      <c r="BQ6" t="str">
        <f>[1]DD_R!$I$21</f>
        <v>Now from only $299.99 with eligible trade-in.&lt;sup&gt;ᶿ&lt;/sup&gt;</v>
      </c>
      <c r="BR6" t="str">
        <f>[1]DD_R!$J$21</f>
        <v>Own the Galaxy Watch as tough as you. Save $100 and up to $200, with eligible trade-in.&lt;sup&gt;ᶿ&lt;/sup&gt;</v>
      </c>
      <c r="BS6" t="str">
        <f>[1]DD_R!$K$21</f>
        <v>Buy now</v>
      </c>
      <c r="BT6" t="str">
        <f>[1]DD_R!$L$21</f>
        <v>https://www.samsung.com/us/watches/galaxy-watch3/buy/?modelCode=SM-R840NTKAXAR</v>
      </c>
      <c r="BU6" t="str">
        <f>[1]DD_R!$M$21</f>
        <v>https://shopsamsung.page.link?link=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efr=1</v>
      </c>
      <c r="BV6" t="str">
        <f>[1]DD_R!$N$21</f>
        <v>NULL</v>
      </c>
      <c r="BW6" t="str">
        <f>[1]DD_R!$O$21</f>
        <v>NULL</v>
      </c>
      <c r="BX6" t="str">
        <f>[1]DD_R!$P$21</f>
        <v>NULL</v>
      </c>
      <c r="BY6" s="79" t="s">
        <v>405</v>
      </c>
      <c r="BZ6" s="80" t="str">
        <f>[1]DD_R!$G$22</f>
        <v>116_ME_MB_WEAR_GW3_500xV.jpg</v>
      </c>
      <c r="CA6" t="str">
        <f>[1]DD_R!$H$22</f>
        <v xml:space="preserve">Get $60 off Galaxy Watch3 </v>
      </c>
      <c r="CB6" t="str">
        <f>[1]DD_R!$I$22</f>
        <v>Now from only $139.99 with eligible trade-in.&lt;sup&gt;ᶿ&lt;/sup&gt;</v>
      </c>
      <c r="CC6" t="str">
        <f>[1]DD_R!$J$22</f>
        <v xml:space="preserve">Plus, create a style as unique as you in the new Samsung Design Studio and get 30% off a second watch band.  </v>
      </c>
      <c r="CD6" t="str">
        <f>[1]DD_R!$K$22</f>
        <v>Buy now</v>
      </c>
      <c r="CE6" t="str">
        <f>[1]DD_R!$L$22</f>
        <v>https://www.samsung.com/us/watches/galaxy-watch3/buy/</v>
      </c>
      <c r="CF6" t="str">
        <f>[1]DD_R!$M$22</f>
        <v>https://shopsamsung.page.link?link=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efr=1</v>
      </c>
      <c r="CG6" t="str">
        <f>[1]DD_R!$N$22</f>
        <v>NULL</v>
      </c>
      <c r="CH6" t="str">
        <f>[1]DD_R!$O$22</f>
        <v>NULL</v>
      </c>
      <c r="CI6" t="str">
        <f>[1]DD_R!$P$22</f>
        <v>NULL</v>
      </c>
      <c r="CJ6" s="79" t="s">
        <v>406</v>
      </c>
      <c r="CK6" s="80" t="str">
        <f>[1]DD_R!$G$23</f>
        <v>117_ME_MB_WEAR_GW2_500xV.jpg</v>
      </c>
      <c r="CL6" t="str">
        <f>[1]DD_R!$H$23</f>
        <v>Save $50 on Galaxy Watch Active2</v>
      </c>
      <c r="CM6" t="str">
        <f>[1]DD_R!$I$23</f>
        <v>Now from only $49.99 with eligible trade-in.&lt;sup&gt;ᶿ&lt;/sup&gt;</v>
      </c>
      <c r="CN6" t="str">
        <f>[1]DD_R!$J$23</f>
        <v xml:space="preserve">Offer includes Galaxy Watch Active2 Under Armor and Golf Editions. Plus, save up to $150 with eligible trade-inᶿ and get more out of every mile. </v>
      </c>
      <c r="CO6" t="str">
        <f>[1]DD_R!$K$23</f>
        <v>Buy now</v>
      </c>
      <c r="CP6" t="str">
        <f>[1]DD_R!$L$23</f>
        <v>https://www.samsung.com/us/smartwatches-and-fitness-bands/galaxy-watch-active2/buy/</v>
      </c>
      <c r="CQ6" t="str">
        <f>[1]DD_R!$M$23</f>
        <v>https://shopsamsung.page.link?link=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efr=1</v>
      </c>
      <c r="CR6" t="str">
        <f>[1]DD_R!$N$23</f>
        <v>NULL</v>
      </c>
      <c r="CS6" t="str">
        <f>[1]DD_R!$O$23</f>
        <v>NULL</v>
      </c>
      <c r="CT6" t="str">
        <f>[1]DD_R!$P$23</f>
        <v>NULL</v>
      </c>
      <c r="CU6" s="75" t="s">
        <v>368</v>
      </c>
      <c r="CV6" s="15" t="str">
        <f>[1]MiscModules!$B$8</f>
        <v>Give-wonder-500xV.jpg</v>
      </c>
      <c r="CW6" s="15" t="str">
        <f>[1]MiscModules!$C$8</f>
        <v>NULL</v>
      </c>
      <c r="CX6" s="15" t="str">
        <f>[1]MiscModules!$D$8</f>
        <v>NULL</v>
      </c>
      <c r="CY6"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Z6" s="15" t="str">
        <f>[1]MiscModules!$F$8</f>
        <v>Shop now</v>
      </c>
      <c r="DA6" s="15" t="str">
        <f>[1]MiscModules!$G$8</f>
        <v>https://www.samsung.com/us/gift-ideas/</v>
      </c>
      <c r="DB6"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C6" s="15" t="str">
        <f>[1]MiscModules!$I$8</f>
        <v xml:space="preserve"> NULL</v>
      </c>
      <c r="DD6" s="15" t="str">
        <f>[1]MiscModules!$J$8</f>
        <v xml:space="preserve"> NULL</v>
      </c>
      <c r="DE6" s="15" t="str">
        <f>[1]MiscModules!$K$8</f>
        <v xml:space="preserve"> NULL</v>
      </c>
      <c r="DF6" s="75" t="s">
        <v>369</v>
      </c>
      <c r="DG6" s="15" t="str">
        <f>[1]TC!$B$2</f>
        <v>NULL</v>
      </c>
      <c r="DH6"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6" s="15" t="str">
        <f>[1]TC!$D$2</f>
        <v>NULL</v>
      </c>
      <c r="DJ6" s="15" t="str">
        <f>[1]TC!$E$2</f>
        <v>NULL</v>
      </c>
      <c r="DK6" s="15" t="str">
        <f>[1]TC!$F$2</f>
        <v>NULL</v>
      </c>
      <c r="DL6" s="15" t="str">
        <f>[1]TC!$G$2</f>
        <v>1) https://www.samsung.com/us/trade-in/terms-and-conditions/</v>
      </c>
      <c r="DM6" s="15">
        <f>[1]TC!$H$2</f>
        <v>0</v>
      </c>
      <c r="DN6" s="15" t="str">
        <f>[1]TC!$I$2</f>
        <v>NULL</v>
      </c>
      <c r="DO6" s="15" t="str">
        <f>[1]TC!$J$2</f>
        <v>NULL</v>
      </c>
      <c r="DP6" s="15" t="str">
        <f>[1]TC!$K$2</f>
        <v>NULL</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S10"/>
  <sheetViews>
    <sheetView workbookViewId="0">
      <pane ySplit="1" topLeftCell="A5" activePane="bottomLeft" state="frozen"/>
      <selection activeCell="AJ1" sqref="AJ1"/>
      <selection pane="bottomLeft" activeCell="H8" sqref="H8"/>
    </sheetView>
  </sheetViews>
  <sheetFormatPr defaultRowHeight="15" x14ac:dyDescent="0.25"/>
  <cols>
    <col min="2" max="3" width="14.28515625" customWidth="1"/>
    <col min="4" max="4" width="1.7109375" customWidth="1"/>
    <col min="5" max="5" width="2.140625" customWidth="1"/>
    <col min="6" max="6" width="11.85546875" bestFit="1" customWidth="1"/>
    <col min="8" max="8" width="27.140625" customWidth="1"/>
    <col min="9" max="9" width="26.7109375" customWidth="1"/>
    <col min="10" max="109" width="9" customWidth="1"/>
  </cols>
  <sheetData>
    <row r="1" spans="1:175" s="1" customFormat="1" ht="47.45" customHeight="1" x14ac:dyDescent="0.25">
      <c r="A1" s="64" t="s">
        <v>183</v>
      </c>
      <c r="B1" s="65" t="s">
        <v>375</v>
      </c>
      <c r="C1" s="65" t="s">
        <v>185</v>
      </c>
      <c r="D1" s="65" t="s">
        <v>186</v>
      </c>
      <c r="E1" s="65" t="s">
        <v>187</v>
      </c>
      <c r="F1" s="65" t="s">
        <v>188</v>
      </c>
      <c r="G1" s="66" t="s">
        <v>189</v>
      </c>
      <c r="H1" s="67" t="s">
        <v>190</v>
      </c>
      <c r="I1" s="67" t="s">
        <v>191</v>
      </c>
      <c r="J1" s="68" t="s">
        <v>192</v>
      </c>
      <c r="K1" s="68" t="s">
        <v>193</v>
      </c>
      <c r="L1" s="69" t="s">
        <v>194</v>
      </c>
      <c r="M1" s="69" t="s">
        <v>195</v>
      </c>
      <c r="N1" s="69" t="s">
        <v>196</v>
      </c>
      <c r="O1" s="69" t="s">
        <v>197</v>
      </c>
      <c r="P1" s="69" t="s">
        <v>198</v>
      </c>
      <c r="Q1" s="69" t="s">
        <v>199</v>
      </c>
      <c r="R1" s="69" t="s">
        <v>200</v>
      </c>
      <c r="S1" s="69" t="s">
        <v>201</v>
      </c>
      <c r="T1" s="67" t="s">
        <v>202</v>
      </c>
      <c r="U1" s="68" t="s">
        <v>203</v>
      </c>
      <c r="V1" s="69" t="s">
        <v>204</v>
      </c>
      <c r="W1" s="69" t="s">
        <v>205</v>
      </c>
      <c r="X1" s="69" t="s">
        <v>206</v>
      </c>
      <c r="Y1" s="69" t="s">
        <v>207</v>
      </c>
      <c r="Z1" s="69" t="s">
        <v>208</v>
      </c>
      <c r="AA1" s="69" t="s">
        <v>209</v>
      </c>
      <c r="AB1" s="69" t="s">
        <v>210</v>
      </c>
      <c r="AC1" s="69" t="s">
        <v>211</v>
      </c>
      <c r="AD1" s="69" t="s">
        <v>212</v>
      </c>
      <c r="AE1" s="69" t="s">
        <v>162</v>
      </c>
      <c r="AF1" s="69" t="s">
        <v>213</v>
      </c>
      <c r="AG1" s="70" t="s">
        <v>214</v>
      </c>
      <c r="AH1" s="68" t="s">
        <v>215</v>
      </c>
      <c r="AI1" s="69" t="s">
        <v>216</v>
      </c>
      <c r="AJ1" s="69" t="s">
        <v>217</v>
      </c>
      <c r="AK1" s="69" t="s">
        <v>218</v>
      </c>
      <c r="AL1" s="69" t="s">
        <v>219</v>
      </c>
      <c r="AM1" s="69" t="s">
        <v>220</v>
      </c>
      <c r="AN1" s="69" t="s">
        <v>221</v>
      </c>
      <c r="AO1" s="69" t="s">
        <v>222</v>
      </c>
      <c r="AP1" s="69" t="s">
        <v>223</v>
      </c>
      <c r="AQ1" s="69" t="s">
        <v>224</v>
      </c>
      <c r="AR1" s="70" t="s">
        <v>225</v>
      </c>
      <c r="AS1" s="68" t="s">
        <v>226</v>
      </c>
      <c r="AT1" s="69" t="s">
        <v>227</v>
      </c>
      <c r="AU1" s="69" t="s">
        <v>228</v>
      </c>
      <c r="AV1" s="69" t="s">
        <v>229</v>
      </c>
      <c r="AW1" s="69" t="s">
        <v>230</v>
      </c>
      <c r="AX1" s="69" t="s">
        <v>231</v>
      </c>
      <c r="AY1" s="69" t="s">
        <v>232</v>
      </c>
      <c r="AZ1" s="69" t="s">
        <v>233</v>
      </c>
      <c r="BA1" s="69" t="s">
        <v>234</v>
      </c>
      <c r="BB1" s="69" t="s">
        <v>235</v>
      </c>
      <c r="BC1" s="71" t="s">
        <v>236</v>
      </c>
      <c r="BD1" s="68" t="s">
        <v>237</v>
      </c>
      <c r="BE1" s="69" t="s">
        <v>238</v>
      </c>
      <c r="BF1" s="69" t="s">
        <v>239</v>
      </c>
      <c r="BG1" s="69" t="s">
        <v>240</v>
      </c>
      <c r="BH1" s="69" t="s">
        <v>241</v>
      </c>
      <c r="BI1" s="69" t="s">
        <v>242</v>
      </c>
      <c r="BJ1" s="69" t="s">
        <v>243</v>
      </c>
      <c r="BK1" s="69" t="s">
        <v>244</v>
      </c>
      <c r="BL1" s="69" t="s">
        <v>245</v>
      </c>
      <c r="BM1" s="69" t="s">
        <v>246</v>
      </c>
      <c r="BN1" s="71" t="s">
        <v>247</v>
      </c>
      <c r="BO1" s="68" t="s">
        <v>248</v>
      </c>
      <c r="BP1" s="69" t="s">
        <v>249</v>
      </c>
      <c r="BQ1" s="69" t="s">
        <v>250</v>
      </c>
      <c r="BR1" s="69" t="s">
        <v>251</v>
      </c>
      <c r="BS1" s="69" t="s">
        <v>252</v>
      </c>
      <c r="BT1" s="69" t="s">
        <v>253</v>
      </c>
      <c r="BU1" s="69" t="s">
        <v>254</v>
      </c>
      <c r="BV1" s="69" t="s">
        <v>255</v>
      </c>
      <c r="BW1" s="69" t="s">
        <v>256</v>
      </c>
      <c r="BX1" s="69" t="s">
        <v>257</v>
      </c>
      <c r="BY1" s="71" t="s">
        <v>258</v>
      </c>
      <c r="BZ1" s="68" t="s">
        <v>259</v>
      </c>
      <c r="CA1" s="69" t="s">
        <v>260</v>
      </c>
      <c r="CB1" s="69" t="s">
        <v>261</v>
      </c>
      <c r="CC1" s="69" t="s">
        <v>262</v>
      </c>
      <c r="CD1" s="69" t="s">
        <v>263</v>
      </c>
      <c r="CE1" s="69" t="s">
        <v>264</v>
      </c>
      <c r="CF1" s="72" t="s">
        <v>265</v>
      </c>
      <c r="CG1" s="69" t="s">
        <v>266</v>
      </c>
      <c r="CH1" s="69" t="s">
        <v>267</v>
      </c>
      <c r="CI1" s="69" t="s">
        <v>268</v>
      </c>
      <c r="CJ1" s="71" t="s">
        <v>269</v>
      </c>
      <c r="CK1" s="68" t="s">
        <v>270</v>
      </c>
      <c r="CL1" s="69" t="s">
        <v>271</v>
      </c>
      <c r="CM1" s="69" t="s">
        <v>272</v>
      </c>
      <c r="CN1" s="69" t="s">
        <v>273</v>
      </c>
      <c r="CO1" s="69" t="s">
        <v>274</v>
      </c>
      <c r="CP1" s="69" t="s">
        <v>275</v>
      </c>
      <c r="CQ1" s="69" t="s">
        <v>276</v>
      </c>
      <c r="CR1" s="69" t="s">
        <v>277</v>
      </c>
      <c r="CS1" s="69" t="s">
        <v>278</v>
      </c>
      <c r="CT1" s="69" t="s">
        <v>279</v>
      </c>
      <c r="CU1" s="71" t="s">
        <v>280</v>
      </c>
      <c r="CV1" s="68" t="s">
        <v>281</v>
      </c>
      <c r="CW1" s="69" t="s">
        <v>282</v>
      </c>
      <c r="CX1" s="69" t="s">
        <v>283</v>
      </c>
      <c r="CY1" s="69" t="s">
        <v>284</v>
      </c>
      <c r="CZ1" s="69" t="s">
        <v>285</v>
      </c>
      <c r="DA1" s="69" t="s">
        <v>286</v>
      </c>
      <c r="DB1" s="69" t="s">
        <v>287</v>
      </c>
      <c r="DC1" s="69" t="s">
        <v>288</v>
      </c>
      <c r="DD1" s="69" t="s">
        <v>289</v>
      </c>
      <c r="DE1" s="69" t="s">
        <v>290</v>
      </c>
      <c r="DF1" s="71" t="s">
        <v>291</v>
      </c>
      <c r="DG1" s="68" t="s">
        <v>292</v>
      </c>
      <c r="DH1" s="69" t="s">
        <v>293</v>
      </c>
      <c r="DI1" s="69" t="s">
        <v>294</v>
      </c>
      <c r="DJ1" s="72" t="s">
        <v>295</v>
      </c>
      <c r="DK1" s="69" t="s">
        <v>296</v>
      </c>
      <c r="DL1" s="69" t="s">
        <v>297</v>
      </c>
      <c r="DM1" s="69" t="s">
        <v>298</v>
      </c>
      <c r="DN1" s="69" t="s">
        <v>299</v>
      </c>
      <c r="DO1" s="69" t="s">
        <v>300</v>
      </c>
      <c r="DP1" s="69" t="s">
        <v>301</v>
      </c>
      <c r="DQ1" s="71" t="s">
        <v>302</v>
      </c>
      <c r="DR1" s="68" t="s">
        <v>303</v>
      </c>
      <c r="DS1" s="69" t="s">
        <v>304</v>
      </c>
      <c r="DT1" s="69" t="s">
        <v>305</v>
      </c>
      <c r="DU1" s="72" t="s">
        <v>306</v>
      </c>
      <c r="DV1" s="69" t="s">
        <v>307</v>
      </c>
      <c r="DW1" s="69" t="s">
        <v>308</v>
      </c>
      <c r="DX1" s="69" t="s">
        <v>309</v>
      </c>
      <c r="DY1" s="69" t="s">
        <v>310</v>
      </c>
      <c r="DZ1" s="69" t="s">
        <v>311</v>
      </c>
      <c r="EA1" s="69" t="s">
        <v>312</v>
      </c>
      <c r="EB1" s="71" t="s">
        <v>313</v>
      </c>
      <c r="EC1" s="68" t="s">
        <v>314</v>
      </c>
      <c r="ED1" s="69" t="s">
        <v>315</v>
      </c>
      <c r="EE1" s="69" t="s">
        <v>316</v>
      </c>
      <c r="EF1" s="72" t="s">
        <v>317</v>
      </c>
      <c r="EG1" s="69" t="s">
        <v>318</v>
      </c>
      <c r="EH1" s="69" t="s">
        <v>319</v>
      </c>
      <c r="EI1" s="69" t="s">
        <v>320</v>
      </c>
      <c r="EJ1" s="69" t="s">
        <v>321</v>
      </c>
      <c r="EK1" s="69" t="s">
        <v>322</v>
      </c>
      <c r="EL1" s="69" t="s">
        <v>323</v>
      </c>
      <c r="EM1" s="71" t="s">
        <v>324</v>
      </c>
      <c r="EN1" s="68" t="s">
        <v>325</v>
      </c>
      <c r="EO1" s="69" t="s">
        <v>326</v>
      </c>
      <c r="EP1" s="69" t="s">
        <v>327</v>
      </c>
      <c r="EQ1" s="72" t="s">
        <v>328</v>
      </c>
      <c r="ER1" s="69" t="s">
        <v>329</v>
      </c>
      <c r="ES1" s="69" t="s">
        <v>330</v>
      </c>
      <c r="ET1" s="69" t="s">
        <v>331</v>
      </c>
      <c r="EU1" s="69" t="s">
        <v>332</v>
      </c>
      <c r="EV1" s="69" t="s">
        <v>333</v>
      </c>
      <c r="EW1" s="69" t="s">
        <v>334</v>
      </c>
      <c r="EX1" s="71" t="s">
        <v>335</v>
      </c>
      <c r="EY1" s="68" t="s">
        <v>336</v>
      </c>
      <c r="EZ1" s="69" t="s">
        <v>337</v>
      </c>
      <c r="FA1" s="69" t="s">
        <v>338</v>
      </c>
      <c r="FB1" s="72" t="s">
        <v>339</v>
      </c>
      <c r="FC1" s="69" t="s">
        <v>340</v>
      </c>
      <c r="FD1" s="69" t="s">
        <v>341</v>
      </c>
      <c r="FE1" s="69" t="s">
        <v>342</v>
      </c>
      <c r="FF1" s="69" t="s">
        <v>343</v>
      </c>
      <c r="FG1" s="69" t="s">
        <v>344</v>
      </c>
      <c r="FH1" s="69" t="s">
        <v>345</v>
      </c>
      <c r="FI1" s="71" t="s">
        <v>346</v>
      </c>
      <c r="FJ1" s="68" t="s">
        <v>347</v>
      </c>
      <c r="FK1" s="69" t="s">
        <v>348</v>
      </c>
      <c r="FL1" s="69" t="s">
        <v>349</v>
      </c>
      <c r="FM1" s="72" t="s">
        <v>350</v>
      </c>
      <c r="FN1" s="69" t="s">
        <v>351</v>
      </c>
      <c r="FO1" s="69" t="s">
        <v>352</v>
      </c>
      <c r="FP1" s="69" t="s">
        <v>353</v>
      </c>
      <c r="FQ1" s="69" t="s">
        <v>354</v>
      </c>
      <c r="FR1" s="69" t="s">
        <v>355</v>
      </c>
      <c r="FS1" s="69" t="s">
        <v>356</v>
      </c>
    </row>
    <row r="2" spans="1:175" ht="75" x14ac:dyDescent="0.25">
      <c r="A2" t="s">
        <v>118</v>
      </c>
      <c r="B2" s="77" t="s">
        <v>172</v>
      </c>
      <c r="C2" s="1" t="s">
        <v>379</v>
      </c>
      <c r="D2" t="s">
        <v>39</v>
      </c>
      <c r="E2" t="s">
        <v>39</v>
      </c>
      <c r="F2" t="s">
        <v>160</v>
      </c>
      <c r="H2" s="73" t="s">
        <v>380</v>
      </c>
      <c r="I2" s="73" t="s">
        <v>381</v>
      </c>
      <c r="J2" s="45" t="s">
        <v>115</v>
      </c>
      <c r="K2" s="15" t="str">
        <f>[1]MiscModules!$B$12</f>
        <v>NULL</v>
      </c>
      <c r="L2" s="15" t="str">
        <f>[1]MiscModules!$C$12</f>
        <v xml:space="preserve">Order by December 19 to get most smartphones, wearables, tablets and laptops delivered by December 25. </v>
      </c>
      <c r="M2" s="15" t="str">
        <f>[1]MiscModules!$D$12</f>
        <v>NULL</v>
      </c>
      <c r="N2" s="15" t="str">
        <f>[1]MiscModules!$E$12</f>
        <v>NULL</v>
      </c>
      <c r="O2" s="15" t="str">
        <f>[1]MiscModules!$F$12</f>
        <v>NULL</v>
      </c>
      <c r="P2" s="15" t="str">
        <f>[1]MiscModules!$G$12</f>
        <v>https://www.samsung.com/us/support/order-faqs/#SHIPPINGANDPAYMENTS</v>
      </c>
      <c r="Q2" s="15" t="str">
        <f>[1]MiscModules!$H$12</f>
        <v xml:space="preserve"> </v>
      </c>
      <c r="R2" s="15" t="str">
        <f>[1]MiscModules!$I$12</f>
        <v>NULL</v>
      </c>
      <c r="S2" s="15" t="str">
        <f>[1]MiscModules!$J$12</f>
        <v>NULL</v>
      </c>
      <c r="T2" s="75" t="s">
        <v>361</v>
      </c>
      <c r="U2" s="15" t="str">
        <f>[1]MiscModules!$B$17</f>
        <v>Last_Minute_Deals_T2_KV.jpg</v>
      </c>
      <c r="V2" s="15" t="str">
        <f>[1]MiscModules!$C$17</f>
        <v>Last-minute gifts just in time</v>
      </c>
      <c r="W2" s="15" t="str">
        <f>[1]MiscModules!$D$17</f>
        <v>NULL</v>
      </c>
      <c r="X2" s="15" t="str">
        <f>[1]MiscModules!$E$17</f>
        <v>NULL</v>
      </c>
      <c r="Y2" s="15" t="str">
        <f>[1]MiscModules!$F$17</f>
        <v xml:space="preserve"> NULL</v>
      </c>
      <c r="Z2" s="15" t="str">
        <f>[1]MiscModules!$G$17</f>
        <v>https://www.samsung.com/us/shop/all-deals/</v>
      </c>
      <c r="AA2"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2" s="15" t="str">
        <f>[1]MiscModules!$I$17</f>
        <v xml:space="preserve"> NULL</v>
      </c>
      <c r="AC2" s="15" t="str">
        <f>[1]MiscModules!$J$17</f>
        <v xml:space="preserve"> NULL</v>
      </c>
      <c r="AD2" s="15" t="str">
        <f>[1]MiscModules!$K$17</f>
        <v xml:space="preserve"> NULL</v>
      </c>
      <c r="AE2" s="76">
        <v>44184</v>
      </c>
      <c r="AF2" s="15" t="s">
        <v>362</v>
      </c>
      <c r="AG2" s="75" t="s">
        <v>363</v>
      </c>
      <c r="AH2" s="15" t="str">
        <f>[1]MiscModules!$B$2</f>
        <v>NULL</v>
      </c>
      <c r="AI2" s="15" t="str">
        <f>[1]MiscModules!$C$2</f>
        <v>NULL</v>
      </c>
      <c r="AJ2" s="15" t="str">
        <f>[1]MiscModules!$D$2</f>
        <v xml:space="preserve">It’s not too late to give wonder. </v>
      </c>
      <c r="AK2" s="15" t="str">
        <f>[1]MiscModules!$E$2</f>
        <v xml:space="preserve">Plus,there is still time to redeem your exclusive $20 instant credit toward eligible accessories with smartphone purchase. </v>
      </c>
      <c r="AL2" s="15" t="str">
        <f>[1]MiscModules!$F$2</f>
        <v xml:space="preserve"> NULL</v>
      </c>
      <c r="AM2" s="15" t="str">
        <f>[1]MiscModules!$G$2</f>
        <v>https://www.samsung.com/us/shop/all-deals/</v>
      </c>
      <c r="AN2"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2" s="15" t="str">
        <f>[1]MiscModules!$I$2</f>
        <v xml:space="preserve"> NULL</v>
      </c>
      <c r="AP2" s="15" t="str">
        <f>[1]MiscModules!$J$2</f>
        <v xml:space="preserve"> NULL</v>
      </c>
      <c r="AQ2" s="15" t="str">
        <f>[1]MiscModules!$K$2</f>
        <v xml:space="preserve"> NULL</v>
      </c>
      <c r="AR2" s="75" t="s">
        <v>382</v>
      </c>
      <c r="AS2" t="str">
        <f>[1]DD_R!$G$9</f>
        <v>23_IM_HeadImage_MB_Fold-500xV.jpg</v>
      </c>
      <c r="AT2" t="str">
        <f>[1]DD_R!$H$9</f>
        <v xml:space="preserve">Get up to 50% off Galaxy Z Fold2 5G </v>
      </c>
      <c r="AU2" t="str">
        <f>[1]DD_R!$I$9</f>
        <v>Now from only $20.84/mo for 48 mos&lt;sup&gt;⊕&lt;/sup&gt; or $999.99 with eligible trade-in.&lt;sup&gt;ᶿ&lt;/sup&gt;</v>
      </c>
      <c r="AV2" t="str">
        <f>[1]DD_R!$J$9</f>
        <v xml:space="preserve">Our best Galaxy Z Fold2 5G offer of the year. Get up to $1000 trade-in credit.&lt;sup&gt;ᶿ&lt;/sup&gt; </v>
      </c>
      <c r="AW2" t="str">
        <f>[1]DD_R!$K$9</f>
        <v>Buy now</v>
      </c>
      <c r="AX2" t="str">
        <f>[1]DD_R!$L$9</f>
        <v>https://www.samsung.com/us/smartphones/galaxy-z-fold2-5g/buy/</v>
      </c>
      <c r="AY2"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AZ2" t="str">
        <f>[1]DD_R!$N$9</f>
        <v>NULL</v>
      </c>
      <c r="BA2" t="str">
        <f>[1]DD_R!$O$9</f>
        <v>NULL</v>
      </c>
      <c r="BB2" t="str">
        <f>[1]DD_R!$P$9</f>
        <v>NULL</v>
      </c>
      <c r="BC2" s="75" t="s">
        <v>383</v>
      </c>
      <c r="BD2" t="str">
        <f>[1]DD_R!$G$8</f>
        <v>110_IM_HeadImage_MB_Galaxy_500xV.jpg</v>
      </c>
      <c r="BE2" t="str">
        <f>[1]DD_R!$H$8</f>
        <v xml:space="preserve">Get up to $250 off select Galaxy S20 5G </v>
      </c>
      <c r="BF2" t="str">
        <f>[1]DD_R!$I$8</f>
        <v>Now from only $13.62/mo for 36 mos&lt;sup&gt;⊕&lt;/sup&gt; or $489.99 with eligible trade-in.&lt;sup&gt;ᶿ&lt;/sup&gt;</v>
      </c>
      <c r="BG2" t="str">
        <f>[1]DD_R!$J$8</f>
        <v xml:space="preserve">Get up to $250 off instantly and up to $310 trade-in credit&lt;sup&gt;ᶿ&lt;/sup&gt; toward your next Galaxy S20 5G, S20+ 5G or S20 Ultra 5G. </v>
      </c>
      <c r="BH2" t="str">
        <f>[1]DD_R!$K$8</f>
        <v>Buy now</v>
      </c>
      <c r="BI2" t="str">
        <f>[1]DD_R!$L$8</f>
        <v>https://www.samsung.com/us/mobile/galaxy-s20-5g/buy/galaxy-s20-5g-128gb-unlocked-sm-g981uzaaxaa/</v>
      </c>
      <c r="BJ2"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K2" t="str">
        <f>[1]DD_R!$N$8</f>
        <v>NULL</v>
      </c>
      <c r="BL2" t="str">
        <f>[1]DD_R!$O$8</f>
        <v>NULL</v>
      </c>
      <c r="BM2" t="str">
        <f>[1]DD_R!$P$8</f>
        <v>NULL</v>
      </c>
      <c r="BN2" s="75" t="s">
        <v>384</v>
      </c>
      <c r="BO2" t="str">
        <f>[1]DD_R!$G$10</f>
        <v>24-IM-A71-A51-HeadImage-500xV.jpg</v>
      </c>
      <c r="BP2" t="str">
        <f>[1]DD_R!$H$10</f>
        <v>Get 50% off Galaxy A71 5G with T-Mobile and Verizon</v>
      </c>
      <c r="BQ2" t="str">
        <f>[1]DD_R!$I$10</f>
        <v xml:space="preserve">Now from only $8.34/mo for 36 mos&lt;sup&gt;⊕&lt;/sup&gt; or $299.99 with eligible trade-in.&lt;sup&gt;ᶿ&lt;/sup&gt; </v>
      </c>
      <c r="BR2" t="str">
        <f>[1]DD_R!$J$10</f>
        <v xml:space="preserve">Save up to $250 instantly and get $75 or more trade-in credit. Treat yourself to blazing fast 5G speeds and incredible features at an amazing value. </v>
      </c>
      <c r="BS2" t="str">
        <f>[1]DD_R!$K$10</f>
        <v>Buy now</v>
      </c>
      <c r="BT2" t="str">
        <f>[1]DD_R!$L$10</f>
        <v>https://www.samsung.com/us/mobile/phones/galaxy-a/buy/?link=galaxy-a71-5g</v>
      </c>
      <c r="BU2"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BV2" t="str">
        <f>[1]DD_R!$N$10</f>
        <v>NULL</v>
      </c>
      <c r="BW2" t="str">
        <f>[1]DD_R!$O$10</f>
        <v>NULL</v>
      </c>
      <c r="BX2" t="str">
        <f>[1]DD_R!$P$10</f>
        <v>NULL</v>
      </c>
      <c r="BY2" s="75" t="s">
        <v>385</v>
      </c>
      <c r="BZ2" t="str">
        <f>[1]DD_R!$G$25</f>
        <v>110-CPO-HeadImage-500xV.jpg</v>
      </c>
      <c r="CA2" t="str">
        <f>[1]DD_R!$H$25</f>
        <v>Save up to $75 instantly on select Certified Pre-owned devices</v>
      </c>
      <c r="CB2" t="str">
        <f>[1]DD_R!$I$25</f>
        <v xml:space="preserve">Starting from only $320. </v>
      </c>
      <c r="CC2" t="str">
        <f>[1]DD_R!$J$25</f>
        <v xml:space="preserve">Refreshed with a brand new charger and accessories in the box, get some of our favorite phones like Galaxy S10, Note9 and more. Covered by a 12-month warranty, just like our new devices. </v>
      </c>
      <c r="CD2" t="str">
        <f>[1]DD_R!$K$25</f>
        <v>Shop now</v>
      </c>
      <c r="CE2" t="str">
        <f>[1]DD_R!$L$25</f>
        <v>https://www.samsung.com/us/search/searchMain/?listType=g&amp;searchTerm=cpo&amp;sort=relevance&amp;size=30&amp;item_type=Phones</v>
      </c>
      <c r="CF2" t="str">
        <f>[1]DD_R!$M$25</f>
        <v>no equivalent URL</v>
      </c>
      <c r="CG2" t="str">
        <f>[1]DD_R!$N$25</f>
        <v>NULL</v>
      </c>
      <c r="CH2" t="str">
        <f>[1]DD_R!$O$25</f>
        <v>NULL</v>
      </c>
      <c r="CI2" t="str">
        <f>[1]DD_R!$P$25</f>
        <v>NULL</v>
      </c>
      <c r="CJ2" s="75" t="s">
        <v>368</v>
      </c>
      <c r="CK2" s="15" t="str">
        <f>[1]MiscModules!$B$8</f>
        <v>Give-wonder-500xV.jpg</v>
      </c>
      <c r="CL2" s="15" t="str">
        <f>[1]MiscModules!$C$8</f>
        <v>NULL</v>
      </c>
      <c r="CM2" s="15" t="str">
        <f>[1]MiscModules!$D$8</f>
        <v>NULL</v>
      </c>
      <c r="CN2"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O2" s="15" t="str">
        <f>[1]MiscModules!$F$8</f>
        <v>Shop now</v>
      </c>
      <c r="CP2" s="15" t="str">
        <f>[1]MiscModules!$G$8</f>
        <v>https://www.samsung.com/us/gift-ideas/</v>
      </c>
      <c r="CQ2"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R2" s="15" t="str">
        <f>[1]MiscModules!$I$8</f>
        <v xml:space="preserve"> NULL</v>
      </c>
      <c r="CS2" s="15" t="str">
        <f>[1]MiscModules!$J$8</f>
        <v xml:space="preserve"> NULL</v>
      </c>
      <c r="CT2" s="15" t="str">
        <f>[1]MiscModules!$K$8</f>
        <v xml:space="preserve"> NULL</v>
      </c>
      <c r="CU2" s="75" t="s">
        <v>369</v>
      </c>
      <c r="CV2" s="15" t="str">
        <f>[1]TC!$B$4</f>
        <v>NULL</v>
      </c>
      <c r="CW2"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2" s="15" t="str">
        <f>[1]TC!$D$4</f>
        <v>NULL</v>
      </c>
      <c r="CY2" s="15" t="str">
        <f>[1]TC!$E$4</f>
        <v>NULL</v>
      </c>
      <c r="CZ2" s="15" t="str">
        <f>[1]TC!$F$4</f>
        <v>NULL</v>
      </c>
      <c r="DA2" s="15">
        <f>[1]TC!$G$4</f>
        <v>0</v>
      </c>
      <c r="DB2" s="15">
        <f>[1]TC!$H$4</f>
        <v>0</v>
      </c>
      <c r="DC2" s="15" t="str">
        <f>[1]TC!$I$4</f>
        <v>NULL</v>
      </c>
      <c r="DD2" s="15" t="str">
        <f>[1]TC!$J$4</f>
        <v>NULL</v>
      </c>
      <c r="DE2" s="15" t="str">
        <f>[1]TC!$K$4</f>
        <v>NULL</v>
      </c>
      <c r="DF2" s="75" t="s">
        <v>386</v>
      </c>
      <c r="DG2" s="15" t="str">
        <f>[1]TC!$B$2</f>
        <v>NULL</v>
      </c>
      <c r="DH2"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2" s="15" t="str">
        <f>[1]TC!$D$2</f>
        <v>NULL</v>
      </c>
      <c r="DJ2" s="15" t="str">
        <f>[1]TC!$E$2</f>
        <v>NULL</v>
      </c>
      <c r="DK2" s="15" t="str">
        <f>[1]TC!$F$2</f>
        <v>NULL</v>
      </c>
      <c r="DL2" s="15" t="str">
        <f>[1]TC!$G$2</f>
        <v>1) https://www.samsung.com/us/trade-in/terms-and-conditions/</v>
      </c>
      <c r="DM2" s="15">
        <f>[1]TC!$H$2</f>
        <v>0</v>
      </c>
      <c r="DN2" s="15" t="str">
        <f>[1]TC!$I$2</f>
        <v>NULL</v>
      </c>
      <c r="DO2" s="15" t="str">
        <f>[1]TC!$J$2</f>
        <v>NULL</v>
      </c>
      <c r="DP2" s="15" t="str">
        <f>[1]TC!$K$2</f>
        <v>NULL</v>
      </c>
      <c r="DQ2" s="75" t="s">
        <v>387</v>
      </c>
      <c r="DR2" s="15" t="str">
        <f>[1]TC!$B$6</f>
        <v>NULL</v>
      </c>
      <c r="DS2"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T2" s="15" t="str">
        <f>[1]TC!$D$6</f>
        <v>NULL</v>
      </c>
      <c r="DU2" s="15" t="str">
        <f>[1]TC!$E$6</f>
        <v>NULL</v>
      </c>
      <c r="DV2" s="15" t="str">
        <f>[1]TC!$F$6</f>
        <v>NULL</v>
      </c>
      <c r="DW2" s="15" t="str">
        <f>[1]TC!$G$6</f>
        <v xml:space="preserve">https://www.samsung.com/us/
</v>
      </c>
      <c r="DX2" s="15">
        <f>[1]TC!$H$6</f>
        <v>0</v>
      </c>
      <c r="DY2" s="15" t="str">
        <f>[1]TC!$I$6</f>
        <v>NULL</v>
      </c>
      <c r="DZ2" s="15" t="str">
        <f>[1]TC!$J$6</f>
        <v>NULL</v>
      </c>
      <c r="EA2" s="15" t="str">
        <f>[1]TC!$K$6</f>
        <v>NULL</v>
      </c>
    </row>
    <row r="3" spans="1:175" ht="75" x14ac:dyDescent="0.25">
      <c r="A3" t="s">
        <v>118</v>
      </c>
      <c r="B3" s="77" t="s">
        <v>172</v>
      </c>
      <c r="C3" s="1" t="s">
        <v>379</v>
      </c>
      <c r="D3" t="s">
        <v>39</v>
      </c>
      <c r="E3" t="s">
        <v>39</v>
      </c>
      <c r="F3" t="s">
        <v>370</v>
      </c>
      <c r="H3" s="74" t="s">
        <v>388</v>
      </c>
      <c r="I3" s="74" t="s">
        <v>389</v>
      </c>
      <c r="J3" s="45" t="s">
        <v>115</v>
      </c>
      <c r="K3" s="15" t="str">
        <f>[1]MiscModules!$B$13</f>
        <v>NULL</v>
      </c>
      <c r="L3" s="15" t="str">
        <f>[1]MiscModules!$C$13</f>
        <v xml:space="preserve">Order by December 19 to get most smartphones, wearables, tablets and laptops delivered by December 25. </v>
      </c>
      <c r="M3" s="15" t="str">
        <f>[1]MiscModules!$D$13</f>
        <v>NULL</v>
      </c>
      <c r="N3" s="15" t="str">
        <f>[1]MiscModules!$E$13</f>
        <v>NULL</v>
      </c>
      <c r="O3" s="15" t="str">
        <f>[1]MiscModules!$F$13</f>
        <v>NULL</v>
      </c>
      <c r="P3" s="15" t="str">
        <f>[1]MiscModules!$G$13</f>
        <v>https://www.samsung.com/us/support/order-faqs/#SHIPPINGANDPAYMENTS</v>
      </c>
      <c r="Q3" s="15" t="str">
        <f>[1]MiscModules!$H$13</f>
        <v xml:space="preserve"> </v>
      </c>
      <c r="R3" s="15" t="str">
        <f>[1]MiscModules!$I$13</f>
        <v>NULL</v>
      </c>
      <c r="S3" s="15" t="str">
        <f>[1]MiscModules!$J$13</f>
        <v>NULL</v>
      </c>
      <c r="T3" s="75" t="s">
        <v>361</v>
      </c>
      <c r="U3" s="15" t="str">
        <f>[1]MiscModules!$B$18</f>
        <v>Last_Minute_Deals_T2_KV.jpg</v>
      </c>
      <c r="V3" s="15" t="str">
        <f>[1]MiscModules!$C$18</f>
        <v>Last-minute gifts just in time</v>
      </c>
      <c r="W3" s="15" t="str">
        <f>[1]MiscModules!$D$18</f>
        <v>NULL</v>
      </c>
      <c r="X3" s="15" t="str">
        <f>[1]MiscModules!$E$18</f>
        <v>NULL</v>
      </c>
      <c r="Y3" s="15" t="str">
        <f>[1]MiscModules!$F$18</f>
        <v xml:space="preserve"> NULL</v>
      </c>
      <c r="Z3" s="15" t="str">
        <f>[1]MiscModules!$G$18</f>
        <v>https://www.samsung.com/us/shop/all-deals/</v>
      </c>
      <c r="AA3"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3" s="15" t="str">
        <f>[1]MiscModules!$I$18</f>
        <v xml:space="preserve"> NULL</v>
      </c>
      <c r="AC3" s="15" t="str">
        <f>[1]MiscModules!$J$18</f>
        <v xml:space="preserve"> NULL</v>
      </c>
      <c r="AD3" s="15" t="str">
        <f>[1]MiscModules!$K$18</f>
        <v xml:space="preserve"> NULL</v>
      </c>
      <c r="AE3" s="76">
        <v>44184</v>
      </c>
      <c r="AF3" s="15" t="s">
        <v>362</v>
      </c>
      <c r="AG3" s="75" t="s">
        <v>363</v>
      </c>
      <c r="AH3" s="15" t="str">
        <f>[1]MiscModules!$B$3</f>
        <v>NULL</v>
      </c>
      <c r="AI3" s="15" t="str">
        <f>[1]MiscModules!$C$3</f>
        <v>NULL</v>
      </c>
      <c r="AJ3" s="15" t="str">
        <f>[1]MiscModules!$D$3</f>
        <v xml:space="preserve">It’s not too late to give wonder. </v>
      </c>
      <c r="AK3" s="15" t="str">
        <f>[1]MiscModules!$E$3</f>
        <v>NULL</v>
      </c>
      <c r="AL3" s="15" t="str">
        <f>[1]MiscModules!$F$3</f>
        <v xml:space="preserve"> NULL</v>
      </c>
      <c r="AM3" s="15" t="str">
        <f>[1]MiscModules!$G$3</f>
        <v>https://www.samsung.com/us/shop/all-deals/</v>
      </c>
      <c r="AN3"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3" s="15" t="str">
        <f>[1]MiscModules!$I$3</f>
        <v xml:space="preserve"> NULL</v>
      </c>
      <c r="AP3" s="15" t="str">
        <f>[1]MiscModules!$J$3</f>
        <v xml:space="preserve"> NULL</v>
      </c>
      <c r="AQ3" s="15" t="str">
        <f>[1]MiscModules!$K$3</f>
        <v xml:space="preserve"> NULL</v>
      </c>
      <c r="AR3" s="75" t="s">
        <v>382</v>
      </c>
      <c r="AS3" t="str">
        <f>[1]DD_NR!$G$9</f>
        <v>23_IM_HeadImage_MB_Fold-500xV.jpg</v>
      </c>
      <c r="AT3" t="str">
        <f>[1]DD_NR!$H$9</f>
        <v xml:space="preserve">Get up to 50% off Galaxy Z Fold2 5G </v>
      </c>
      <c r="AU3" t="str">
        <f>[1]DD_NR!$I$9</f>
        <v>Now from only $20.84/mo for 48 mos&lt;sup&gt;⊕&lt;/sup&gt; or $999.99 with eligible trade-in.&lt;sup&gt;ᶿ&lt;/sup&gt;</v>
      </c>
      <c r="AV3" t="str">
        <f>[1]DD_NR!$J$9</f>
        <v xml:space="preserve">Our best Galaxy Z Fold2 5G offer of the year. Get up to $1000 trade-in credit.&lt;sup&gt;ᶿ&lt;/sup&gt; </v>
      </c>
      <c r="AW3" t="str">
        <f>[1]DD_NR!$K$9</f>
        <v>Buy now</v>
      </c>
      <c r="AX3" t="str">
        <f>[1]DD_NR!$L$9</f>
        <v>https://www.samsung.com/us/smartphones/galaxy-z-fold2-5g/buy/</v>
      </c>
      <c r="AY3" t="str">
        <f>[1]DD_NR!$M$9</f>
        <v>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v>
      </c>
      <c r="AZ3" t="str">
        <f>[1]DD_NR!$N$9</f>
        <v>NULL</v>
      </c>
      <c r="BA3" t="str">
        <f>[1]DD_NR!$O$9</f>
        <v>NULL</v>
      </c>
      <c r="BB3" t="str">
        <f>[1]DD_NR!$P$9</f>
        <v>NULL</v>
      </c>
      <c r="BC3" s="75" t="s">
        <v>383</v>
      </c>
      <c r="BD3" t="str">
        <f>[1]DD_NR!$G$8</f>
        <v>110_IM_HeadImage_MB_Galaxy_500xV.jpg</v>
      </c>
      <c r="BE3" t="str">
        <f>[1]DD_NR!$H$8</f>
        <v xml:space="preserve">Get up to $250 off select Galaxy S20 5G </v>
      </c>
      <c r="BF3" t="str">
        <f>[1]DD_NR!$I$8</f>
        <v>Now from only $13.62/mo for 36 mos&lt;sup&gt;⊕&lt;/sup&gt; or $489.99 with eligible trade-in.&lt;sup&gt;ᶿ&lt;/sup&gt;</v>
      </c>
      <c r="BG3" t="str">
        <f>[1]DD_NR!$J$8</f>
        <v xml:space="preserve">Get up to $250 off instantly and up to $310 trade-in credit&lt;sup&gt;ᶿ&lt;/sup&gt; toward your next Galaxy S20 5G, S20+ 5G or S20 Ultra 5G. </v>
      </c>
      <c r="BH3" t="str">
        <f>[1]DD_NR!$K$8</f>
        <v>Buy now</v>
      </c>
      <c r="BI3" t="str">
        <f>[1]DD_NR!$L$8</f>
        <v>https://www.samsung.com/us/mobile/galaxy-s20-5g/buy/galaxy-s20-5g-128gb-unlocked-sm-g981uzaaxaa/</v>
      </c>
      <c r="BJ3" t="str">
        <f>[1]DD_NR!$M$8</f>
        <v>https://shopsamsung.page.link?link=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efr=1</v>
      </c>
      <c r="BK3" t="str">
        <f>[1]DD_NR!$N$8</f>
        <v>NULL</v>
      </c>
      <c r="BL3" t="str">
        <f>[1]DD_NR!$O$8</f>
        <v>NULL</v>
      </c>
      <c r="BM3" t="str">
        <f>[1]DD_NR!$P$8</f>
        <v>NULL</v>
      </c>
      <c r="BN3" s="75" t="s">
        <v>384</v>
      </c>
      <c r="BO3" t="str">
        <f>[1]DD_NR!$G$10</f>
        <v>24-IM-A71-A51-HeadImage-500xV.jpg</v>
      </c>
      <c r="BP3" t="str">
        <f>[1]DD_NR!$H$10</f>
        <v>Get 50% off Galaxy A71 5G with T-Mobile and Verizon</v>
      </c>
      <c r="BQ3" t="str">
        <f>[1]DD_NR!$I$10</f>
        <v xml:space="preserve">Now from only only $8.34/mo for 36 mos&lt;sup&gt;⊕&lt;/sup&gt; or $299.99 with eligible trade-in.&lt;sup&gt;ᶿ&lt;/sup&gt; </v>
      </c>
      <c r="BR3" t="str">
        <f>[1]DD_NR!$J$10</f>
        <v xml:space="preserve">Save up to $250 instantly and get $75 or more trade-in credit. Treat yourself to blazing fast 5G speeds and incredible features at an amazing value. </v>
      </c>
      <c r="BS3" t="str">
        <f>[1]DD_NR!$K$10</f>
        <v>Buy now</v>
      </c>
      <c r="BT3" t="str">
        <f>[1]DD_NR!$L$10</f>
        <v>https://www.samsung.com/us/mobile/phones/galaxy-a/buy/?link=galaxy-a71-5g</v>
      </c>
      <c r="BU3" t="str">
        <f>[1]DD_NR!$M$10</f>
        <v>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v>
      </c>
      <c r="BV3" t="str">
        <f>[1]DD_NR!$N$10</f>
        <v>NULL</v>
      </c>
      <c r="BW3" t="str">
        <f>[1]DD_NR!$O$10</f>
        <v>NULL</v>
      </c>
      <c r="BX3" t="str">
        <f>[1]DD_NR!$P$10</f>
        <v>NULL</v>
      </c>
      <c r="BY3" s="75" t="s">
        <v>385</v>
      </c>
      <c r="BZ3" t="str">
        <f>[1]DD_NR!$G$25</f>
        <v>110-CPO-HeadImage-500xV.jpg</v>
      </c>
      <c r="CA3" t="str">
        <f>[1]DD_NR!$H$25</f>
        <v>Save up to $75 instantly on select Certified Pre-owned devices</v>
      </c>
      <c r="CB3" t="str">
        <f>[1]DD_NR!$I$25</f>
        <v xml:space="preserve">Starting from only $320. </v>
      </c>
      <c r="CC3" t="str">
        <f>[1]DD_NR!$J$25</f>
        <v xml:space="preserve">Refreshed with a brand new charger and accessories in the box, get some of our favorite phones like Galaxy S10, Note9 and more. Covered by a 12-month warranty, just like our new devices. </v>
      </c>
      <c r="CD3" t="str">
        <f>[1]DD_NR!$K$25</f>
        <v>Shop now</v>
      </c>
      <c r="CE3" t="str">
        <f>[1]DD_NR!$L$25</f>
        <v>https://www.samsung.com/us/search/searchMain/?listType=g&amp;searchTerm=cpo&amp;sort=relevance&amp;size=30&amp;item_type=Phones</v>
      </c>
      <c r="CF3" t="str">
        <f>[1]DD_NR!$M$25</f>
        <v>no equivalent page</v>
      </c>
      <c r="CG3" t="str">
        <f>[1]DD_NR!$N$25</f>
        <v>NULL</v>
      </c>
      <c r="CH3" t="str">
        <f>[1]DD_NR!$O$25</f>
        <v>NULL</v>
      </c>
      <c r="CI3" t="str">
        <f>[1]DD_NR!$P$25</f>
        <v>NULL</v>
      </c>
      <c r="CJ3" s="75" t="s">
        <v>368</v>
      </c>
      <c r="CK3" s="15" t="str">
        <f>[1]MiscModules!$B$9</f>
        <v>Give-wonder-500xV.jpg</v>
      </c>
      <c r="CL3" s="15" t="str">
        <f>[1]MiscModules!$C$9</f>
        <v>NULL</v>
      </c>
      <c r="CM3" s="15" t="str">
        <f>[1]MiscModules!$D$9</f>
        <v>NULL</v>
      </c>
      <c r="CN3" s="15" t="str">
        <f>[1]MiscModules!$E$9</f>
        <v xml:space="preserve">Discover even more exclusive offers on your favorite products. Unlock the power of smart and savvy gifting with our holiday gift guide. </v>
      </c>
      <c r="CO3" s="15" t="str">
        <f>[1]MiscModules!$F$9</f>
        <v>Shop now</v>
      </c>
      <c r="CP3" s="15" t="str">
        <f>[1]MiscModules!$G$9</f>
        <v>https://www.samsung.com/us/gift-ideas/</v>
      </c>
      <c r="CQ3"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CR3" s="15" t="str">
        <f>[1]MiscModules!$I$9</f>
        <v xml:space="preserve"> NULL</v>
      </c>
      <c r="CS3" s="15" t="str">
        <f>[1]MiscModules!$J$9</f>
        <v xml:space="preserve"> NULL</v>
      </c>
      <c r="CT3" s="15" t="str">
        <f>[1]MiscModules!$K$9</f>
        <v xml:space="preserve"> NULL</v>
      </c>
      <c r="CU3" s="75" t="s">
        <v>369</v>
      </c>
      <c r="CV3" s="15" t="str">
        <f>[1]TC!$B$5</f>
        <v>NULL</v>
      </c>
      <c r="CW3" s="15" t="str">
        <f>[1]TC!$C$5</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3" s="15" t="str">
        <f>[1]TC!$D$5</f>
        <v>NULL</v>
      </c>
      <c r="CY3" s="15" t="str">
        <f>[1]TC!$E$5</f>
        <v>NULL</v>
      </c>
      <c r="CZ3" s="15" t="str">
        <f>[1]TC!$F$5</f>
        <v>NULL</v>
      </c>
      <c r="DA3" s="15">
        <f>[1]TC!$G$5</f>
        <v>0</v>
      </c>
      <c r="DB3" s="15">
        <f>[1]TC!$H$5</f>
        <v>0</v>
      </c>
      <c r="DC3" s="15" t="str">
        <f>[1]TC!$I$5</f>
        <v>NULL</v>
      </c>
      <c r="DD3" s="15" t="str">
        <f>[1]TC!$J$5</f>
        <v>NULL</v>
      </c>
      <c r="DE3" s="15" t="str">
        <f>[1]TC!$K$5</f>
        <v>NULL</v>
      </c>
      <c r="DF3" s="75" t="s">
        <v>386</v>
      </c>
      <c r="DG3" s="15" t="str">
        <f>[1]TC!$B$3</f>
        <v>NULL</v>
      </c>
      <c r="DH3" s="15" t="str">
        <f>[1]TC!$C$3</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3" s="15" t="str">
        <f>[1]TC!$D$3</f>
        <v>NULL</v>
      </c>
      <c r="DJ3" s="15" t="str">
        <f>[1]TC!$E$3</f>
        <v>NULL</v>
      </c>
      <c r="DK3" s="15" t="str">
        <f>[1]TC!$F$3</f>
        <v>NULL</v>
      </c>
      <c r="DL3" s="15" t="str">
        <f>[1]TC!$G$3</f>
        <v>1) https://www.samsung.com/us/trade-in/terms-and-conditions/</v>
      </c>
      <c r="DM3" s="15">
        <f>[1]TC!$H$3</f>
        <v>0</v>
      </c>
      <c r="DN3" s="15" t="str">
        <f>[1]TC!$I$3</f>
        <v>NULL</v>
      </c>
      <c r="DO3" s="15" t="str">
        <f>[1]TC!$J$3</f>
        <v>NULL</v>
      </c>
      <c r="DP3" s="15" t="str">
        <f>[1]TC!$K$3</f>
        <v>NULL</v>
      </c>
    </row>
    <row r="4" spans="1:175" ht="75" x14ac:dyDescent="0.25">
      <c r="A4" t="s">
        <v>118</v>
      </c>
      <c r="B4" s="77" t="s">
        <v>171</v>
      </c>
      <c r="C4" s="1" t="s">
        <v>390</v>
      </c>
      <c r="D4" t="s">
        <v>39</v>
      </c>
      <c r="E4" t="s">
        <v>39</v>
      </c>
      <c r="F4" t="s">
        <v>160</v>
      </c>
      <c r="H4" s="74" t="s">
        <v>391</v>
      </c>
      <c r="I4" s="74" t="s">
        <v>389</v>
      </c>
      <c r="J4" s="45" t="s">
        <v>115</v>
      </c>
      <c r="K4" s="15" t="str">
        <f>[1]MiscModules!$B$12</f>
        <v>NULL</v>
      </c>
      <c r="L4" s="15" t="str">
        <f>[1]MiscModules!$C$12</f>
        <v xml:space="preserve">Order by December 19 to get most smartphones, wearables, tablets and laptops delivered by December 25. </v>
      </c>
      <c r="M4" s="15" t="str">
        <f>[1]MiscModules!$D$12</f>
        <v>NULL</v>
      </c>
      <c r="N4" s="15" t="str">
        <f>[1]MiscModules!$E$12</f>
        <v>NULL</v>
      </c>
      <c r="O4" s="15" t="str">
        <f>[1]MiscModules!$F$12</f>
        <v>NULL</v>
      </c>
      <c r="P4" s="15" t="str">
        <f>[1]MiscModules!$G$12</f>
        <v>https://www.samsung.com/us/support/order-faqs/#SHIPPINGANDPAYMENTS</v>
      </c>
      <c r="Q4" s="15" t="str">
        <f>[1]MiscModules!$H$12</f>
        <v xml:space="preserve"> </v>
      </c>
      <c r="R4" s="15" t="str">
        <f>[1]MiscModules!$I$12</f>
        <v>NULL</v>
      </c>
      <c r="S4" s="15" t="str">
        <f>[1]MiscModules!$J$12</f>
        <v>NULL</v>
      </c>
      <c r="T4" s="75" t="s">
        <v>361</v>
      </c>
      <c r="U4" s="15" t="str">
        <f>[1]MiscModules!$B$17</f>
        <v>Last_Minute_Deals_T2_KV.jpg</v>
      </c>
      <c r="V4" s="15" t="str">
        <f>[1]MiscModules!$C$17</f>
        <v>Last-minute gifts just in time</v>
      </c>
      <c r="W4" s="15" t="str">
        <f>[1]MiscModules!$D$17</f>
        <v>NULL</v>
      </c>
      <c r="X4" s="15" t="str">
        <f>[1]MiscModules!$E$17</f>
        <v>NULL</v>
      </c>
      <c r="Y4" s="15" t="str">
        <f>[1]MiscModules!$F$17</f>
        <v xml:space="preserve"> NULL</v>
      </c>
      <c r="Z4" s="15" t="str">
        <f>[1]MiscModules!$G$17</f>
        <v>https://www.samsung.com/us/shop/all-deals/</v>
      </c>
      <c r="AA4"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4" s="15" t="str">
        <f>[1]MiscModules!$I$17</f>
        <v xml:space="preserve"> NULL</v>
      </c>
      <c r="AC4" s="15" t="str">
        <f>[1]MiscModules!$J$17</f>
        <v xml:space="preserve"> NULL</v>
      </c>
      <c r="AD4" s="15" t="str">
        <f>[1]MiscModules!$K$17</f>
        <v xml:space="preserve"> NULL</v>
      </c>
      <c r="AE4" s="76">
        <v>44184</v>
      </c>
      <c r="AF4" s="15" t="s">
        <v>362</v>
      </c>
      <c r="AG4" s="75" t="s">
        <v>363</v>
      </c>
      <c r="AH4" s="15" t="str">
        <f>[1]MiscModules!$B$2</f>
        <v>NULL</v>
      </c>
      <c r="AI4" s="15" t="str">
        <f>[1]MiscModules!$C$2</f>
        <v>NULL</v>
      </c>
      <c r="AJ4" s="15" t="str">
        <f>[1]MiscModules!$D$2</f>
        <v xml:space="preserve">It’s not too late to give wonder. </v>
      </c>
      <c r="AK4" s="15" t="str">
        <f>[1]MiscModules!$E$2</f>
        <v xml:space="preserve">Plus,there is still time to redeem your exclusive $20 instant credit toward eligible accessories with smartphone purchase. </v>
      </c>
      <c r="AL4" s="15" t="str">
        <f>[1]MiscModules!$F$2</f>
        <v xml:space="preserve"> NULL</v>
      </c>
      <c r="AM4" s="15" t="str">
        <f>[1]MiscModules!$G$2</f>
        <v>https://www.samsung.com/us/shop/all-deals/</v>
      </c>
      <c r="AN4"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4" s="15" t="str">
        <f>[1]MiscModules!$I$2</f>
        <v xml:space="preserve"> NULL</v>
      </c>
      <c r="AP4" s="15" t="str">
        <f>[1]MiscModules!$J$2</f>
        <v xml:space="preserve"> NULL</v>
      </c>
      <c r="AQ4" s="15" t="str">
        <f>[1]MiscModules!$K$2</f>
        <v xml:space="preserve"> NULL</v>
      </c>
      <c r="AR4" s="75" t="s">
        <v>383</v>
      </c>
      <c r="AS4" t="str">
        <f>[1]DD_R!$G$8</f>
        <v>110_IM_HeadImage_MB_Galaxy_500xV.jpg</v>
      </c>
      <c r="AT4" t="str">
        <f>[1]DD_R!$H$8</f>
        <v xml:space="preserve">Get up to $250 off select Galaxy S20 5G </v>
      </c>
      <c r="AU4" t="str">
        <f>[1]DD_R!$I$8</f>
        <v>Now from only $13.62/mo for 36 mos&lt;sup&gt;⊕&lt;/sup&gt; or $489.99 with eligible trade-in.&lt;sup&gt;ᶿ&lt;/sup&gt;</v>
      </c>
      <c r="AV4" t="str">
        <f>[1]DD_R!$J$8</f>
        <v xml:space="preserve">Get up to $250 off instantly and up to $310 trade-in credit&lt;sup&gt;ᶿ&lt;/sup&gt; toward your next Galaxy S20 5G, S20+ 5G or S20 Ultra 5G. </v>
      </c>
      <c r="AW4" t="str">
        <f>[1]DD_R!$K$8</f>
        <v>Buy now</v>
      </c>
      <c r="AX4" t="str">
        <f>[1]DD_R!$L$8</f>
        <v>https://www.samsung.com/us/mobile/galaxy-s20-5g/buy/galaxy-s20-5g-128gb-unlocked-sm-g981uzaaxaa/</v>
      </c>
      <c r="AY4"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AZ4" t="str">
        <f>[1]DD_R!$N$8</f>
        <v>NULL</v>
      </c>
      <c r="BA4" t="str">
        <f>[1]DD_R!$O$8</f>
        <v>NULL</v>
      </c>
      <c r="BB4" t="str">
        <f>[1]DD_R!$P$8</f>
        <v>NULL</v>
      </c>
      <c r="BC4" s="75" t="s">
        <v>382</v>
      </c>
      <c r="BD4" t="str">
        <f>[1]DD_R!$G$9</f>
        <v>23_IM_HeadImage_MB_Fold-500xV.jpg</v>
      </c>
      <c r="BE4" t="str">
        <f>[1]DD_R!$H$9</f>
        <v xml:space="preserve">Get up to 50% off Galaxy Z Fold2 5G </v>
      </c>
      <c r="BF4" t="str">
        <f>[1]DD_R!$I$9</f>
        <v>Now from only $20.84/mo for 48 mos&lt;sup&gt;⊕&lt;/sup&gt; or $999.99 with eligible trade-in.&lt;sup&gt;ᶿ&lt;/sup&gt;</v>
      </c>
      <c r="BG4" t="str">
        <f>[1]DD_R!$J$9</f>
        <v xml:space="preserve">Our best Galaxy Z Fold2 5G offer of the year. Get up to $1000 trade-in credit.&lt;sup&gt;ᶿ&lt;/sup&gt; </v>
      </c>
      <c r="BH4" t="str">
        <f>[1]DD_R!$K$9</f>
        <v>Buy now</v>
      </c>
      <c r="BI4" t="str">
        <f>[1]DD_R!$L$9</f>
        <v>https://www.samsung.com/us/smartphones/galaxy-z-fold2-5g/buy/</v>
      </c>
      <c r="BJ4"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K4" t="str">
        <f>[1]DD_R!$N$9</f>
        <v>NULL</v>
      </c>
      <c r="BL4" t="str">
        <f>[1]DD_R!$O$9</f>
        <v>NULL</v>
      </c>
      <c r="BM4" t="str">
        <f>[1]DD_R!$P$9</f>
        <v>NULL</v>
      </c>
      <c r="BN4" s="75" t="s">
        <v>384</v>
      </c>
      <c r="BO4" t="str">
        <f>[1]DD_R!$G$10</f>
        <v>24-IM-A71-A51-HeadImage-500xV.jpg</v>
      </c>
      <c r="BP4" t="str">
        <f>[1]DD_R!$H$10</f>
        <v>Get 50% off Galaxy A71 5G with T-Mobile and Verizon</v>
      </c>
      <c r="BQ4" t="str">
        <f>[1]DD_R!$I$10</f>
        <v xml:space="preserve">Now from only $8.34/mo for 36 mos&lt;sup&gt;⊕&lt;/sup&gt; or $299.99 with eligible trade-in.&lt;sup&gt;ᶿ&lt;/sup&gt; </v>
      </c>
      <c r="BR4" t="str">
        <f>[1]DD_R!$J$10</f>
        <v xml:space="preserve">Save up to $250 instantly and get $75 or more trade-in credit. Treat yourself to blazing fast 5G speeds and incredible features at an amazing value. </v>
      </c>
      <c r="BS4" t="str">
        <f>[1]DD_R!$K$10</f>
        <v>Buy now</v>
      </c>
      <c r="BT4" t="str">
        <f>[1]DD_R!$L$10</f>
        <v>https://www.samsung.com/us/mobile/phones/galaxy-a/buy/?link=galaxy-a71-5g</v>
      </c>
      <c r="BU4"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BV4" t="str">
        <f>[1]DD_R!$N$10</f>
        <v>NULL</v>
      </c>
      <c r="BW4" t="str">
        <f>[1]DD_R!$O$10</f>
        <v>NULL</v>
      </c>
      <c r="BX4" t="str">
        <f>[1]DD_R!$P$10</f>
        <v>NULL</v>
      </c>
      <c r="BY4" s="75" t="s">
        <v>385</v>
      </c>
      <c r="BZ4" t="str">
        <f>[1]DD_R!$G$25</f>
        <v>110-CPO-HeadImage-500xV.jpg</v>
      </c>
      <c r="CA4" t="str">
        <f>[1]DD_R!$H$25</f>
        <v>Save up to $75 instantly on select Certified Pre-owned devices</v>
      </c>
      <c r="CB4" t="str">
        <f>[1]DD_R!$I$25</f>
        <v xml:space="preserve">Starting from only $320. </v>
      </c>
      <c r="CC4" t="str">
        <f>[1]DD_R!$J$25</f>
        <v xml:space="preserve">Refreshed with a brand new charger and accessories in the box, get some of our favorite phones like Galaxy S10, Note9 and more. Covered by a 12-month warranty, just like our new devices. </v>
      </c>
      <c r="CD4" t="str">
        <f>[1]DD_R!$K$25</f>
        <v>Shop now</v>
      </c>
      <c r="CE4" t="str">
        <f>[1]DD_R!$L$25</f>
        <v>https://www.samsung.com/us/search/searchMain/?listType=g&amp;searchTerm=cpo&amp;sort=relevance&amp;size=30&amp;item_type=Phones</v>
      </c>
      <c r="CF4" t="str">
        <f>[1]DD_R!$M$25</f>
        <v>no equivalent URL</v>
      </c>
      <c r="CG4" t="str">
        <f>[1]DD_R!$N$25</f>
        <v>NULL</v>
      </c>
      <c r="CH4" t="str">
        <f>[1]DD_R!$O$25</f>
        <v>NULL</v>
      </c>
      <c r="CI4" t="str">
        <f>[1]DD_R!$P$25</f>
        <v>NULL</v>
      </c>
      <c r="CJ4" s="75" t="s">
        <v>368</v>
      </c>
      <c r="CK4" s="15" t="str">
        <f>[1]MiscModules!$B$8</f>
        <v>Give-wonder-500xV.jpg</v>
      </c>
      <c r="CL4" s="15" t="str">
        <f>[1]MiscModules!$C$8</f>
        <v>NULL</v>
      </c>
      <c r="CM4" s="15" t="str">
        <f>[1]MiscModules!$D$8</f>
        <v>NULL</v>
      </c>
      <c r="CN4"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O4" s="15" t="str">
        <f>[1]MiscModules!$F$8</f>
        <v>Shop now</v>
      </c>
      <c r="CP4" s="15" t="str">
        <f>[1]MiscModules!$G$8</f>
        <v>https://www.samsung.com/us/gift-ideas/</v>
      </c>
      <c r="CQ4"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R4" s="15" t="str">
        <f>[1]MiscModules!$I$8</f>
        <v xml:space="preserve"> NULL</v>
      </c>
      <c r="CS4" s="15" t="str">
        <f>[1]MiscModules!$J$8</f>
        <v xml:space="preserve"> NULL</v>
      </c>
      <c r="CT4" s="15" t="str">
        <f>[1]MiscModules!$K$8</f>
        <v xml:space="preserve"> NULL</v>
      </c>
      <c r="CU4" s="75" t="s">
        <v>369</v>
      </c>
      <c r="CV4" s="15" t="str">
        <f>[1]TC!$B$4</f>
        <v>NULL</v>
      </c>
      <c r="CW4"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4" s="15" t="str">
        <f>[1]TC!$D$4</f>
        <v>NULL</v>
      </c>
      <c r="CY4" s="15" t="str">
        <f>[1]TC!$E$4</f>
        <v>NULL</v>
      </c>
      <c r="CZ4" s="15" t="str">
        <f>[1]TC!$F$4</f>
        <v>NULL</v>
      </c>
      <c r="DA4" s="15">
        <f>[1]TC!$G$4</f>
        <v>0</v>
      </c>
      <c r="DB4" s="15">
        <f>[1]TC!$H$4</f>
        <v>0</v>
      </c>
      <c r="DC4" s="15" t="str">
        <f>[1]TC!$I$4</f>
        <v>NULL</v>
      </c>
      <c r="DD4" s="15" t="str">
        <f>[1]TC!$J$4</f>
        <v>NULL</v>
      </c>
      <c r="DE4" s="15" t="str">
        <f>[1]TC!$K$4</f>
        <v>NULL</v>
      </c>
      <c r="DF4" s="75" t="s">
        <v>386</v>
      </c>
      <c r="DG4" s="15" t="str">
        <f>[1]TC!$B$2</f>
        <v>NULL</v>
      </c>
      <c r="DH4"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4" s="15" t="str">
        <f>[1]TC!$D$2</f>
        <v>NULL</v>
      </c>
      <c r="DJ4" s="15" t="str">
        <f>[1]TC!$E$2</f>
        <v>NULL</v>
      </c>
      <c r="DK4" s="15" t="str">
        <f>[1]TC!$F$2</f>
        <v>NULL</v>
      </c>
      <c r="DL4" s="15" t="str">
        <f>[1]TC!$G$2</f>
        <v>1) https://www.samsung.com/us/trade-in/terms-and-conditions/</v>
      </c>
      <c r="DM4" s="15">
        <f>[1]TC!$H$2</f>
        <v>0</v>
      </c>
      <c r="DN4" s="15" t="str">
        <f>[1]TC!$I$2</f>
        <v>NULL</v>
      </c>
      <c r="DO4" s="15" t="str">
        <f>[1]TC!$J$2</f>
        <v>NULL</v>
      </c>
      <c r="DP4" s="15" t="str">
        <f>[1]TC!$K$2</f>
        <v>NULL</v>
      </c>
      <c r="DQ4" s="75" t="s">
        <v>387</v>
      </c>
      <c r="DR4" s="15" t="str">
        <f>[1]TC!$B$6</f>
        <v>NULL</v>
      </c>
      <c r="DS4"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T4" s="15" t="str">
        <f>[1]TC!$D$6</f>
        <v>NULL</v>
      </c>
      <c r="DU4" s="15" t="str">
        <f>[1]TC!$E$6</f>
        <v>NULL</v>
      </c>
      <c r="DV4" s="15" t="str">
        <f>[1]TC!$F$6</f>
        <v>NULL</v>
      </c>
      <c r="DW4" s="15" t="str">
        <f>[1]TC!$G$6</f>
        <v xml:space="preserve">https://www.samsung.com/us/
</v>
      </c>
      <c r="DX4" s="15">
        <f>[1]TC!$H$6</f>
        <v>0</v>
      </c>
      <c r="DY4" s="15" t="str">
        <f>[1]TC!$I$6</f>
        <v>NULL</v>
      </c>
      <c r="DZ4" s="15" t="str">
        <f>[1]TC!$J$6</f>
        <v>NULL</v>
      </c>
      <c r="EA4" s="15" t="str">
        <f>[1]TC!$K$6</f>
        <v>NULL</v>
      </c>
    </row>
    <row r="5" spans="1:175" ht="75" x14ac:dyDescent="0.25">
      <c r="A5" t="s">
        <v>118</v>
      </c>
      <c r="B5" s="77" t="s">
        <v>392</v>
      </c>
      <c r="C5" s="1" t="s">
        <v>393</v>
      </c>
      <c r="D5" t="s">
        <v>39</v>
      </c>
      <c r="E5" t="s">
        <v>39</v>
      </c>
      <c r="F5" t="s">
        <v>160</v>
      </c>
      <c r="H5" s="74" t="s">
        <v>394</v>
      </c>
      <c r="I5" s="74" t="s">
        <v>389</v>
      </c>
      <c r="J5" s="45" t="s">
        <v>115</v>
      </c>
      <c r="K5" s="15" t="str">
        <f>[1]MiscModules!$B$12</f>
        <v>NULL</v>
      </c>
      <c r="L5" s="15" t="str">
        <f>[1]MiscModules!$C$12</f>
        <v xml:space="preserve">Order by December 19 to get most smartphones, wearables, tablets and laptops delivered by December 25. </v>
      </c>
      <c r="M5" s="15" t="str">
        <f>[1]MiscModules!$D$12</f>
        <v>NULL</v>
      </c>
      <c r="N5" s="15" t="str">
        <f>[1]MiscModules!$E$12</f>
        <v>NULL</v>
      </c>
      <c r="O5" s="15" t="str">
        <f>[1]MiscModules!$F$12</f>
        <v>NULL</v>
      </c>
      <c r="P5" s="15" t="str">
        <f>[1]MiscModules!$G$12</f>
        <v>https://www.samsung.com/us/support/order-faqs/#SHIPPINGANDPAYMENTS</v>
      </c>
      <c r="Q5" s="15" t="str">
        <f>[1]MiscModules!$H$12</f>
        <v xml:space="preserve"> </v>
      </c>
      <c r="R5" s="15" t="str">
        <f>[1]MiscModules!$I$12</f>
        <v>NULL</v>
      </c>
      <c r="S5" s="15" t="str">
        <f>[1]MiscModules!$J$12</f>
        <v>NULL</v>
      </c>
      <c r="T5" s="75" t="s">
        <v>361</v>
      </c>
      <c r="U5" s="15" t="str">
        <f>[1]MiscModules!$B$17</f>
        <v>Last_Minute_Deals_T2_KV.jpg</v>
      </c>
      <c r="V5" s="15" t="str">
        <f>[1]MiscModules!$C$17</f>
        <v>Last-minute gifts just in time</v>
      </c>
      <c r="W5" s="15" t="str">
        <f>[1]MiscModules!$D$17</f>
        <v>NULL</v>
      </c>
      <c r="X5" s="15" t="str">
        <f>[1]MiscModules!$E$17</f>
        <v>NULL</v>
      </c>
      <c r="Y5" s="15" t="str">
        <f>[1]MiscModules!$F$17</f>
        <v xml:space="preserve"> NULL</v>
      </c>
      <c r="Z5" s="15" t="str">
        <f>[1]MiscModules!$G$17</f>
        <v>https://www.samsung.com/us/shop/all-deals/</v>
      </c>
      <c r="AA5"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5" s="15" t="str">
        <f>[1]MiscModules!$I$17</f>
        <v xml:space="preserve"> NULL</v>
      </c>
      <c r="AC5" s="15" t="str">
        <f>[1]MiscModules!$J$17</f>
        <v xml:space="preserve"> NULL</v>
      </c>
      <c r="AD5" s="15" t="str">
        <f>[1]MiscModules!$K$17</f>
        <v xml:space="preserve"> NULL</v>
      </c>
      <c r="AE5" s="76">
        <v>44184</v>
      </c>
      <c r="AF5" s="15" t="s">
        <v>362</v>
      </c>
      <c r="AG5" s="75" t="s">
        <v>363</v>
      </c>
      <c r="AH5" s="15" t="str">
        <f>[1]MiscModules!$B$2</f>
        <v>NULL</v>
      </c>
      <c r="AI5" s="15" t="str">
        <f>[1]MiscModules!$C$2</f>
        <v>NULL</v>
      </c>
      <c r="AJ5" s="15" t="str">
        <f>[1]MiscModules!$D$2</f>
        <v xml:space="preserve">It’s not too late to give wonder. </v>
      </c>
      <c r="AK5" s="15" t="str">
        <f>[1]MiscModules!$E$2</f>
        <v xml:space="preserve">Plus,there is still time to redeem your exclusive $20 instant credit toward eligible accessories with smartphone purchase. </v>
      </c>
      <c r="AL5" s="15" t="str">
        <f>[1]MiscModules!$F$2</f>
        <v xml:space="preserve"> NULL</v>
      </c>
      <c r="AM5" s="15" t="str">
        <f>[1]MiscModules!$G$2</f>
        <v>https://www.samsung.com/us/shop/all-deals/</v>
      </c>
      <c r="AN5"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5" s="15" t="str">
        <f>[1]MiscModules!$I$2</f>
        <v xml:space="preserve"> NULL</v>
      </c>
      <c r="AP5" s="15" t="str">
        <f>[1]MiscModules!$J$2</f>
        <v xml:space="preserve"> NULL</v>
      </c>
      <c r="AQ5" s="15" t="str">
        <f>[1]MiscModules!$K$2</f>
        <v xml:space="preserve"> NULL</v>
      </c>
      <c r="AR5" s="75" t="s">
        <v>384</v>
      </c>
      <c r="AS5" t="str">
        <f>[1]DD_R!$G$10</f>
        <v>24-IM-A71-A51-HeadImage-500xV.jpg</v>
      </c>
      <c r="AT5" t="str">
        <f>[1]DD_R!$H$10</f>
        <v>Get 50% off Galaxy A71 5G with T-Mobile and Verizon</v>
      </c>
      <c r="AU5" t="str">
        <f>[1]DD_R!$I$10</f>
        <v xml:space="preserve">Now from only $8.34/mo for 36 mos&lt;sup&gt;⊕&lt;/sup&gt; or $299.99 with eligible trade-in.&lt;sup&gt;ᶿ&lt;/sup&gt; </v>
      </c>
      <c r="AV5" t="str">
        <f>[1]DD_R!$J$10</f>
        <v xml:space="preserve">Save up to $250 instantly and get $75 or more trade-in credit. Treat yourself to blazing fast 5G speeds and incredible features at an amazing value. </v>
      </c>
      <c r="AW5" t="str">
        <f>[1]DD_R!$K$10</f>
        <v>Buy now</v>
      </c>
      <c r="AX5" t="str">
        <f>[1]DD_R!$L$10</f>
        <v>https://www.samsung.com/us/mobile/phones/galaxy-a/buy/?link=galaxy-a71-5g</v>
      </c>
      <c r="AY5"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AZ5" t="str">
        <f>[1]DD_R!$N$10</f>
        <v>NULL</v>
      </c>
      <c r="BA5" t="str">
        <f>[1]DD_R!$O$10</f>
        <v>NULL</v>
      </c>
      <c r="BB5" t="str">
        <f>[1]DD_R!$P$10</f>
        <v>NULL</v>
      </c>
      <c r="BC5" s="75" t="s">
        <v>383</v>
      </c>
      <c r="BD5" t="str">
        <f>[1]DD_R!$G$8</f>
        <v>110_IM_HeadImage_MB_Galaxy_500xV.jpg</v>
      </c>
      <c r="BE5" t="str">
        <f>[1]DD_R!$H$8</f>
        <v xml:space="preserve">Get up to $250 off select Galaxy S20 5G </v>
      </c>
      <c r="BF5" t="str">
        <f>[1]DD_R!$I$8</f>
        <v>Now from only $13.62/mo for 36 mos&lt;sup&gt;⊕&lt;/sup&gt; or $489.99 with eligible trade-in.&lt;sup&gt;ᶿ&lt;/sup&gt;</v>
      </c>
      <c r="BG5" t="str">
        <f>[1]DD_R!$J$8</f>
        <v xml:space="preserve">Get up to $250 off instantly and up to $310 trade-in credit&lt;sup&gt;ᶿ&lt;/sup&gt; toward your next Galaxy S20 5G, S20+ 5G or S20 Ultra 5G. </v>
      </c>
      <c r="BH5" t="str">
        <f>[1]DD_R!$K$8</f>
        <v>Buy now</v>
      </c>
      <c r="BI5" t="str">
        <f>[1]DD_R!$L$8</f>
        <v>https://www.samsung.com/us/mobile/galaxy-s20-5g/buy/galaxy-s20-5g-128gb-unlocked-sm-g981uzaaxaa/</v>
      </c>
      <c r="BJ5"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K5" t="str">
        <f>[1]DD_R!$N$8</f>
        <v>NULL</v>
      </c>
      <c r="BL5" t="str">
        <f>[1]DD_R!$O$8</f>
        <v>NULL</v>
      </c>
      <c r="BM5" t="str">
        <f>[1]DD_R!$P$8</f>
        <v>NULL</v>
      </c>
      <c r="BN5" s="75" t="s">
        <v>382</v>
      </c>
      <c r="BO5" t="str">
        <f>[1]DD_R!$G$9</f>
        <v>23_IM_HeadImage_MB_Fold-500xV.jpg</v>
      </c>
      <c r="BP5" t="str">
        <f>[1]DD_R!$H$9</f>
        <v xml:space="preserve">Get up to 50% off Galaxy Z Fold2 5G </v>
      </c>
      <c r="BQ5" t="str">
        <f>[1]DD_R!$I$9</f>
        <v>Now from only $20.84/mo for 48 mos&lt;sup&gt;⊕&lt;/sup&gt; or $999.99 with eligible trade-in.&lt;sup&gt;ᶿ&lt;/sup&gt;</v>
      </c>
      <c r="BR5" t="str">
        <f>[1]DD_R!$J$9</f>
        <v xml:space="preserve">Our best Galaxy Z Fold2 5G offer of the year. Get up to $1000 trade-in credit.&lt;sup&gt;ᶿ&lt;/sup&gt; </v>
      </c>
      <c r="BS5" t="str">
        <f>[1]DD_R!$K$9</f>
        <v>Buy now</v>
      </c>
      <c r="BT5" t="str">
        <f>[1]DD_R!$L$9</f>
        <v>https://www.samsung.com/us/smartphones/galaxy-z-fold2-5g/buy/</v>
      </c>
      <c r="BU5"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V5" t="str">
        <f>[1]DD_R!$N$9</f>
        <v>NULL</v>
      </c>
      <c r="BW5" t="str">
        <f>[1]DD_R!$O$9</f>
        <v>NULL</v>
      </c>
      <c r="BX5" t="str">
        <f>[1]DD_R!$P$9</f>
        <v>NULL</v>
      </c>
      <c r="BY5" s="75" t="s">
        <v>385</v>
      </c>
      <c r="BZ5" t="str">
        <f>[1]DD_R!$G$25</f>
        <v>110-CPO-HeadImage-500xV.jpg</v>
      </c>
      <c r="CA5" t="str">
        <f>[1]DD_R!$H$25</f>
        <v>Save up to $75 instantly on select Certified Pre-owned devices</v>
      </c>
      <c r="CB5" t="str">
        <f>[1]DD_R!$I$25</f>
        <v xml:space="preserve">Starting from only $320. </v>
      </c>
      <c r="CC5" t="str">
        <f>[1]DD_R!$J$25</f>
        <v xml:space="preserve">Refreshed with a brand new charger and accessories in the box, get some of our favorite phones like Galaxy S10, Note9 and more. Covered by a 12-month warranty, just like our new devices. </v>
      </c>
      <c r="CD5" t="str">
        <f>[1]DD_R!$K$25</f>
        <v>Shop now</v>
      </c>
      <c r="CE5" t="str">
        <f>[1]DD_R!$L$25</f>
        <v>https://www.samsung.com/us/search/searchMain/?listType=g&amp;searchTerm=cpo&amp;sort=relevance&amp;size=30&amp;item_type=Phones</v>
      </c>
      <c r="CF5" t="str">
        <f>[1]DD_R!$M$25</f>
        <v>no equivalent URL</v>
      </c>
      <c r="CG5" t="str">
        <f>[1]DD_R!$N$25</f>
        <v>NULL</v>
      </c>
      <c r="CH5" t="str">
        <f>[1]DD_R!$O$25</f>
        <v>NULL</v>
      </c>
      <c r="CI5" t="str">
        <f>[1]DD_R!$P$25</f>
        <v>NULL</v>
      </c>
      <c r="CJ5" s="75" t="s">
        <v>368</v>
      </c>
      <c r="CK5" s="15" t="str">
        <f>[1]MiscModules!$B$8</f>
        <v>Give-wonder-500xV.jpg</v>
      </c>
      <c r="CL5" s="15" t="str">
        <f>[1]MiscModules!$C$8</f>
        <v>NULL</v>
      </c>
      <c r="CM5" s="15" t="str">
        <f>[1]MiscModules!$D$8</f>
        <v>NULL</v>
      </c>
      <c r="CN5"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O5" s="15" t="str">
        <f>[1]MiscModules!$F$8</f>
        <v>Shop now</v>
      </c>
      <c r="CP5" s="15" t="str">
        <f>[1]MiscModules!$G$8</f>
        <v>https://www.samsung.com/us/gift-ideas/</v>
      </c>
      <c r="CQ5"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R5" s="15" t="str">
        <f>[1]MiscModules!$I$8</f>
        <v xml:space="preserve"> NULL</v>
      </c>
      <c r="CS5" s="15" t="str">
        <f>[1]MiscModules!$J$8</f>
        <v xml:space="preserve"> NULL</v>
      </c>
      <c r="CT5" s="15" t="str">
        <f>[1]MiscModules!$K$8</f>
        <v xml:space="preserve"> NULL</v>
      </c>
      <c r="CU5" s="75" t="s">
        <v>369</v>
      </c>
      <c r="CV5" s="15" t="str">
        <f>[1]TC!$B$4</f>
        <v>NULL</v>
      </c>
      <c r="CW5"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5" s="15" t="str">
        <f>[1]TC!$D$4</f>
        <v>NULL</v>
      </c>
      <c r="CY5" s="15" t="str">
        <f>[1]TC!$E$4</f>
        <v>NULL</v>
      </c>
      <c r="CZ5" s="15" t="str">
        <f>[1]TC!$F$4</f>
        <v>NULL</v>
      </c>
      <c r="DA5" s="15">
        <f>[1]TC!$G$4</f>
        <v>0</v>
      </c>
      <c r="DB5" s="15">
        <f>[1]TC!$H$4</f>
        <v>0</v>
      </c>
      <c r="DC5" s="15" t="str">
        <f>[1]TC!$I$4</f>
        <v>NULL</v>
      </c>
      <c r="DD5" s="15" t="str">
        <f>[1]TC!$J$4</f>
        <v>NULL</v>
      </c>
      <c r="DE5" s="15" t="str">
        <f>[1]TC!$K$4</f>
        <v>NULL</v>
      </c>
      <c r="DF5" s="75" t="s">
        <v>386</v>
      </c>
      <c r="DG5" s="15" t="str">
        <f>[1]TC!$B$2</f>
        <v>NULL</v>
      </c>
      <c r="DH5"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5" s="15" t="str">
        <f>[1]TC!$D$2</f>
        <v>NULL</v>
      </c>
      <c r="DJ5" s="15" t="str">
        <f>[1]TC!$E$2</f>
        <v>NULL</v>
      </c>
      <c r="DK5" s="15" t="str">
        <f>[1]TC!$F$2</f>
        <v>NULL</v>
      </c>
      <c r="DL5" s="15" t="str">
        <f>[1]TC!$G$2</f>
        <v>1) https://www.samsung.com/us/trade-in/terms-and-conditions/</v>
      </c>
      <c r="DM5" s="15">
        <f>[1]TC!$H$2</f>
        <v>0</v>
      </c>
      <c r="DN5" s="15" t="str">
        <f>[1]TC!$I$2</f>
        <v>NULL</v>
      </c>
      <c r="DO5" s="15" t="str">
        <f>[1]TC!$J$2</f>
        <v>NULL</v>
      </c>
      <c r="DP5" s="15" t="str">
        <f>[1]TC!$K$2</f>
        <v>NULL</v>
      </c>
      <c r="DQ5" s="75" t="s">
        <v>387</v>
      </c>
      <c r="DR5" s="15" t="str">
        <f>[1]TC!$B$6</f>
        <v>NULL</v>
      </c>
      <c r="DS5"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T5" s="15" t="str">
        <f>[1]TC!$D$6</f>
        <v>NULL</v>
      </c>
      <c r="DU5" s="15" t="str">
        <f>[1]TC!$E$6</f>
        <v>NULL</v>
      </c>
      <c r="DV5" s="15" t="str">
        <f>[1]TC!$F$6</f>
        <v>NULL</v>
      </c>
      <c r="DW5" s="15" t="str">
        <f>[1]TC!$G$6</f>
        <v xml:space="preserve">https://www.samsung.com/us/
</v>
      </c>
      <c r="DX5" s="15">
        <f>[1]TC!$H$6</f>
        <v>0</v>
      </c>
      <c r="DY5" s="15" t="str">
        <f>[1]TC!$I$6</f>
        <v>NULL</v>
      </c>
      <c r="DZ5" s="15" t="str">
        <f>[1]TC!$J$6</f>
        <v>NULL</v>
      </c>
      <c r="EA5" s="15" t="str">
        <f>[1]TC!$K$6</f>
        <v>NULL</v>
      </c>
    </row>
    <row r="6" spans="1:175" ht="75" x14ac:dyDescent="0.25">
      <c r="A6" t="s">
        <v>118</v>
      </c>
      <c r="B6" s="77" t="s">
        <v>392</v>
      </c>
      <c r="C6" s="1" t="s">
        <v>393</v>
      </c>
      <c r="D6" t="s">
        <v>39</v>
      </c>
      <c r="E6" t="s">
        <v>39</v>
      </c>
      <c r="F6" t="s">
        <v>370</v>
      </c>
      <c r="H6" s="74" t="s">
        <v>394</v>
      </c>
      <c r="I6" s="74" t="s">
        <v>389</v>
      </c>
      <c r="J6" s="45" t="s">
        <v>115</v>
      </c>
      <c r="K6" s="15" t="str">
        <f>[1]MiscModules!$B$13</f>
        <v>NULL</v>
      </c>
      <c r="L6" s="15" t="str">
        <f>[1]MiscModules!$C$13</f>
        <v xml:space="preserve">Order by December 19 to get most smartphones, wearables, tablets and laptops delivered by December 25. </v>
      </c>
      <c r="M6" s="15" t="str">
        <f>[1]MiscModules!$D$13</f>
        <v>NULL</v>
      </c>
      <c r="N6" s="15" t="str">
        <f>[1]MiscModules!$E$13</f>
        <v>NULL</v>
      </c>
      <c r="O6" s="15" t="str">
        <f>[1]MiscModules!$F$13</f>
        <v>NULL</v>
      </c>
      <c r="P6" s="15" t="str">
        <f>[1]MiscModules!$G$13</f>
        <v>https://www.samsung.com/us/support/order-faqs/#SHIPPINGANDPAYMENTS</v>
      </c>
      <c r="Q6" s="15" t="str">
        <f>[1]MiscModules!$H$13</f>
        <v xml:space="preserve"> </v>
      </c>
      <c r="R6" s="15" t="str">
        <f>[1]MiscModules!$I$13</f>
        <v>NULL</v>
      </c>
      <c r="S6" s="15" t="str">
        <f>[1]MiscModules!$J$13</f>
        <v>NULL</v>
      </c>
      <c r="T6" s="75" t="s">
        <v>361</v>
      </c>
      <c r="U6" s="15" t="str">
        <f>[1]MiscModules!$B$18</f>
        <v>Last_Minute_Deals_T2_KV.jpg</v>
      </c>
      <c r="V6" s="15" t="str">
        <f>[1]MiscModules!$C$18</f>
        <v>Last-minute gifts just in time</v>
      </c>
      <c r="W6" s="15" t="str">
        <f>[1]MiscModules!$D$18</f>
        <v>NULL</v>
      </c>
      <c r="X6" s="15" t="str">
        <f>[1]MiscModules!$E$18</f>
        <v>NULL</v>
      </c>
      <c r="Y6" s="15" t="str">
        <f>[1]MiscModules!$F$18</f>
        <v xml:space="preserve"> NULL</v>
      </c>
      <c r="Z6" s="15" t="str">
        <f>[1]MiscModules!$G$18</f>
        <v>https://www.samsung.com/us/shop/all-deals/</v>
      </c>
      <c r="AA6"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6" s="15" t="str">
        <f>[1]MiscModules!$I$18</f>
        <v xml:space="preserve"> NULL</v>
      </c>
      <c r="AC6" s="15" t="str">
        <f>[1]MiscModules!$J$18</f>
        <v xml:space="preserve"> NULL</v>
      </c>
      <c r="AD6" s="15" t="str">
        <f>[1]MiscModules!$K$18</f>
        <v xml:space="preserve"> NULL</v>
      </c>
      <c r="AE6" s="76">
        <v>44184</v>
      </c>
      <c r="AF6" s="15" t="s">
        <v>362</v>
      </c>
      <c r="AG6" s="75" t="s">
        <v>363</v>
      </c>
      <c r="AH6" s="15" t="str">
        <f>[1]MiscModules!$B$3</f>
        <v>NULL</v>
      </c>
      <c r="AI6" s="15" t="str">
        <f>[1]MiscModules!$C$3</f>
        <v>NULL</v>
      </c>
      <c r="AJ6" s="15" t="str">
        <f>[1]MiscModules!$D$3</f>
        <v xml:space="preserve">It’s not too late to give wonder. </v>
      </c>
      <c r="AK6" s="15" t="str">
        <f>[1]MiscModules!$E$3</f>
        <v>NULL</v>
      </c>
      <c r="AL6" s="15" t="str">
        <f>[1]MiscModules!$F$3</f>
        <v xml:space="preserve"> NULL</v>
      </c>
      <c r="AM6" s="15" t="str">
        <f>[1]MiscModules!$G$3</f>
        <v>https://www.samsung.com/us/shop/all-deals/</v>
      </c>
      <c r="AN6"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6" s="15" t="str">
        <f>[1]MiscModules!$I$3</f>
        <v xml:space="preserve"> NULL</v>
      </c>
      <c r="AP6" s="15" t="str">
        <f>[1]MiscModules!$J$3</f>
        <v xml:space="preserve"> NULL</v>
      </c>
      <c r="AQ6" s="15" t="str">
        <f>[1]MiscModules!$K$3</f>
        <v xml:space="preserve"> NULL</v>
      </c>
      <c r="AR6" s="75" t="s">
        <v>384</v>
      </c>
      <c r="AS6" t="str">
        <f>[1]DD_NR!$G$10</f>
        <v>24-IM-A71-A51-HeadImage-500xV.jpg</v>
      </c>
      <c r="AT6" t="str">
        <f>[1]DD_NR!$H$10</f>
        <v>Get 50% off Galaxy A71 5G with T-Mobile and Verizon</v>
      </c>
      <c r="AU6" t="str">
        <f>[1]DD_NR!$I$10</f>
        <v xml:space="preserve">Now from only only $8.34/mo for 36 mos&lt;sup&gt;⊕&lt;/sup&gt; or $299.99 with eligible trade-in.&lt;sup&gt;ᶿ&lt;/sup&gt; </v>
      </c>
      <c r="AV6" t="str">
        <f>[1]DD_NR!$J$10</f>
        <v xml:space="preserve">Save up to $250 instantly and get $75 or more trade-in credit. Treat yourself to blazing fast 5G speeds and incredible features at an amazing value. </v>
      </c>
      <c r="AW6" t="str">
        <f>[1]DD_NR!$K$10</f>
        <v>Buy now</v>
      </c>
      <c r="AX6" t="str">
        <f>[1]DD_NR!$L$10</f>
        <v>https://www.samsung.com/us/mobile/phones/galaxy-a/buy/?link=galaxy-a71-5g</v>
      </c>
      <c r="AY6" t="str">
        <f>[1]DD_NR!$M$10</f>
        <v>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v>
      </c>
      <c r="AZ6" t="str">
        <f>[1]DD_NR!$N$10</f>
        <v>NULL</v>
      </c>
      <c r="BA6" t="str">
        <f>[1]DD_NR!$O$10</f>
        <v>NULL</v>
      </c>
      <c r="BB6" t="str">
        <f>[1]DD_NR!$P$10</f>
        <v>NULL</v>
      </c>
      <c r="BC6" s="75" t="s">
        <v>383</v>
      </c>
      <c r="BD6" t="str">
        <f>[1]DD_NR!$G$8</f>
        <v>110_IM_HeadImage_MB_Galaxy_500xV.jpg</v>
      </c>
      <c r="BE6" t="str">
        <f>[1]DD_NR!$H$8</f>
        <v xml:space="preserve">Get up to $250 off select Galaxy S20 5G </v>
      </c>
      <c r="BF6" t="str">
        <f>[1]DD_NR!$I$8</f>
        <v>Now from only $13.62/mo for 36 mos&lt;sup&gt;⊕&lt;/sup&gt; or $489.99 with eligible trade-in.&lt;sup&gt;ᶿ&lt;/sup&gt;</v>
      </c>
      <c r="BG6" t="str">
        <f>[1]DD_NR!$J$8</f>
        <v xml:space="preserve">Get up to $250 off instantly and up to $310 trade-in credit&lt;sup&gt;ᶿ&lt;/sup&gt; toward your next Galaxy S20 5G, S20+ 5G or S20 Ultra 5G. </v>
      </c>
      <c r="BH6" t="str">
        <f>[1]DD_NR!$K$8</f>
        <v>Buy now</v>
      </c>
      <c r="BI6" t="str">
        <f>[1]DD_NR!$L$8</f>
        <v>https://www.samsung.com/us/mobile/galaxy-s20-5g/buy/galaxy-s20-5g-128gb-unlocked-sm-g981uzaaxaa/</v>
      </c>
      <c r="BJ6" t="str">
        <f>[1]DD_NR!$M$8</f>
        <v>https://shopsamsung.page.link?link=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efr=1</v>
      </c>
      <c r="BK6" t="str">
        <f>[1]DD_NR!$N$8</f>
        <v>NULL</v>
      </c>
      <c r="BL6" t="str">
        <f>[1]DD_NR!$O$8</f>
        <v>NULL</v>
      </c>
      <c r="BM6" t="str">
        <f>[1]DD_NR!$P$8</f>
        <v>NULL</v>
      </c>
      <c r="BN6" s="75" t="s">
        <v>382</v>
      </c>
      <c r="BO6" t="str">
        <f>[1]DD_NR!$G$9</f>
        <v>23_IM_HeadImage_MB_Fold-500xV.jpg</v>
      </c>
      <c r="BP6" t="str">
        <f>[1]DD_NR!$H$9</f>
        <v xml:space="preserve">Get up to 50% off Galaxy Z Fold2 5G </v>
      </c>
      <c r="BQ6" t="str">
        <f>[1]DD_NR!$I$9</f>
        <v>Now from only $20.84/mo for 48 mos&lt;sup&gt;⊕&lt;/sup&gt; or $999.99 with eligible trade-in.&lt;sup&gt;ᶿ&lt;/sup&gt;</v>
      </c>
      <c r="BR6" t="str">
        <f>[1]DD_NR!$J$9</f>
        <v xml:space="preserve">Our best Galaxy Z Fold2 5G offer of the year. Get up to $1000 trade-in credit.&lt;sup&gt;ᶿ&lt;/sup&gt; </v>
      </c>
      <c r="BS6" t="str">
        <f>[1]DD_NR!$K$9</f>
        <v>Buy now</v>
      </c>
      <c r="BT6" t="str">
        <f>[1]DD_NR!$L$9</f>
        <v>https://www.samsung.com/us/smartphones/galaxy-z-fold2-5g/buy/</v>
      </c>
      <c r="BU6" t="str">
        <f>[1]DD_NR!$M$9</f>
        <v>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v>
      </c>
      <c r="BV6" t="str">
        <f>[1]DD_NR!$N$9</f>
        <v>NULL</v>
      </c>
      <c r="BW6" t="str">
        <f>[1]DD_NR!$O$9</f>
        <v>NULL</v>
      </c>
      <c r="BX6" t="str">
        <f>[1]DD_NR!$P$9</f>
        <v>NULL</v>
      </c>
      <c r="BY6" s="75" t="s">
        <v>385</v>
      </c>
      <c r="BZ6" t="str">
        <f>[1]DD_NR!$G$25</f>
        <v>110-CPO-HeadImage-500xV.jpg</v>
      </c>
      <c r="CA6" t="str">
        <f>[1]DD_NR!$H$25</f>
        <v>Save up to $75 instantly on select Certified Pre-owned devices</v>
      </c>
      <c r="CB6" t="str">
        <f>[1]DD_NR!$I$25</f>
        <v xml:space="preserve">Starting from only $320. </v>
      </c>
      <c r="CC6" t="str">
        <f>[1]DD_NR!$J$25</f>
        <v xml:space="preserve">Refreshed with a brand new charger and accessories in the box, get some of our favorite phones like Galaxy S10, Note9 and more. Covered by a 12-month warranty, just like our new devices. </v>
      </c>
      <c r="CD6" t="str">
        <f>[1]DD_NR!$K$25</f>
        <v>Shop now</v>
      </c>
      <c r="CE6" t="str">
        <f>[1]DD_NR!$L$25</f>
        <v>https://www.samsung.com/us/search/searchMain/?listType=g&amp;searchTerm=cpo&amp;sort=relevance&amp;size=30&amp;item_type=Phones</v>
      </c>
      <c r="CF6" t="str">
        <f>[1]DD_NR!$M$25</f>
        <v>no equivalent page</v>
      </c>
      <c r="CG6" t="str">
        <f>[1]DD_NR!$N$25</f>
        <v>NULL</v>
      </c>
      <c r="CH6" t="str">
        <f>[1]DD_NR!$O$25</f>
        <v>NULL</v>
      </c>
      <c r="CI6" t="str">
        <f>[1]DD_NR!$P$25</f>
        <v>NULL</v>
      </c>
      <c r="CJ6" s="75" t="s">
        <v>368</v>
      </c>
      <c r="CK6" s="15" t="str">
        <f>[1]MiscModules!$B$9</f>
        <v>Give-wonder-500xV.jpg</v>
      </c>
      <c r="CL6" s="15" t="str">
        <f>[1]MiscModules!$C$9</f>
        <v>NULL</v>
      </c>
      <c r="CM6" s="15" t="str">
        <f>[1]MiscModules!$D$9</f>
        <v>NULL</v>
      </c>
      <c r="CN6" s="15" t="str">
        <f>[1]MiscModules!$E$9</f>
        <v xml:space="preserve">Discover even more exclusive offers on your favorite products. Unlock the power of smart and savvy gifting with our holiday gift guide. </v>
      </c>
      <c r="CO6" s="15" t="str">
        <f>[1]MiscModules!$F$9</f>
        <v>Shop now</v>
      </c>
      <c r="CP6" s="15" t="str">
        <f>[1]MiscModules!$G$9</f>
        <v>https://www.samsung.com/us/gift-ideas/</v>
      </c>
      <c r="CQ6"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CR6" s="15" t="str">
        <f>[1]MiscModules!$I$9</f>
        <v xml:space="preserve"> NULL</v>
      </c>
      <c r="CS6" s="15" t="str">
        <f>[1]MiscModules!$J$9</f>
        <v xml:space="preserve"> NULL</v>
      </c>
      <c r="CT6" s="15" t="str">
        <f>[1]MiscModules!$K$9</f>
        <v xml:space="preserve"> NULL</v>
      </c>
      <c r="CU6" s="75" t="s">
        <v>369</v>
      </c>
      <c r="CV6" s="15" t="str">
        <f>[1]TC!$B$5</f>
        <v>NULL</v>
      </c>
      <c r="CW6" s="15" t="str">
        <f>[1]TC!$C$5</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6" s="15" t="str">
        <f>[1]TC!$D$5</f>
        <v>NULL</v>
      </c>
      <c r="CY6" s="15" t="str">
        <f>[1]TC!$E$5</f>
        <v>NULL</v>
      </c>
      <c r="CZ6" s="15" t="str">
        <f>[1]TC!$F$5</f>
        <v>NULL</v>
      </c>
      <c r="DA6" s="15">
        <f>[1]TC!$G$5</f>
        <v>0</v>
      </c>
      <c r="DB6" s="15">
        <f>[1]TC!$H$5</f>
        <v>0</v>
      </c>
      <c r="DC6" s="15" t="str">
        <f>[1]TC!$I$5</f>
        <v>NULL</v>
      </c>
      <c r="DD6" s="15" t="str">
        <f>[1]TC!$J$5</f>
        <v>NULL</v>
      </c>
      <c r="DE6" s="15" t="str">
        <f>[1]TC!$K$5</f>
        <v>NULL</v>
      </c>
      <c r="DF6" s="75" t="s">
        <v>386</v>
      </c>
      <c r="DG6" s="15" t="str">
        <f>[1]TC!$B$3</f>
        <v>NULL</v>
      </c>
      <c r="DH6" s="15" t="str">
        <f>[1]TC!$C$3</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6" s="15" t="str">
        <f>[1]TC!$D$3</f>
        <v>NULL</v>
      </c>
      <c r="DJ6" s="15" t="str">
        <f>[1]TC!$E$3</f>
        <v>NULL</v>
      </c>
      <c r="DK6" s="15" t="str">
        <f>[1]TC!$F$3</f>
        <v>NULL</v>
      </c>
      <c r="DL6" s="15" t="str">
        <f>[1]TC!$G$3</f>
        <v>1) https://www.samsung.com/us/trade-in/terms-and-conditions/</v>
      </c>
      <c r="DM6" s="15">
        <f>[1]TC!$H$3</f>
        <v>0</v>
      </c>
      <c r="DN6" s="15" t="str">
        <f>[1]TC!$I$3</f>
        <v>NULL</v>
      </c>
      <c r="DO6" s="15" t="str">
        <f>[1]TC!$J$3</f>
        <v>NULL</v>
      </c>
      <c r="DP6" s="15" t="str">
        <f>[1]TC!$K$3</f>
        <v>NULL</v>
      </c>
    </row>
    <row r="7" spans="1:175" ht="75" x14ac:dyDescent="0.25">
      <c r="A7" t="s">
        <v>118</v>
      </c>
      <c r="B7" s="77" t="s">
        <v>116</v>
      </c>
      <c r="C7" s="1" t="s">
        <v>373</v>
      </c>
      <c r="D7" t="s">
        <v>39</v>
      </c>
      <c r="E7" t="s">
        <v>39</v>
      </c>
      <c r="F7" t="s">
        <v>160</v>
      </c>
      <c r="H7" s="74" t="s">
        <v>395</v>
      </c>
      <c r="I7" s="74" t="s">
        <v>360</v>
      </c>
      <c r="J7" s="45" t="s">
        <v>115</v>
      </c>
      <c r="K7" s="15" t="str">
        <f>[1]MiscModules!$B$12</f>
        <v>NULL</v>
      </c>
      <c r="L7" s="15" t="str">
        <f>[1]MiscModules!$C$12</f>
        <v xml:space="preserve">Order by December 19 to get most smartphones, wearables, tablets and laptops delivered by December 25. </v>
      </c>
      <c r="M7" s="15" t="str">
        <f>[1]MiscModules!$D$12</f>
        <v>NULL</v>
      </c>
      <c r="N7" s="15" t="str">
        <f>[1]MiscModules!$E$12</f>
        <v>NULL</v>
      </c>
      <c r="O7" s="15" t="str">
        <f>[1]MiscModules!$F$12</f>
        <v>NULL</v>
      </c>
      <c r="P7" s="15" t="str">
        <f>[1]MiscModules!$G$12</f>
        <v>https://www.samsung.com/us/support/order-faqs/#SHIPPINGANDPAYMENTS</v>
      </c>
      <c r="Q7" s="15" t="str">
        <f>[1]MiscModules!$H$12</f>
        <v xml:space="preserve"> </v>
      </c>
      <c r="R7" s="15" t="str">
        <f>[1]MiscModules!$I$12</f>
        <v>NULL</v>
      </c>
      <c r="S7" s="15" t="str">
        <f>[1]MiscModules!$J$12</f>
        <v>NULL</v>
      </c>
      <c r="T7" s="75" t="s">
        <v>361</v>
      </c>
      <c r="U7" s="15" t="str">
        <f>[1]MiscModules!$B$17</f>
        <v>Last_Minute_Deals_T2_KV.jpg</v>
      </c>
      <c r="V7" s="15" t="str">
        <f>[1]MiscModules!$C$17</f>
        <v>Last-minute gifts just in time</v>
      </c>
      <c r="W7" s="15" t="str">
        <f>[1]MiscModules!$D$17</f>
        <v>NULL</v>
      </c>
      <c r="X7" s="15" t="str">
        <f>[1]MiscModules!$E$17</f>
        <v>NULL</v>
      </c>
      <c r="Y7" s="15" t="str">
        <f>[1]MiscModules!$F$17</f>
        <v xml:space="preserve"> NULL</v>
      </c>
      <c r="Z7" s="15" t="str">
        <f>[1]MiscModules!$G$17</f>
        <v>https://www.samsung.com/us/shop/all-deals/</v>
      </c>
      <c r="AA7"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7" s="15" t="str">
        <f>[1]MiscModules!$I$17</f>
        <v xml:space="preserve"> NULL</v>
      </c>
      <c r="AC7" s="15" t="str">
        <f>[1]MiscModules!$J$17</f>
        <v xml:space="preserve"> NULL</v>
      </c>
      <c r="AD7" s="15" t="str">
        <f>[1]MiscModules!$K$17</f>
        <v xml:space="preserve"> NULL</v>
      </c>
      <c r="AE7" s="76">
        <v>44184</v>
      </c>
      <c r="AF7" s="15" t="s">
        <v>362</v>
      </c>
      <c r="AG7" s="75" t="s">
        <v>363</v>
      </c>
      <c r="AH7" s="15" t="str">
        <f>[1]MiscModules!$B$2</f>
        <v>NULL</v>
      </c>
      <c r="AI7" s="15" t="str">
        <f>[1]MiscModules!$C$2</f>
        <v>NULL</v>
      </c>
      <c r="AJ7" s="15" t="str">
        <f>[1]MiscModules!$D$2</f>
        <v xml:space="preserve">It’s not too late to give wonder. </v>
      </c>
      <c r="AK7" s="15" t="str">
        <f>[1]MiscModules!$E$2</f>
        <v xml:space="preserve">Plus,there is still time to redeem your exclusive $20 instant credit toward eligible accessories with smartphone purchase. </v>
      </c>
      <c r="AL7" s="15" t="str">
        <f>[1]MiscModules!$F$2</f>
        <v xml:space="preserve"> NULL</v>
      </c>
      <c r="AM7" s="15" t="str">
        <f>[1]MiscModules!$G$2</f>
        <v>https://www.samsung.com/us/shop/all-deals/</v>
      </c>
      <c r="AN7"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7" s="15" t="str">
        <f>[1]MiscModules!$I$2</f>
        <v xml:space="preserve"> NULL</v>
      </c>
      <c r="AP7" s="15" t="str">
        <f>[1]MiscModules!$J$2</f>
        <v xml:space="preserve"> NULL</v>
      </c>
      <c r="AQ7" s="15" t="str">
        <f>[1]MiscModules!$K$2</f>
        <v xml:space="preserve"> NULL</v>
      </c>
      <c r="AR7" s="75" t="s">
        <v>396</v>
      </c>
      <c r="AS7" t="str">
        <f>[1]DD_R!$G$12</f>
        <v>111_CE_MB_TABLET_500xV.jpg</v>
      </c>
      <c r="AT7" t="str">
        <f>[1]DD_R!$H$12</f>
        <v>Save up to $150 on Galaxy Tab S7</v>
      </c>
      <c r="AU7" t="str">
        <f>[1]DD_R!$I$12</f>
        <v xml:space="preserve">Now from only $549.99. </v>
      </c>
      <c r="AV7" t="str">
        <f>[1]DD_R!$J$12</f>
        <v>Designed for work and perfect for play, Galaxy Tab S7 or Tab S7+ is everything you love in one tablet</v>
      </c>
      <c r="AW7" t="str">
        <f>[1]DD_R!$K$12</f>
        <v>Buy now</v>
      </c>
      <c r="AX7" t="str">
        <f>[1]DD_R!$L$12</f>
        <v>https://www.samsung.com/us/tablets/tab-s7/buy/</v>
      </c>
      <c r="AY7" t="str">
        <f>[1]DD_R!$M$12</f>
        <v>https://shopsamsung.page.link?link=https%3A%2F%2Fwww.samsung.com%2Fus%2Ftablets%2Ftab-s7%2Fbuy%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tablets%2Ftab-s7%2Fbuy%2F%3FofferCID%3DearlyAccess%26utm_source%3Dsamsung%26utm_medium%3Demail%26utm_campaign%3Dcw_12042020%26marsLinkCategory%3D__MARSTRACKING__%26MKM_RID%3D__BPNUMBER__%26MKM_MID%3D__DELIVERNAME__%26cid%3D__CID____SEGMENTCODE__%26bpid%3D__BPNUMBER__&amp;efr=1</v>
      </c>
      <c r="AZ7" t="str">
        <f>[1]DD_R!$N$12</f>
        <v>NULL</v>
      </c>
      <c r="BA7" t="str">
        <f>[1]DD_R!$O$12</f>
        <v>NULL</v>
      </c>
      <c r="BB7" t="str">
        <f>[1]DD_R!$P$12</f>
        <v>NULL</v>
      </c>
      <c r="BC7" s="75" t="s">
        <v>397</v>
      </c>
      <c r="BD7" t="str">
        <f>[1]DD_R!$G$14</f>
        <v>113_CE_MB_TABLET_500xV.jpg</v>
      </c>
      <c r="BE7" t="str">
        <f>[1]DD_R!$H$14</f>
        <v>Save $100 on Galaxy Tab S6 Lite</v>
      </c>
      <c r="BF7" t="str">
        <f>[1]DD_R!$I$14</f>
        <v>Now from only $174.99 $349.99 with eligible trade-in.&lt;sup&gt;ᶿ&lt;/sup&gt;</v>
      </c>
      <c r="BG7" t="str">
        <f>[1]DD_R!$J$14</f>
        <v>Effortlessly create, edit, and navigate with the included S Pen – work and play with equal freedom.</v>
      </c>
      <c r="BH7" t="str">
        <f>[1]DD_R!$K$14</f>
        <v>Buy now</v>
      </c>
      <c r="BI7" t="str">
        <f>[1]DD_R!$L$14</f>
        <v>https://www.samsung.com/us/mobile/tablets/buy/?modelCode=SM-P610NZAEXAR</v>
      </c>
      <c r="BJ7" t="str">
        <f>[1]DD_R!$M$14</f>
        <v>https://shopsamsung.page.link?link=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efr=1</v>
      </c>
      <c r="BK7" t="str">
        <f>[1]DD_R!$N$14</f>
        <v>NULL</v>
      </c>
      <c r="BL7" t="str">
        <f>[1]DD_R!$O$14</f>
        <v>NULL</v>
      </c>
      <c r="BM7" t="str">
        <f>[1]DD_R!$P$14</f>
        <v>NULL</v>
      </c>
      <c r="BN7" s="75" t="s">
        <v>398</v>
      </c>
      <c r="BO7" s="78" t="str">
        <f>[1]DD_R!$G$15</f>
        <v>37_HE_CE_Computing_Monitor_HeadImage_500xV.jpg</v>
      </c>
      <c r="BP7" t="str">
        <f>[1]DD_R!$H$15</f>
        <v>Get up to 20% off monitors</v>
      </c>
      <c r="BQ7" t="str">
        <f>[1]DD_R!$I$15</f>
        <v xml:space="preserve">Now from only $89.99 </v>
      </c>
      <c r="BR7" t="str">
        <f>[1]DD_R!$J$15</f>
        <v xml:space="preserve">No matter how hard you work or how hard you play, our wide array of monitors will deliver with stunning sharpness, minimal lag and more. </v>
      </c>
      <c r="BS7" t="str">
        <f>[1]DD_R!$K$15</f>
        <v>Shop now</v>
      </c>
      <c r="BT7" t="str">
        <f>[1]DD_R!$L$15</f>
        <v>https://www.samsung.com/us/computing/monitors/all-monitors/?shop=Buy+Online</v>
      </c>
      <c r="BU7" t="str">
        <f>[1]DD_R!$M$15</f>
        <v>https://shopsamsung.page.link?link=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efr=1</v>
      </c>
      <c r="BV7" t="str">
        <f>[1]DD_R!$N$15</f>
        <v>NULL</v>
      </c>
      <c r="BW7" t="str">
        <f>[1]DD_R!$O$15</f>
        <v>NULL</v>
      </c>
      <c r="BX7" t="str">
        <f>[1]DD_R!$P$15</f>
        <v>NULL</v>
      </c>
      <c r="BY7" s="79" t="s">
        <v>399</v>
      </c>
      <c r="BZ7" s="78" t="str">
        <f>[1]DD_R!$G$16</f>
        <v>39_HE_CE_Computer_MemoryCards_HeadImage-500xV.jpg</v>
      </c>
      <c r="CA7" t="str">
        <f>[1]DD_R!$H$16</f>
        <v>Get up to 50% off Memory Cards</v>
      </c>
      <c r="CB7" t="str">
        <f>[1]DD_R!$I$16</f>
        <v>Now from only $6.99</v>
      </c>
      <c r="CC7" t="str">
        <f>[1]DD_R!$J$16</f>
        <v>Prepare for holiday photo ops, the latest app and more with more memory.</v>
      </c>
      <c r="CD7" t="str">
        <f>[1]DD_R!$K$16</f>
        <v>Shop now</v>
      </c>
      <c r="CE7" t="str">
        <f>[1]DD_R!$L$16</f>
        <v>https://www.samsung.com/us/computing/memory-storage/memory-cards/</v>
      </c>
      <c r="CF7" t="str">
        <f>[1]DD_R!$M$16</f>
        <v>https://shopsamsung.page.link?link=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efr=1</v>
      </c>
      <c r="CG7" t="str">
        <f>[1]DD_R!$N$16</f>
        <v>NULL</v>
      </c>
      <c r="CH7" t="str">
        <f>[1]DD_R!$O$16</f>
        <v>NULL</v>
      </c>
      <c r="CI7" t="str">
        <f>[1]DD_R!$P$16</f>
        <v>NULL</v>
      </c>
      <c r="CJ7" s="75" t="s">
        <v>368</v>
      </c>
      <c r="CK7" s="15" t="str">
        <f>[1]MiscModules!$B$8</f>
        <v>Give-wonder-500xV.jpg</v>
      </c>
      <c r="CL7" s="15" t="str">
        <f>[1]MiscModules!$C$8</f>
        <v>NULL</v>
      </c>
      <c r="CM7" s="15" t="str">
        <f>[1]MiscModules!$D$8</f>
        <v>NULL</v>
      </c>
      <c r="CN7"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O7" s="15" t="str">
        <f>[1]MiscModules!$F$8</f>
        <v>Shop now</v>
      </c>
      <c r="CP7" s="15" t="str">
        <f>[1]MiscModules!$G$8</f>
        <v>https://www.samsung.com/us/gift-ideas/</v>
      </c>
      <c r="CQ7"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R7" s="15" t="str">
        <f>[1]MiscModules!$I$8</f>
        <v xml:space="preserve"> NULL</v>
      </c>
      <c r="CS7" s="15" t="str">
        <f>[1]MiscModules!$J$8</f>
        <v xml:space="preserve"> NULL</v>
      </c>
      <c r="CT7" s="15" t="str">
        <f>[1]MiscModules!$K$8</f>
        <v xml:space="preserve"> NULL</v>
      </c>
      <c r="CU7" s="75" t="s">
        <v>369</v>
      </c>
      <c r="CV7" s="15" t="str">
        <f>[1]TC!$B$2</f>
        <v>NULL</v>
      </c>
      <c r="CW7"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CX7" s="15" t="str">
        <f>[1]TC!$D$2</f>
        <v>NULL</v>
      </c>
      <c r="CY7" s="15" t="str">
        <f>[1]TC!$E$2</f>
        <v>NULL</v>
      </c>
      <c r="CZ7" s="15" t="str">
        <f>[1]TC!$F$2</f>
        <v>NULL</v>
      </c>
      <c r="DA7" s="15" t="str">
        <f>[1]TC!$G$2</f>
        <v>1) https://www.samsung.com/us/trade-in/terms-and-conditions/</v>
      </c>
      <c r="DB7" s="15">
        <f>[1]TC!$H$2</f>
        <v>0</v>
      </c>
      <c r="DC7" s="15" t="str">
        <f>[1]TC!$I$2</f>
        <v>NULL</v>
      </c>
      <c r="DD7" s="15" t="str">
        <f>[1]TC!$J$2</f>
        <v>NULL</v>
      </c>
      <c r="DE7" s="15" t="str">
        <f>[1]TC!$K$2</f>
        <v>NULL</v>
      </c>
    </row>
    <row r="8" spans="1:175" ht="75" x14ac:dyDescent="0.25">
      <c r="A8" t="s">
        <v>118</v>
      </c>
      <c r="B8" s="77" t="s">
        <v>116</v>
      </c>
      <c r="C8" s="1" t="s">
        <v>373</v>
      </c>
      <c r="D8" t="s">
        <v>39</v>
      </c>
      <c r="E8" t="s">
        <v>39</v>
      </c>
      <c r="F8" t="s">
        <v>370</v>
      </c>
      <c r="H8" s="74" t="s">
        <v>395</v>
      </c>
      <c r="I8" s="74" t="s">
        <v>360</v>
      </c>
      <c r="J8" s="45" t="s">
        <v>115</v>
      </c>
      <c r="K8" s="15" t="str">
        <f>[1]MiscModules!$B$13</f>
        <v>NULL</v>
      </c>
      <c r="L8" s="15" t="str">
        <f>[1]MiscModules!$C$13</f>
        <v xml:space="preserve">Order by December 19 to get most smartphones, wearables, tablets and laptops delivered by December 25. </v>
      </c>
      <c r="M8" s="15" t="str">
        <f>[1]MiscModules!$D$13</f>
        <v>NULL</v>
      </c>
      <c r="N8" s="15" t="str">
        <f>[1]MiscModules!$E$13</f>
        <v>NULL</v>
      </c>
      <c r="O8" s="15" t="str">
        <f>[1]MiscModules!$F$13</f>
        <v>NULL</v>
      </c>
      <c r="P8" s="15" t="str">
        <f>[1]MiscModules!$G$13</f>
        <v>https://www.samsung.com/us/support/order-faqs/#SHIPPINGANDPAYMENTS</v>
      </c>
      <c r="Q8" s="15" t="str">
        <f>[1]MiscModules!$H$13</f>
        <v xml:space="preserve"> </v>
      </c>
      <c r="R8" s="15" t="str">
        <f>[1]MiscModules!$I$13</f>
        <v>NULL</v>
      </c>
      <c r="S8" s="15" t="str">
        <f>[1]MiscModules!$J$13</f>
        <v>NULL</v>
      </c>
      <c r="T8" s="75" t="s">
        <v>361</v>
      </c>
      <c r="U8" s="15" t="str">
        <f>[1]MiscModules!$B$18</f>
        <v>Last_Minute_Deals_T2_KV.jpg</v>
      </c>
      <c r="V8" s="15" t="str">
        <f>[1]MiscModules!$C$18</f>
        <v>Last-minute gifts just in time</v>
      </c>
      <c r="W8" s="15" t="str">
        <f>[1]MiscModules!$D$18</f>
        <v>NULL</v>
      </c>
      <c r="X8" s="15" t="str">
        <f>[1]MiscModules!$E$18</f>
        <v>NULL</v>
      </c>
      <c r="Y8" s="15" t="str">
        <f>[1]MiscModules!$F$18</f>
        <v xml:space="preserve"> NULL</v>
      </c>
      <c r="Z8" s="15" t="str">
        <f>[1]MiscModules!$G$18</f>
        <v>https://www.samsung.com/us/shop/all-deals/</v>
      </c>
      <c r="AA8"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8" s="15" t="str">
        <f>[1]MiscModules!$I$18</f>
        <v xml:space="preserve"> NULL</v>
      </c>
      <c r="AC8" s="15" t="str">
        <f>[1]MiscModules!$J$18</f>
        <v xml:space="preserve"> NULL</v>
      </c>
      <c r="AD8" s="15" t="str">
        <f>[1]MiscModules!$K$18</f>
        <v xml:space="preserve"> NULL</v>
      </c>
      <c r="AE8" s="76">
        <v>44184</v>
      </c>
      <c r="AF8" s="15" t="s">
        <v>362</v>
      </c>
      <c r="AG8" s="75" t="s">
        <v>363</v>
      </c>
      <c r="AH8" s="15" t="str">
        <f>[1]MiscModules!$B$3</f>
        <v>NULL</v>
      </c>
      <c r="AI8" s="15" t="str">
        <f>[1]MiscModules!$C$3</f>
        <v>NULL</v>
      </c>
      <c r="AJ8" s="15" t="str">
        <f>[1]MiscModules!$D$3</f>
        <v xml:space="preserve">It’s not too late to give wonder. </v>
      </c>
      <c r="AK8" s="15" t="str">
        <f>[1]MiscModules!$E$3</f>
        <v>NULL</v>
      </c>
      <c r="AL8" s="15" t="str">
        <f>[1]MiscModules!$F$3</f>
        <v xml:space="preserve"> NULL</v>
      </c>
      <c r="AM8" s="15" t="str">
        <f>[1]MiscModules!$G$3</f>
        <v>https://www.samsung.com/us/shop/all-deals/</v>
      </c>
      <c r="AN8"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8" s="15" t="str">
        <f>[1]MiscModules!$I$3</f>
        <v xml:space="preserve"> NULL</v>
      </c>
      <c r="AP8" s="15" t="str">
        <f>[1]MiscModules!$J$3</f>
        <v xml:space="preserve"> NULL</v>
      </c>
      <c r="AQ8" s="15" t="str">
        <f>[1]MiscModules!$K$3</f>
        <v xml:space="preserve"> NULL</v>
      </c>
      <c r="AR8" s="75" t="s">
        <v>396</v>
      </c>
      <c r="AS8" t="str">
        <f>[1]DD_NR!$G$12</f>
        <v>111_CE_MB_TABLET_500xV.jpg</v>
      </c>
      <c r="AT8" t="str">
        <f>[1]DD_NR!$H$12</f>
        <v>Save up to $150 on Galaxy Tab S7</v>
      </c>
      <c r="AU8" t="str">
        <f>[1]DD_NR!$I$12</f>
        <v xml:space="preserve">Now from only $549.99. </v>
      </c>
      <c r="AV8" t="str">
        <f>[1]DD_NR!$J$12</f>
        <v>Designed for work and perfect for play, Galaxy Tab S7 or Tab S7+ is everything you love in one tablet</v>
      </c>
      <c r="AW8" t="str">
        <f>[1]DD_NR!$K$12</f>
        <v>Buy now</v>
      </c>
      <c r="AX8" t="str">
        <f>[1]DD_NR!$L$12</f>
        <v>https://www.samsung.com/us/tablets/tab-s7/buy/</v>
      </c>
      <c r="AY8" t="str">
        <f>[1]DD_NR!$M$12</f>
        <v>https://shopsamsung.page.link?link=https%3A%2F%2Fwww.samsung.com%2Fus%2Ftablets%2Ftab-s7%2Fbuy%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cw_12042020%23marsLinkCategory%3D__MARSTRACKING__%23MKM_RID%3D__BPNUMBER__%23MKM_MID%3D__DELIVERNAME__%23cid%3D__CID____SEGMENTCODE__%23bpid%3D__BPNUMBER__&amp;afl=https%3A%2F%2Fwww.samsung.com%2Fus%2Ftablets%2Ftab-s7%2Fbuy%2F%3Futm_source%3Dsamsung%26utm_medium%3Demail%26utm_campaign%3Dcw_12042020%26marsLinkCategory%3D__MARSTRACKING__%26MKM_RID%3D__BPNUMBER__%26MKM_MID%3D__DELIVERNAME__%26cid%3D__CID____SEGMENTCODE__%26bpid%3D__BPNUMBER__&amp;efr=1</v>
      </c>
      <c r="AZ8" t="str">
        <f>[1]DD_NR!$N$12</f>
        <v>NULL</v>
      </c>
      <c r="BA8" t="str">
        <f>[1]DD_NR!$O$12</f>
        <v>NULL</v>
      </c>
      <c r="BB8" t="str">
        <f>[1]DD_NR!$P$12</f>
        <v>NULL</v>
      </c>
      <c r="BC8" s="75" t="s">
        <v>397</v>
      </c>
      <c r="BD8" t="str">
        <f>[1]DD_NR!$G$14</f>
        <v>113_CE_MB_TABLET_500xV.jpg</v>
      </c>
      <c r="BE8" t="str">
        <f>[1]DD_NR!$H$14</f>
        <v>Save $100 on Galaxy Tab S6 Lite</v>
      </c>
      <c r="BF8" t="str">
        <f>[1]DD_NR!$I$14</f>
        <v>Now from only $174.99 $349.99 with eligible trade-in.&lt;sup&gt;ᶿ&lt;/sup&gt;</v>
      </c>
      <c r="BG8" t="str">
        <f>[1]DD_NR!$J$14</f>
        <v>Effortlessly create, edit, and navigate with the included S Pen – work and play with equal freedom.</v>
      </c>
      <c r="BH8" t="str">
        <f>[1]DD_NR!$K$14</f>
        <v>Buy now</v>
      </c>
      <c r="BI8" t="str">
        <f>[1]DD_NR!$L$14</f>
        <v>https://www.samsung.com/us/mobile/tablets/buy/?modelCode=SM-P610NZAEXAR</v>
      </c>
      <c r="BJ8" t="str">
        <f>[1]DD_NR!$M$14</f>
        <v>https://shopsamsung.page.link?link=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efr=1</v>
      </c>
      <c r="BK8" t="str">
        <f>[1]DD_NR!$N$14</f>
        <v>NULL</v>
      </c>
      <c r="BL8" t="str">
        <f>[1]DD_NR!$O$14</f>
        <v>NULL</v>
      </c>
      <c r="BM8" t="str">
        <f>[1]DD_NR!$P$14</f>
        <v>NULL</v>
      </c>
      <c r="BN8" s="75" t="s">
        <v>398</v>
      </c>
      <c r="BO8" s="78" t="str">
        <f>[1]DD_NR!$G$15</f>
        <v>37_HE_CE_Computing_Monitor_HeadImage_500xV.jpg</v>
      </c>
      <c r="BP8" t="str">
        <f>[1]DD_NR!$H$15</f>
        <v>Get up to 20% off monitors</v>
      </c>
      <c r="BQ8" t="str">
        <f>[1]DD_NR!$I$15</f>
        <v xml:space="preserve">Now from only $89.99 </v>
      </c>
      <c r="BR8" t="str">
        <f>[1]DD_NR!$J$15</f>
        <v xml:space="preserve">No matter how hard you work or how hard you play, our wide array of monitors will deliver with stunning sharpness, minimal lag and more. </v>
      </c>
      <c r="BS8" t="str">
        <f>[1]DD_NR!$K$15</f>
        <v>Shop now</v>
      </c>
      <c r="BT8" t="str">
        <f>[1]DD_NR!$L$15</f>
        <v>https://www.samsung.com/us/computing/monitors/all-monitors/?shop=Buy+Online</v>
      </c>
      <c r="BU8" t="str">
        <f>[1]DD_NR!$M$15</f>
        <v>https://shopsamsung.page.link?link=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efr=1</v>
      </c>
      <c r="BV8" t="str">
        <f>[1]DD_NR!$N$15</f>
        <v>NULL</v>
      </c>
      <c r="BW8" t="str">
        <f>[1]DD_NR!$O$15</f>
        <v>NULL</v>
      </c>
      <c r="BX8" t="str">
        <f>[1]DD_NR!$P$15</f>
        <v>NULL</v>
      </c>
      <c r="BY8" s="79" t="s">
        <v>399</v>
      </c>
      <c r="BZ8" s="78" t="str">
        <f>[1]DD_NR!$G$16</f>
        <v>39_HE_CE_Computer_MemoryCards_HeadImage-500xV.jpg</v>
      </c>
      <c r="CA8" t="str">
        <f>[1]DD_NR!$H$16</f>
        <v>Get up to 50% off Memory Cards</v>
      </c>
      <c r="CB8" t="str">
        <f>[1]DD_NR!$I$16</f>
        <v>Now from only $6.99</v>
      </c>
      <c r="CC8" t="str">
        <f>[1]DD_NR!$J$16</f>
        <v>Prepare for holiday photo ops, the latest app and more with more memory.</v>
      </c>
      <c r="CD8" t="str">
        <f>[1]DD_NR!$K$16</f>
        <v>Shop now</v>
      </c>
      <c r="CE8" t="str">
        <f>[1]DD_NR!$L$16</f>
        <v>https://www.samsung.com/us/computing/memory-storage/memory-cards/</v>
      </c>
      <c r="CF8" t="str">
        <f>[1]DD_NR!$M$16</f>
        <v>https://shopsamsung.page.link?link=https%3A%2F%2Fwww.samsung.com%2Fus%2Fcomputing%2Fmemory-storage%2Fmemory-cards%2F%3F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utm_source%3Dsamsung%23utm_medium%3Demail%23utm_campaign%3Dcw_12042020%23marsLinkCategory%3D__MARSTRACKING__%23MKM_RID%3D__BPNUMBER__%23MKM_MID%3D__DELIVERNAME__%23cid%3D__CID____SEGMENTCODE__%23bpid%3D__BPNUMBER__&amp;afl=https%3A%2F%2Fwww.samsung.com%2Fus%2Fcomputing%2Fmemory-storage%2Fmemory-cards%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utm_source%3Dsamsung%26utm_medium%3Demail%26utm_campaign%3Dcw_12042020%26marsLinkCategory%3D__MARSTRACKING__%26MKM_RID%3D__BPNUMBER__%26MKM_MID%3D__DELIVERNAME__%26cid%3D__CID____SEGMENTCODE__%26bpid%3D__BPNUMBER__&amp;efr=1</v>
      </c>
      <c r="CG8" t="str">
        <f>[1]DD_NR!$N$16</f>
        <v>NULL</v>
      </c>
      <c r="CH8" t="str">
        <f>[1]DD_NR!$O$16</f>
        <v>NULL</v>
      </c>
      <c r="CI8" t="str">
        <f>[1]DD_NR!$P$16</f>
        <v>NULL</v>
      </c>
      <c r="CJ8" s="75" t="s">
        <v>368</v>
      </c>
      <c r="CK8" s="15" t="str">
        <f>[1]MiscModules!$B$9</f>
        <v>Give-wonder-500xV.jpg</v>
      </c>
      <c r="CL8" s="15" t="str">
        <f>[1]MiscModules!$C$9</f>
        <v>NULL</v>
      </c>
      <c r="CM8" s="15" t="str">
        <f>[1]MiscModules!$D$9</f>
        <v>NULL</v>
      </c>
      <c r="CN8" s="15" t="str">
        <f>[1]MiscModules!$E$9</f>
        <v xml:space="preserve">Discover even more exclusive offers on your favorite products. Unlock the power of smart and savvy gifting with our holiday gift guide. </v>
      </c>
      <c r="CO8" s="15" t="str">
        <f>[1]MiscModules!$F$9</f>
        <v>Shop now</v>
      </c>
      <c r="CP8" s="15" t="str">
        <f>[1]MiscModules!$G$9</f>
        <v>https://www.samsung.com/us/gift-ideas/</v>
      </c>
      <c r="CQ8"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CR8" s="15" t="str">
        <f>[1]MiscModules!$I$9</f>
        <v xml:space="preserve"> NULL</v>
      </c>
      <c r="CS8" s="15" t="str">
        <f>[1]MiscModules!$J$9</f>
        <v xml:space="preserve"> NULL</v>
      </c>
      <c r="CT8" s="15" t="str">
        <f>[1]MiscModules!$K$9</f>
        <v xml:space="preserve"> NULL</v>
      </c>
      <c r="CU8" s="75" t="s">
        <v>369</v>
      </c>
      <c r="CV8" s="15" t="str">
        <f>[1]TC!$B$3</f>
        <v>NULL</v>
      </c>
      <c r="CW8" s="15" t="str">
        <f>[1]TC!$C$3</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CX8" s="15" t="str">
        <f>[1]TC!$D$3</f>
        <v>NULL</v>
      </c>
      <c r="CY8" s="15" t="str">
        <f>[1]TC!$E$3</f>
        <v>NULL</v>
      </c>
      <c r="CZ8" s="15" t="str">
        <f>[1]TC!$F$3</f>
        <v>NULL</v>
      </c>
      <c r="DA8" s="15" t="str">
        <f>[1]TC!$G$3</f>
        <v>1) https://www.samsung.com/us/trade-in/terms-and-conditions/</v>
      </c>
      <c r="DB8" s="15">
        <f>[1]TC!$H$3</f>
        <v>0</v>
      </c>
      <c r="DC8" s="15" t="str">
        <f>[1]TC!$I$3</f>
        <v>NULL</v>
      </c>
      <c r="DD8" s="15" t="str">
        <f>[1]TC!$J$3</f>
        <v>NULL</v>
      </c>
      <c r="DE8" s="15" t="str">
        <f>[1]TC!$K$3</f>
        <v>NULL</v>
      </c>
    </row>
    <row r="9" spans="1:175" ht="75" x14ac:dyDescent="0.25">
      <c r="A9" t="s">
        <v>118</v>
      </c>
      <c r="B9" s="77" t="s">
        <v>117</v>
      </c>
      <c r="C9" s="1" t="s">
        <v>400</v>
      </c>
      <c r="D9" t="s">
        <v>39</v>
      </c>
      <c r="E9" t="s">
        <v>39</v>
      </c>
      <c r="F9" t="s">
        <v>160</v>
      </c>
      <c r="H9" s="74" t="s">
        <v>401</v>
      </c>
      <c r="I9" s="74" t="s">
        <v>402</v>
      </c>
      <c r="J9" s="45" t="s">
        <v>115</v>
      </c>
      <c r="K9" s="15" t="str">
        <f>[1]MiscModules!$B$12</f>
        <v>NULL</v>
      </c>
      <c r="L9" s="15" t="str">
        <f>[1]MiscModules!$C$12</f>
        <v xml:space="preserve">Order by December 19 to get most smartphones, wearables, tablets and laptops delivered by December 25. </v>
      </c>
      <c r="M9" s="15" t="str">
        <f>[1]MiscModules!$D$12</f>
        <v>NULL</v>
      </c>
      <c r="N9" s="15" t="str">
        <f>[1]MiscModules!$E$12</f>
        <v>NULL</v>
      </c>
      <c r="O9" s="15" t="str">
        <f>[1]MiscModules!$F$12</f>
        <v>NULL</v>
      </c>
      <c r="P9" s="15" t="str">
        <f>[1]MiscModules!$G$12</f>
        <v>https://www.samsung.com/us/support/order-faqs/#SHIPPINGANDPAYMENTS</v>
      </c>
      <c r="Q9" s="15" t="str">
        <f>[1]MiscModules!$H$12</f>
        <v xml:space="preserve"> </v>
      </c>
      <c r="R9" s="15" t="str">
        <f>[1]MiscModules!$I$12</f>
        <v>NULL</v>
      </c>
      <c r="S9" s="15" t="str">
        <f>[1]MiscModules!$J$12</f>
        <v>NULL</v>
      </c>
      <c r="T9" s="75" t="s">
        <v>361</v>
      </c>
      <c r="U9" s="15" t="str">
        <f>[1]MiscModules!$B$17</f>
        <v>Last_Minute_Deals_T2_KV.jpg</v>
      </c>
      <c r="V9" s="15" t="str">
        <f>[1]MiscModules!$C$17</f>
        <v>Last-minute gifts just in time</v>
      </c>
      <c r="W9" s="15" t="str">
        <f>[1]MiscModules!$D$17</f>
        <v>NULL</v>
      </c>
      <c r="X9" s="15" t="str">
        <f>[1]MiscModules!$E$17</f>
        <v>NULL</v>
      </c>
      <c r="Y9" s="15" t="str">
        <f>[1]MiscModules!$F$17</f>
        <v xml:space="preserve"> NULL</v>
      </c>
      <c r="Z9" s="15" t="str">
        <f>[1]MiscModules!$G$17</f>
        <v>https://www.samsung.com/us/shop/all-deals/</v>
      </c>
      <c r="AA9"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9" s="15" t="str">
        <f>[1]MiscModules!$I$17</f>
        <v xml:space="preserve"> NULL</v>
      </c>
      <c r="AC9" s="15" t="str">
        <f>[1]MiscModules!$J$17</f>
        <v xml:space="preserve"> NULL</v>
      </c>
      <c r="AD9" s="15" t="str">
        <f>[1]MiscModules!$K$17</f>
        <v xml:space="preserve"> NULL</v>
      </c>
      <c r="AE9" s="76">
        <v>44184</v>
      </c>
      <c r="AF9" s="15" t="s">
        <v>362</v>
      </c>
      <c r="AG9" s="75" t="s">
        <v>363</v>
      </c>
      <c r="AH9" s="15" t="str">
        <f>[1]MiscModules!$B$2</f>
        <v>NULL</v>
      </c>
      <c r="AI9" s="15" t="str">
        <f>[1]MiscModules!$C$2</f>
        <v>NULL</v>
      </c>
      <c r="AJ9" s="15" t="str">
        <f>[1]MiscModules!$D$2</f>
        <v xml:space="preserve">It’s not too late to give wonder. </v>
      </c>
      <c r="AK9" s="15" t="str">
        <f>[1]MiscModules!$E$2</f>
        <v xml:space="preserve">Plus,there is still time to redeem your exclusive $20 instant credit toward eligible accessories with smartphone purchase. </v>
      </c>
      <c r="AL9" s="15" t="str">
        <f>[1]MiscModules!$F$2</f>
        <v xml:space="preserve"> NULL</v>
      </c>
      <c r="AM9" s="15" t="str">
        <f>[1]MiscModules!$G$2</f>
        <v>https://www.samsung.com/us/shop/all-deals/</v>
      </c>
      <c r="AN9"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9" s="15" t="str">
        <f>[1]MiscModules!$I$2</f>
        <v xml:space="preserve"> NULL</v>
      </c>
      <c r="AP9" s="15" t="str">
        <f>[1]MiscModules!$J$2</f>
        <v xml:space="preserve"> NULL</v>
      </c>
      <c r="AQ9" s="15" t="str">
        <f>[1]MiscModules!$K$2</f>
        <v xml:space="preserve"> NULL</v>
      </c>
      <c r="AR9" s="79" t="s">
        <v>403</v>
      </c>
      <c r="AS9" t="str">
        <f>[1]DD_R!$G$20</f>
        <v>114_ME_MB_WEAR_Buds_LIVE_500xV.jpg</v>
      </c>
      <c r="AT9" t="str">
        <f>[1]DD_R!$H$20</f>
        <v>Save $30 on Galaxy Buds Live</v>
      </c>
      <c r="AU9" t="str">
        <f>[1]DD_R!$I$20</f>
        <v>Now only $119.99 with eligible trade-in.&lt;sup&gt;ᶿ&lt;/sup&gt;</v>
      </c>
      <c r="AV9" t="str">
        <f>[1]DD_R!$J$20</f>
        <v>Give the gift of a truly immersive listening experience with the newest shape of true wireless earbuds.</v>
      </c>
      <c r="AW9" t="str">
        <f>[1]DD_R!$K$20</f>
        <v>Buy now</v>
      </c>
      <c r="AX9" t="str">
        <f>[1]DD_R!$L$20</f>
        <v>https://www.samsung.com/us/mobile/audio/headphones/galaxy-buds-live-mystic-bronze-sm-r180nznaxar/</v>
      </c>
      <c r="AY9" t="str">
        <f>[1]DD_R!$M$20</f>
        <v>https://shopsamsung.page.link?link=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efr=1</v>
      </c>
      <c r="AZ9" t="str">
        <f>[1]DD_R!$N$20</f>
        <v>NULL</v>
      </c>
      <c r="BA9" t="str">
        <f>[1]DD_R!$O$20</f>
        <v>NULL</v>
      </c>
      <c r="BB9" t="str">
        <f>[1]DD_R!$P$20</f>
        <v>NULL</v>
      </c>
      <c r="BC9" s="79" t="s">
        <v>404</v>
      </c>
      <c r="BD9" s="80" t="str">
        <f>[1]DD_R!$G$21</f>
        <v>115_ME_MB_WEAR_GW3_Titanium_500xV.jpg</v>
      </c>
      <c r="BE9" t="str">
        <f>[1]DD_R!$H$21</f>
        <v xml:space="preserve">Get $100 off Galaxy Watch3 Titanium </v>
      </c>
      <c r="BF9" t="str">
        <f>[1]DD_R!$I$21</f>
        <v>Now from only $299.99 with eligible trade-in.&lt;sup&gt;ᶿ&lt;/sup&gt;</v>
      </c>
      <c r="BG9" t="str">
        <f>[1]DD_R!$J$21</f>
        <v>Own the Galaxy Watch as tough as you. Save $100 and up to $200, with eligible trade-in.&lt;sup&gt;ᶿ&lt;/sup&gt;</v>
      </c>
      <c r="BH9" t="str">
        <f>[1]DD_R!$K$21</f>
        <v>Buy now</v>
      </c>
      <c r="BI9" t="str">
        <f>[1]DD_R!$L$21</f>
        <v>https://www.samsung.com/us/watches/galaxy-watch3/buy/?modelCode=SM-R840NTKAXAR</v>
      </c>
      <c r="BJ9" t="str">
        <f>[1]DD_R!$M$21</f>
        <v>https://shopsamsung.page.link?link=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efr=1</v>
      </c>
      <c r="BK9" t="str">
        <f>[1]DD_R!$N$21</f>
        <v>NULL</v>
      </c>
      <c r="BL9" t="str">
        <f>[1]DD_R!$O$21</f>
        <v>NULL</v>
      </c>
      <c r="BM9" t="str">
        <f>[1]DD_R!$P$21</f>
        <v>NULL</v>
      </c>
      <c r="BN9" s="79" t="s">
        <v>405</v>
      </c>
      <c r="BO9" s="80" t="str">
        <f>[1]DD_R!$G$22</f>
        <v>116_ME_MB_WEAR_GW3_500xV.jpg</v>
      </c>
      <c r="BP9" t="str">
        <f>[1]DD_R!$H$22</f>
        <v xml:space="preserve">Get $60 off Galaxy Watch3 </v>
      </c>
      <c r="BQ9" t="str">
        <f>[1]DD_R!$I$22</f>
        <v>Now from only $139.99 with eligible trade-in.&lt;sup&gt;ᶿ&lt;/sup&gt;</v>
      </c>
      <c r="BR9" t="str">
        <f>[1]DD_R!$J$22</f>
        <v xml:space="preserve">Plus, create a style as unique as you in the new Samsung Design Studio and get 30% off a second watch band.  </v>
      </c>
      <c r="BS9" t="str">
        <f>[1]DD_R!$K$22</f>
        <v>Buy now</v>
      </c>
      <c r="BT9" t="str">
        <f>[1]DD_R!$L$22</f>
        <v>https://www.samsung.com/us/watches/galaxy-watch3/buy/</v>
      </c>
      <c r="BU9" t="str">
        <f>[1]DD_R!$M$22</f>
        <v>https://shopsamsung.page.link?link=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efr=1</v>
      </c>
      <c r="BV9" t="str">
        <f>[1]DD_R!$N$22</f>
        <v>NULL</v>
      </c>
      <c r="BW9" t="str">
        <f>[1]DD_R!$O$22</f>
        <v>NULL</v>
      </c>
      <c r="BX9" t="str">
        <f>[1]DD_R!$P$22</f>
        <v>NULL</v>
      </c>
      <c r="BY9" s="79" t="s">
        <v>406</v>
      </c>
      <c r="BZ9" s="80" t="str">
        <f>[1]DD_R!$G$23</f>
        <v>117_ME_MB_WEAR_GW2_500xV.jpg</v>
      </c>
      <c r="CA9" t="str">
        <f>[1]DD_R!$H$23</f>
        <v>Save $50 on Galaxy Watch Active2</v>
      </c>
      <c r="CB9" t="str">
        <f>[1]DD_R!$I$23</f>
        <v>Now from only $49.99 with eligible trade-in.&lt;sup&gt;ᶿ&lt;/sup&gt;</v>
      </c>
      <c r="CC9" t="str">
        <f>[1]DD_R!$J$23</f>
        <v xml:space="preserve">Offer includes Galaxy Watch Active2 Under Armor and Golf Editions. Plus, save up to $150 with eligible trade-inᶿ and get more out of every mile. </v>
      </c>
      <c r="CD9" t="str">
        <f>[1]DD_R!$K$23</f>
        <v>Buy now</v>
      </c>
      <c r="CE9" t="str">
        <f>[1]DD_R!$L$23</f>
        <v>https://www.samsung.com/us/smartwatches-and-fitness-bands/galaxy-watch-active2/buy/</v>
      </c>
      <c r="CF9" t="str">
        <f>[1]DD_R!$M$23</f>
        <v>https://shopsamsung.page.link?link=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efr=1</v>
      </c>
      <c r="CG9" t="str">
        <f>[1]DD_R!$N$23</f>
        <v>NULL</v>
      </c>
      <c r="CH9" t="str">
        <f>[1]DD_R!$O$23</f>
        <v>NULL</v>
      </c>
      <c r="CI9" t="str">
        <f>[1]DD_R!$P$23</f>
        <v>NULL</v>
      </c>
      <c r="CJ9" s="75" t="s">
        <v>368</v>
      </c>
      <c r="CK9" s="15" t="str">
        <f>[1]MiscModules!$B$8</f>
        <v>Give-wonder-500xV.jpg</v>
      </c>
      <c r="CL9" s="15" t="str">
        <f>[1]MiscModules!$C$8</f>
        <v>NULL</v>
      </c>
      <c r="CM9" s="15" t="str">
        <f>[1]MiscModules!$D$8</f>
        <v>NULL</v>
      </c>
      <c r="CN9"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O9" s="15" t="str">
        <f>[1]MiscModules!$F$8</f>
        <v>Shop now</v>
      </c>
      <c r="CP9" s="15" t="str">
        <f>[1]MiscModules!$G$8</f>
        <v>https://www.samsung.com/us/gift-ideas/</v>
      </c>
      <c r="CQ9"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R9" s="15" t="str">
        <f>[1]MiscModules!$I$8</f>
        <v xml:space="preserve"> NULL</v>
      </c>
      <c r="CS9" s="15" t="str">
        <f>[1]MiscModules!$J$8</f>
        <v xml:space="preserve"> NULL</v>
      </c>
      <c r="CT9" s="15" t="str">
        <f>[1]MiscModules!$K$8</f>
        <v xml:space="preserve"> NULL</v>
      </c>
      <c r="CU9" s="75" t="s">
        <v>369</v>
      </c>
      <c r="CV9" s="15" t="str">
        <f>[1]TC!$B$2</f>
        <v>NULL</v>
      </c>
      <c r="CW9"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CX9" s="15" t="str">
        <f>[1]TC!$D$2</f>
        <v>NULL</v>
      </c>
      <c r="CY9" s="15" t="str">
        <f>[1]TC!$E$2</f>
        <v>NULL</v>
      </c>
      <c r="CZ9" s="15" t="str">
        <f>[1]TC!$F$2</f>
        <v>NULL</v>
      </c>
      <c r="DA9" s="15" t="str">
        <f>[1]TC!$G$2</f>
        <v>1) https://www.samsung.com/us/trade-in/terms-and-conditions/</v>
      </c>
      <c r="DB9" s="15">
        <f>[1]TC!$H$2</f>
        <v>0</v>
      </c>
      <c r="DC9" s="15" t="str">
        <f>[1]TC!$I$2</f>
        <v>NULL</v>
      </c>
      <c r="DD9" s="15" t="str">
        <f>[1]TC!$J$2</f>
        <v>NULL</v>
      </c>
      <c r="DE9" s="15" t="str">
        <f>[1]TC!$K$2</f>
        <v>NULL</v>
      </c>
    </row>
    <row r="10" spans="1:175" ht="75" x14ac:dyDescent="0.25">
      <c r="A10" t="s">
        <v>118</v>
      </c>
      <c r="B10" s="77" t="s">
        <v>117</v>
      </c>
      <c r="C10" s="1" t="s">
        <v>400</v>
      </c>
      <c r="D10" t="s">
        <v>39</v>
      </c>
      <c r="E10" t="s">
        <v>39</v>
      </c>
      <c r="F10" t="s">
        <v>370</v>
      </c>
      <c r="H10" s="74" t="s">
        <v>401</v>
      </c>
      <c r="I10" s="74" t="s">
        <v>402</v>
      </c>
      <c r="J10" s="45" t="s">
        <v>115</v>
      </c>
      <c r="K10" s="15" t="str">
        <f>[1]MiscModules!$B$13</f>
        <v>NULL</v>
      </c>
      <c r="L10" s="15" t="str">
        <f>[1]MiscModules!$C$13</f>
        <v xml:space="preserve">Order by December 19 to get most smartphones, wearables, tablets and laptops delivered by December 25. </v>
      </c>
      <c r="M10" s="15" t="str">
        <f>[1]MiscModules!$D$13</f>
        <v>NULL</v>
      </c>
      <c r="N10" s="15" t="str">
        <f>[1]MiscModules!$E$13</f>
        <v>NULL</v>
      </c>
      <c r="O10" s="15" t="str">
        <f>[1]MiscModules!$F$13</f>
        <v>NULL</v>
      </c>
      <c r="P10" s="15" t="str">
        <f>[1]MiscModules!$G$13</f>
        <v>https://www.samsung.com/us/support/order-faqs/#SHIPPINGANDPAYMENTS</v>
      </c>
      <c r="Q10" s="15" t="str">
        <f>[1]MiscModules!$H$13</f>
        <v xml:space="preserve"> </v>
      </c>
      <c r="R10" s="15" t="str">
        <f>[1]MiscModules!$I$13</f>
        <v>NULL</v>
      </c>
      <c r="S10" s="15" t="str">
        <f>[1]MiscModules!$J$13</f>
        <v>NULL</v>
      </c>
      <c r="T10" s="75" t="s">
        <v>361</v>
      </c>
      <c r="U10" s="15" t="str">
        <f>[1]MiscModules!$B$18</f>
        <v>Last_Minute_Deals_T2_KV.jpg</v>
      </c>
      <c r="V10" s="15" t="str">
        <f>[1]MiscModules!$C$18</f>
        <v>Last-minute gifts just in time</v>
      </c>
      <c r="W10" s="15" t="str">
        <f>[1]MiscModules!$D$18</f>
        <v>NULL</v>
      </c>
      <c r="X10" s="15" t="str">
        <f>[1]MiscModules!$E$18</f>
        <v>NULL</v>
      </c>
      <c r="Y10" s="15" t="str">
        <f>[1]MiscModules!$F$18</f>
        <v xml:space="preserve"> NULL</v>
      </c>
      <c r="Z10" s="15" t="str">
        <f>[1]MiscModules!$G$18</f>
        <v>https://www.samsung.com/us/shop/all-deals/</v>
      </c>
      <c r="AA10"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10" s="15" t="str">
        <f>[1]MiscModules!$I$18</f>
        <v xml:space="preserve"> NULL</v>
      </c>
      <c r="AC10" s="15" t="str">
        <f>[1]MiscModules!$J$18</f>
        <v xml:space="preserve"> NULL</v>
      </c>
      <c r="AD10" s="15" t="str">
        <f>[1]MiscModules!$K$18</f>
        <v xml:space="preserve"> NULL</v>
      </c>
      <c r="AE10" s="76">
        <v>44184</v>
      </c>
      <c r="AF10" s="15" t="s">
        <v>362</v>
      </c>
      <c r="AG10" s="75" t="s">
        <v>363</v>
      </c>
      <c r="AH10" s="15" t="str">
        <f>[1]MiscModules!$B$3</f>
        <v>NULL</v>
      </c>
      <c r="AI10" s="15" t="str">
        <f>[1]MiscModules!$C$3</f>
        <v>NULL</v>
      </c>
      <c r="AJ10" s="15" t="str">
        <f>[1]MiscModules!$D$3</f>
        <v xml:space="preserve">It’s not too late to give wonder. </v>
      </c>
      <c r="AK10" s="15" t="str">
        <f>[1]MiscModules!$E$3</f>
        <v>NULL</v>
      </c>
      <c r="AL10" s="15" t="str">
        <f>[1]MiscModules!$F$3</f>
        <v xml:space="preserve"> NULL</v>
      </c>
      <c r="AM10" s="15" t="str">
        <f>[1]MiscModules!$G$3</f>
        <v>https://www.samsung.com/us/shop/all-deals/</v>
      </c>
      <c r="AN10"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10" s="15" t="str">
        <f>[1]MiscModules!$I$3</f>
        <v xml:space="preserve"> NULL</v>
      </c>
      <c r="AP10" s="15" t="str">
        <f>[1]MiscModules!$J$3</f>
        <v xml:space="preserve"> NULL</v>
      </c>
      <c r="AQ10" s="15" t="str">
        <f>[1]MiscModules!$K$3</f>
        <v xml:space="preserve"> NULL</v>
      </c>
      <c r="AR10" s="79" t="s">
        <v>403</v>
      </c>
      <c r="AS10" t="str">
        <f>[1]DD_NR!$G$20</f>
        <v>114_ME_MB_WEAR_Buds_LIVE_500xV.jpg</v>
      </c>
      <c r="AT10" t="str">
        <f>[1]DD_NR!$H$20</f>
        <v>Save $30 on Galaxy Buds Live</v>
      </c>
      <c r="AU10" t="str">
        <f>[1]DD_NR!$I$20</f>
        <v>Now only $119.99 with eligible trade-in.&lt;sup&gt;ᶿ&lt;/sup&gt;</v>
      </c>
      <c r="AV10" t="str">
        <f>[1]DD_NR!$J$20</f>
        <v>Give the gift of a truly immersive listening experience with the newest shape of true wireless earbuds.</v>
      </c>
      <c r="AW10" t="str">
        <f>[1]DD_NR!$K$20</f>
        <v>Buy now</v>
      </c>
      <c r="AX10" t="str">
        <f>[1]DD_NR!$L$20</f>
        <v>https://www.samsung.com/us/mobile/audio/headphones/galaxy-buds-live-mystic-bronze-sm-r180nznaxar/</v>
      </c>
      <c r="AY10" t="str">
        <f>[1]DD_NR!$M$20</f>
        <v>https://shopsamsung.page.link?link=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efr=1</v>
      </c>
      <c r="AZ10" t="str">
        <f>[1]DD_NR!$N$20</f>
        <v>NULL</v>
      </c>
      <c r="BA10" t="str">
        <f>[1]DD_NR!$O$20</f>
        <v>NULL</v>
      </c>
      <c r="BB10" t="str">
        <f>[1]DD_NR!$P$20</f>
        <v>NULL</v>
      </c>
      <c r="BC10" s="79" t="s">
        <v>404</v>
      </c>
      <c r="BD10" s="80" t="str">
        <f>[1]DD_NR!$G$21</f>
        <v>115_ME_MB_WEAR_GW3_Titanium_500xV.jpg</v>
      </c>
      <c r="BE10" t="str">
        <f>[1]DD_NR!$H$21</f>
        <v xml:space="preserve">Get $100 off Galaxy Watch3 Titanium </v>
      </c>
      <c r="BF10" t="str">
        <f>[1]DD_NR!$I$21</f>
        <v>Now from only $299.99 with eligible trade-in.&lt;sup&gt;ᶿ&lt;/sup&gt;</v>
      </c>
      <c r="BG10" t="str">
        <f>[1]DD_NR!$J$21</f>
        <v>Own the Galaxy Watch as tough as you. Save $100 and up to $200, with eligible trade-in.&lt;sup&gt;ᶿ&lt;/sup&gt;</v>
      </c>
      <c r="BH10" t="str">
        <f>[1]DD_NR!$K$21</f>
        <v>Buy now</v>
      </c>
      <c r="BI10" t="str">
        <f>[1]DD_NR!$L$21</f>
        <v>https://www.samsung.com/us/watches/galaxy-watch3/buy/?modelCode=SM-R840NTKAXAR</v>
      </c>
      <c r="BJ10" t="str">
        <f>[1]DD_NR!$M$21</f>
        <v>https://shopsamsung.page.link?link=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efr=1</v>
      </c>
      <c r="BK10" t="str">
        <f>[1]DD_NR!$N$21</f>
        <v>NULL</v>
      </c>
      <c r="BL10" t="str">
        <f>[1]DD_NR!$O$21</f>
        <v>NULL</v>
      </c>
      <c r="BM10" t="str">
        <f>[1]DD_NR!$P$21</f>
        <v>NULL</v>
      </c>
      <c r="BN10" s="79" t="s">
        <v>405</v>
      </c>
      <c r="BO10" s="80" t="str">
        <f>[1]DD_NR!$G$22</f>
        <v>116_ME_MB_WEAR_GW3_500xV.jpg</v>
      </c>
      <c r="BP10" t="str">
        <f>[1]DD_NR!$H$22</f>
        <v xml:space="preserve">Get $60 off Galaxy Watch3 </v>
      </c>
      <c r="BQ10" t="str">
        <f>[1]DD_NR!$I$22</f>
        <v>Now from only $139.99 with eligible trade-in.&lt;sup&gt;ᶿ&lt;/sup&gt;</v>
      </c>
      <c r="BR10" t="str">
        <f>[1]DD_NR!$J$22</f>
        <v xml:space="preserve">Plus, create a style as unique as you in the new Samsung Design Studio and get 30% off a second watch band.  </v>
      </c>
      <c r="BS10" t="str">
        <f>[1]DD_NR!$K$22</f>
        <v>Buy now</v>
      </c>
      <c r="BT10" t="str">
        <f>[1]DD_NR!$L$22</f>
        <v>https://www.samsung.com/us/watches/galaxy-watch3/buy/</v>
      </c>
      <c r="BU10" t="str">
        <f>[1]DD_NR!$M$22</f>
        <v>https://shopsamsung.page.link?link=https%3A%2F%2Fwww.samsung.com%2Fus%2Fwatches%2Fgalaxy-watch3%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23utm_source%3Dsamsung%23utm_medium%3Demail%23utm_campaign%3Dcw_12042020%23marsLinkCategory%3D__MARSTRACKING__%23MKM_RID%3D__BPNUMBER__%23MKM_MID%3D__DELIVERNAME__%23cid%3D__CID____SEGMENTCODE__%23bpid%3D__BPNUMBER__&amp;afl=https%3A%2F%2Fwww.samsung.com%2Fus%2Fwatches%2Fgalaxy-watch3%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utm_source%3Dsamsung%26utm_medium%3Demail%26utm_campaign%3Dcw_12042020%26marsLinkCategory%3D__MARSTRACKING__%26MKM_RID%3D__BPNUMBER__%26MKM_MID%3D__DELIVERNAME__%26cid%3D__CID____SEGMENTCODE__%26bpid%3D__BPNUMBER__&amp;efr=1</v>
      </c>
      <c r="BV10" t="str">
        <f>[1]DD_NR!$N$22</f>
        <v>NULL</v>
      </c>
      <c r="BW10" t="str">
        <f>[1]DD_NR!$O$22</f>
        <v>NULL</v>
      </c>
      <c r="BX10" t="str">
        <f>[1]DD_NR!$P$22</f>
        <v>NULL</v>
      </c>
      <c r="BY10" s="79" t="s">
        <v>406</v>
      </c>
      <c r="BZ10" s="80" t="str">
        <f>[1]DD_NR!$G$23</f>
        <v>117_ME_MB_WEAR_GW2_500xV.jpg</v>
      </c>
      <c r="CA10" t="str">
        <f>[1]DD_NR!$H$23</f>
        <v>Save $50 on Galaxy Watch Active2</v>
      </c>
      <c r="CB10" t="str">
        <f>[1]DD_NR!$I$23</f>
        <v>Now from only $49.99 with eligible trade-in.&lt;sup&gt;ᶿ&lt;/sup&gt;</v>
      </c>
      <c r="CC10" t="str">
        <f>[1]DD_NR!$J$23</f>
        <v xml:space="preserve">Offer includes Galaxy Watch Active2 Under Armor and Golf Editions. Plus, save up to $150 with eligible trade-inᶿ and get more out of every mile. </v>
      </c>
      <c r="CD10" t="str">
        <f>[1]DD_NR!$K$23</f>
        <v>Buy now</v>
      </c>
      <c r="CE10" t="str">
        <f>[1]DD_NR!$L$23</f>
        <v>https://www.samsung.com/us/smartwatches-and-fitness-bands/galaxy-watch-active2/buy/</v>
      </c>
      <c r="CF10" t="str">
        <f>[1]DD_NR!$M$23</f>
        <v>https://shopsamsung.page.link?link=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efr=1</v>
      </c>
      <c r="CG10" t="str">
        <f>[1]DD_NR!$N$23</f>
        <v>NULL</v>
      </c>
      <c r="CH10" t="str">
        <f>[1]DD_NR!$O$23</f>
        <v>NULL</v>
      </c>
      <c r="CI10" t="str">
        <f>[1]DD_NR!$P$23</f>
        <v>NULL</v>
      </c>
      <c r="CJ10" s="75" t="s">
        <v>368</v>
      </c>
      <c r="CK10" s="15" t="str">
        <f>[1]MiscModules!$B$9</f>
        <v>Give-wonder-500xV.jpg</v>
      </c>
      <c r="CL10" s="15" t="str">
        <f>[1]MiscModules!$C$9</f>
        <v>NULL</v>
      </c>
      <c r="CM10" s="15" t="str">
        <f>[1]MiscModules!$D$9</f>
        <v>NULL</v>
      </c>
      <c r="CN10" s="15" t="str">
        <f>[1]MiscModules!$E$9</f>
        <v xml:space="preserve">Discover even more exclusive offers on your favorite products. Unlock the power of smart and savvy gifting with our holiday gift guide. </v>
      </c>
      <c r="CO10" s="15" t="str">
        <f>[1]MiscModules!$F$9</f>
        <v>Shop now</v>
      </c>
      <c r="CP10" s="15" t="str">
        <f>[1]MiscModules!$G$9</f>
        <v>https://www.samsung.com/us/gift-ideas/</v>
      </c>
      <c r="CQ10"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CR10" s="15" t="str">
        <f>[1]MiscModules!$I$9</f>
        <v xml:space="preserve"> NULL</v>
      </c>
      <c r="CS10" s="15" t="str">
        <f>[1]MiscModules!$J$9</f>
        <v xml:space="preserve"> NULL</v>
      </c>
      <c r="CT10" s="15" t="str">
        <f>[1]MiscModules!$K$9</f>
        <v xml:space="preserve"> NULL</v>
      </c>
      <c r="CU10" s="75" t="s">
        <v>369</v>
      </c>
      <c r="CV10" s="15" t="str">
        <f>[1]TC!$B$3</f>
        <v>NULL</v>
      </c>
      <c r="CW10" s="15" t="str">
        <f>[1]TC!$C$3</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CX10" s="15" t="str">
        <f>[1]TC!$D$3</f>
        <v>NULL</v>
      </c>
      <c r="CY10" s="15" t="str">
        <f>[1]TC!$E$3</f>
        <v>NULL</v>
      </c>
      <c r="CZ10" s="15" t="str">
        <f>[1]TC!$F$3</f>
        <v>NULL</v>
      </c>
      <c r="DA10" s="15" t="str">
        <f>[1]TC!$G$3</f>
        <v>1) https://www.samsung.com/us/trade-in/terms-and-conditions/</v>
      </c>
      <c r="DB10" s="15">
        <f>[1]TC!$H$3</f>
        <v>0</v>
      </c>
      <c r="DC10" s="15" t="str">
        <f>[1]TC!$I$3</f>
        <v>NULL</v>
      </c>
      <c r="DD10" s="15" t="str">
        <f>[1]TC!$J$3</f>
        <v>NULL</v>
      </c>
      <c r="DE10" s="15" t="str">
        <f>[1]TC!$K$3</f>
        <v>NULL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S7"/>
  <sheetViews>
    <sheetView workbookViewId="0">
      <selection activeCell="G21" sqref="G21"/>
    </sheetView>
  </sheetViews>
  <sheetFormatPr defaultRowHeight="15" x14ac:dyDescent="0.25"/>
  <cols>
    <col min="2" max="3" width="14.28515625" customWidth="1"/>
    <col min="4" max="4" width="1.7109375" customWidth="1"/>
    <col min="5" max="5" width="2.140625" customWidth="1"/>
    <col min="6" max="6" width="15.7109375" bestFit="1" customWidth="1"/>
    <col min="8" max="8" width="27.140625" customWidth="1"/>
    <col min="9" max="9" width="26.7109375" customWidth="1"/>
    <col min="10" max="54" width="9" customWidth="1"/>
  </cols>
  <sheetData>
    <row r="1" spans="1:175" s="1" customFormat="1" ht="47.45" customHeight="1" x14ac:dyDescent="0.25">
      <c r="A1" s="64" t="s">
        <v>183</v>
      </c>
      <c r="B1" s="65" t="s">
        <v>375</v>
      </c>
      <c r="C1" s="65" t="s">
        <v>185</v>
      </c>
      <c r="D1" s="65" t="s">
        <v>186</v>
      </c>
      <c r="E1" s="65" t="s">
        <v>187</v>
      </c>
      <c r="F1" s="65" t="s">
        <v>188</v>
      </c>
      <c r="G1" s="66" t="s">
        <v>189</v>
      </c>
      <c r="H1" s="67" t="s">
        <v>190</v>
      </c>
      <c r="I1" s="67" t="s">
        <v>191</v>
      </c>
      <c r="J1" s="68" t="s">
        <v>192</v>
      </c>
      <c r="K1" s="68" t="s">
        <v>193</v>
      </c>
      <c r="L1" s="69" t="s">
        <v>194</v>
      </c>
      <c r="M1" s="69" t="s">
        <v>195</v>
      </c>
      <c r="N1" s="69" t="s">
        <v>196</v>
      </c>
      <c r="O1" s="69" t="s">
        <v>197</v>
      </c>
      <c r="P1" s="69" t="s">
        <v>198</v>
      </c>
      <c r="Q1" s="69" t="s">
        <v>199</v>
      </c>
      <c r="R1" s="69" t="s">
        <v>200</v>
      </c>
      <c r="S1" s="69" t="s">
        <v>201</v>
      </c>
      <c r="T1" s="67" t="s">
        <v>202</v>
      </c>
      <c r="U1" s="68" t="s">
        <v>203</v>
      </c>
      <c r="V1" s="69" t="s">
        <v>204</v>
      </c>
      <c r="W1" s="69" t="s">
        <v>205</v>
      </c>
      <c r="X1" s="69" t="s">
        <v>206</v>
      </c>
      <c r="Y1" s="69" t="s">
        <v>207</v>
      </c>
      <c r="Z1" s="69" t="s">
        <v>208</v>
      </c>
      <c r="AA1" s="69" t="s">
        <v>209</v>
      </c>
      <c r="AB1" s="69" t="s">
        <v>210</v>
      </c>
      <c r="AC1" s="69" t="s">
        <v>211</v>
      </c>
      <c r="AD1" s="69" t="s">
        <v>212</v>
      </c>
      <c r="AE1" s="70" t="s">
        <v>214</v>
      </c>
      <c r="AF1" s="68" t="s">
        <v>215</v>
      </c>
      <c r="AG1" s="69" t="s">
        <v>216</v>
      </c>
      <c r="AH1" s="69" t="s">
        <v>217</v>
      </c>
      <c r="AI1" s="69" t="s">
        <v>218</v>
      </c>
      <c r="AJ1" s="69" t="s">
        <v>219</v>
      </c>
      <c r="AK1" s="69" t="s">
        <v>220</v>
      </c>
      <c r="AL1" s="69" t="s">
        <v>221</v>
      </c>
      <c r="AM1" s="69" t="s">
        <v>222</v>
      </c>
      <c r="AN1" s="69" t="s">
        <v>223</v>
      </c>
      <c r="AO1" s="69" t="s">
        <v>224</v>
      </c>
      <c r="AP1" s="69" t="s">
        <v>162</v>
      </c>
      <c r="AQ1" s="69" t="s">
        <v>213</v>
      </c>
      <c r="AR1" s="70" t="s">
        <v>225</v>
      </c>
      <c r="AS1" s="68" t="s">
        <v>226</v>
      </c>
      <c r="AT1" s="69" t="s">
        <v>227</v>
      </c>
      <c r="AU1" s="69" t="s">
        <v>228</v>
      </c>
      <c r="AV1" s="69" t="s">
        <v>229</v>
      </c>
      <c r="AW1" s="69" t="s">
        <v>230</v>
      </c>
      <c r="AX1" s="69" t="s">
        <v>231</v>
      </c>
      <c r="AY1" s="69" t="s">
        <v>232</v>
      </c>
      <c r="AZ1" s="69" t="s">
        <v>233</v>
      </c>
      <c r="BA1" s="69" t="s">
        <v>234</v>
      </c>
      <c r="BB1" s="69" t="s">
        <v>235</v>
      </c>
      <c r="BC1" s="71" t="s">
        <v>236</v>
      </c>
      <c r="BD1" s="68" t="s">
        <v>237</v>
      </c>
      <c r="BE1" s="69" t="s">
        <v>238</v>
      </c>
      <c r="BF1" s="69" t="s">
        <v>239</v>
      </c>
      <c r="BG1" s="69" t="s">
        <v>240</v>
      </c>
      <c r="BH1" s="69" t="s">
        <v>241</v>
      </c>
      <c r="BI1" s="69" t="s">
        <v>242</v>
      </c>
      <c r="BJ1" s="69" t="s">
        <v>243</v>
      </c>
      <c r="BK1" s="69" t="s">
        <v>244</v>
      </c>
      <c r="BL1" s="69" t="s">
        <v>245</v>
      </c>
      <c r="BM1" s="69" t="s">
        <v>246</v>
      </c>
      <c r="BN1" s="71" t="s">
        <v>247</v>
      </c>
      <c r="BO1" s="68" t="s">
        <v>248</v>
      </c>
      <c r="BP1" s="69" t="s">
        <v>249</v>
      </c>
      <c r="BQ1" s="69" t="s">
        <v>250</v>
      </c>
      <c r="BR1" s="69" t="s">
        <v>251</v>
      </c>
      <c r="BS1" s="69" t="s">
        <v>252</v>
      </c>
      <c r="BT1" s="69" t="s">
        <v>253</v>
      </c>
      <c r="BU1" s="69" t="s">
        <v>254</v>
      </c>
      <c r="BV1" s="69" t="s">
        <v>255</v>
      </c>
      <c r="BW1" s="69" t="s">
        <v>256</v>
      </c>
      <c r="BX1" s="69" t="s">
        <v>257</v>
      </c>
      <c r="BY1" s="71" t="s">
        <v>258</v>
      </c>
      <c r="BZ1" s="68" t="s">
        <v>259</v>
      </c>
      <c r="CA1" s="69" t="s">
        <v>260</v>
      </c>
      <c r="CB1" s="69" t="s">
        <v>261</v>
      </c>
      <c r="CC1" s="69" t="s">
        <v>262</v>
      </c>
      <c r="CD1" s="69" t="s">
        <v>263</v>
      </c>
      <c r="CE1" s="69" t="s">
        <v>264</v>
      </c>
      <c r="CF1" s="72" t="s">
        <v>265</v>
      </c>
      <c r="CG1" s="69" t="s">
        <v>266</v>
      </c>
      <c r="CH1" s="69" t="s">
        <v>267</v>
      </c>
      <c r="CI1" s="69" t="s">
        <v>268</v>
      </c>
      <c r="CJ1" s="71" t="s">
        <v>269</v>
      </c>
      <c r="CK1" s="68" t="s">
        <v>270</v>
      </c>
      <c r="CL1" s="69" t="s">
        <v>271</v>
      </c>
      <c r="CM1" s="69" t="s">
        <v>272</v>
      </c>
      <c r="CN1" s="69" t="s">
        <v>273</v>
      </c>
      <c r="CO1" s="69" t="s">
        <v>274</v>
      </c>
      <c r="CP1" s="69" t="s">
        <v>275</v>
      </c>
      <c r="CQ1" s="69" t="s">
        <v>276</v>
      </c>
      <c r="CR1" s="69" t="s">
        <v>277</v>
      </c>
      <c r="CS1" s="69" t="s">
        <v>278</v>
      </c>
      <c r="CT1" s="69" t="s">
        <v>279</v>
      </c>
      <c r="CU1" s="71" t="s">
        <v>280</v>
      </c>
      <c r="CV1" s="68" t="s">
        <v>281</v>
      </c>
      <c r="CW1" s="69" t="s">
        <v>282</v>
      </c>
      <c r="CX1" s="69" t="s">
        <v>283</v>
      </c>
      <c r="CY1" s="69" t="s">
        <v>284</v>
      </c>
      <c r="CZ1" s="69" t="s">
        <v>285</v>
      </c>
      <c r="DA1" s="69" t="s">
        <v>286</v>
      </c>
      <c r="DB1" s="69" t="s">
        <v>287</v>
      </c>
      <c r="DC1" s="69" t="s">
        <v>288</v>
      </c>
      <c r="DD1" s="69" t="s">
        <v>289</v>
      </c>
      <c r="DE1" s="69" t="s">
        <v>290</v>
      </c>
      <c r="DF1" s="71" t="s">
        <v>291</v>
      </c>
      <c r="DG1" s="68" t="s">
        <v>292</v>
      </c>
      <c r="DH1" s="69" t="s">
        <v>293</v>
      </c>
      <c r="DI1" s="69" t="s">
        <v>294</v>
      </c>
      <c r="DJ1" s="72" t="s">
        <v>295</v>
      </c>
      <c r="DK1" s="69" t="s">
        <v>296</v>
      </c>
      <c r="DL1" s="69" t="s">
        <v>297</v>
      </c>
      <c r="DM1" s="69" t="s">
        <v>298</v>
      </c>
      <c r="DN1" s="69" t="s">
        <v>299</v>
      </c>
      <c r="DO1" s="69" t="s">
        <v>300</v>
      </c>
      <c r="DP1" s="69" t="s">
        <v>301</v>
      </c>
      <c r="DQ1" s="71" t="s">
        <v>302</v>
      </c>
      <c r="DR1" s="68" t="s">
        <v>303</v>
      </c>
      <c r="DS1" s="69" t="s">
        <v>304</v>
      </c>
      <c r="DT1" s="69" t="s">
        <v>305</v>
      </c>
      <c r="DU1" s="72" t="s">
        <v>306</v>
      </c>
      <c r="DV1" s="69" t="s">
        <v>307</v>
      </c>
      <c r="DW1" s="69" t="s">
        <v>308</v>
      </c>
      <c r="DX1" s="69" t="s">
        <v>309</v>
      </c>
      <c r="DY1" s="69" t="s">
        <v>310</v>
      </c>
      <c r="DZ1" s="69" t="s">
        <v>311</v>
      </c>
      <c r="EA1" s="69" t="s">
        <v>312</v>
      </c>
      <c r="EB1" s="71" t="s">
        <v>313</v>
      </c>
      <c r="EC1" s="68" t="s">
        <v>314</v>
      </c>
      <c r="ED1" s="69" t="s">
        <v>315</v>
      </c>
      <c r="EE1" s="69" t="s">
        <v>316</v>
      </c>
      <c r="EF1" s="72" t="s">
        <v>317</v>
      </c>
      <c r="EG1" s="69" t="s">
        <v>318</v>
      </c>
      <c r="EH1" s="69" t="s">
        <v>319</v>
      </c>
      <c r="EI1" s="69" t="s">
        <v>320</v>
      </c>
      <c r="EJ1" s="69" t="s">
        <v>321</v>
      </c>
      <c r="EK1" s="69" t="s">
        <v>322</v>
      </c>
      <c r="EL1" s="69" t="s">
        <v>323</v>
      </c>
      <c r="EM1" s="71" t="s">
        <v>324</v>
      </c>
      <c r="EN1" s="68" t="s">
        <v>325</v>
      </c>
      <c r="EO1" s="69" t="s">
        <v>326</v>
      </c>
      <c r="EP1" s="69" t="s">
        <v>327</v>
      </c>
      <c r="EQ1" s="72" t="s">
        <v>328</v>
      </c>
      <c r="ER1" s="69" t="s">
        <v>329</v>
      </c>
      <c r="ES1" s="69" t="s">
        <v>330</v>
      </c>
      <c r="ET1" s="69" t="s">
        <v>331</v>
      </c>
      <c r="EU1" s="69" t="s">
        <v>332</v>
      </c>
      <c r="EV1" s="69" t="s">
        <v>333</v>
      </c>
      <c r="EW1" s="69" t="s">
        <v>334</v>
      </c>
      <c r="EX1" s="71" t="s">
        <v>335</v>
      </c>
      <c r="EY1" s="68" t="s">
        <v>336</v>
      </c>
      <c r="EZ1" s="69" t="s">
        <v>337</v>
      </c>
      <c r="FA1" s="69" t="s">
        <v>338</v>
      </c>
      <c r="FB1" s="72" t="s">
        <v>339</v>
      </c>
      <c r="FC1" s="69" t="s">
        <v>340</v>
      </c>
      <c r="FD1" s="69" t="s">
        <v>341</v>
      </c>
      <c r="FE1" s="69" t="s">
        <v>342</v>
      </c>
      <c r="FF1" s="69" t="s">
        <v>343</v>
      </c>
      <c r="FG1" s="69" t="s">
        <v>344</v>
      </c>
      <c r="FH1" s="69" t="s">
        <v>345</v>
      </c>
      <c r="FI1" s="71" t="s">
        <v>346</v>
      </c>
      <c r="FJ1" s="68" t="s">
        <v>347</v>
      </c>
      <c r="FK1" s="69" t="s">
        <v>348</v>
      </c>
      <c r="FL1" s="69" t="s">
        <v>349</v>
      </c>
      <c r="FM1" s="72" t="s">
        <v>350</v>
      </c>
      <c r="FN1" s="69" t="s">
        <v>351</v>
      </c>
      <c r="FO1" s="69" t="s">
        <v>352</v>
      </c>
      <c r="FP1" s="69" t="s">
        <v>353</v>
      </c>
      <c r="FQ1" s="69" t="s">
        <v>354</v>
      </c>
      <c r="FR1" s="69" t="s">
        <v>355</v>
      </c>
      <c r="FS1" s="69" t="s">
        <v>356</v>
      </c>
    </row>
    <row r="2" spans="1:175" ht="75" x14ac:dyDescent="0.25">
      <c r="A2" t="s">
        <v>0</v>
      </c>
      <c r="B2" s="77" t="s">
        <v>357</v>
      </c>
      <c r="C2" s="44" t="s">
        <v>358</v>
      </c>
      <c r="D2" t="s">
        <v>39</v>
      </c>
      <c r="E2" t="s">
        <v>39</v>
      </c>
      <c r="F2" t="s">
        <v>376</v>
      </c>
      <c r="H2" s="74" t="s">
        <v>359</v>
      </c>
      <c r="I2" s="74" t="s">
        <v>360</v>
      </c>
      <c r="J2" s="45" t="s">
        <v>115</v>
      </c>
      <c r="K2" s="15" t="str">
        <f>[1]MiscModules!$B$12</f>
        <v>NULL</v>
      </c>
      <c r="L2" s="15" t="str">
        <f>[1]MiscModules!$C$12</f>
        <v xml:space="preserve">Order by December 19 to get most smartphones, wearables, tablets and laptops delivered by December 25. </v>
      </c>
      <c r="M2" s="15" t="str">
        <f>[1]MiscModules!$D$12</f>
        <v>NULL</v>
      </c>
      <c r="N2" s="15" t="str">
        <f>[1]MiscModules!$E$12</f>
        <v>NULL</v>
      </c>
      <c r="O2" s="15" t="str">
        <f>[1]MiscModules!$F$12</f>
        <v>NULL</v>
      </c>
      <c r="P2" s="15" t="str">
        <f>[1]MiscModules!$G$12</f>
        <v>https://www.samsung.com/us/support/order-faqs/#SHIPPINGANDPAYMENTS</v>
      </c>
      <c r="Q2" s="15" t="str">
        <f>[1]MiscModules!$H$12</f>
        <v xml:space="preserve"> </v>
      </c>
      <c r="R2" s="15" t="str">
        <f>[1]MiscModules!$I$12</f>
        <v>NULL</v>
      </c>
      <c r="S2" s="15" t="str">
        <f>[1]MiscModules!$J$12</f>
        <v>NULL</v>
      </c>
      <c r="T2" s="45" t="s">
        <v>377</v>
      </c>
      <c r="U2" s="15" t="str">
        <f>[1]MiscModules!$B$10</f>
        <v xml:space="preserve"> </v>
      </c>
      <c r="V2" s="15" t="str">
        <f>[1]MiscModules!$C$10</f>
        <v xml:space="preserve">Students &amp; Educators • Government • Military • Save@Work • First Responders </v>
      </c>
      <c r="W2" s="15" t="str">
        <f>[1]MiscModules!$D$10</f>
        <v xml:space="preserve">Login to your Discount Program to save even more on the great offers below. </v>
      </c>
      <c r="X2" s="15" t="str">
        <f>[1]MiscModules!$E$10</f>
        <v>NULL</v>
      </c>
      <c r="Y2" s="15" t="str">
        <f>[1]MiscModules!$F$10</f>
        <v>NULL</v>
      </c>
      <c r="Z2" s="15" t="str">
        <f>[1]MiscModules!$G$10</f>
        <v>https://www.samsung.com/us/shop/all-deals/</v>
      </c>
      <c r="AA2"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2" s="15" t="str">
        <f>[1]MiscModules!$I$10</f>
        <v xml:space="preserve"> NULL</v>
      </c>
      <c r="AC2" s="15" t="str">
        <f>[1]MiscModules!$J$10</f>
        <v xml:space="preserve"> NULL</v>
      </c>
      <c r="AD2" s="15" t="str">
        <f>[1]MiscModules!$K$10</f>
        <v xml:space="preserve"> NULL</v>
      </c>
      <c r="AE2" s="75" t="s">
        <v>361</v>
      </c>
      <c r="AF2" s="15" t="str">
        <f>[1]MiscModules!$B$17</f>
        <v>Last_Minute_Deals_T2_KV.jpg</v>
      </c>
      <c r="AG2" s="15" t="str">
        <f>[1]MiscModules!$C$17</f>
        <v>Last-minute gifts just in time</v>
      </c>
      <c r="AH2" s="15" t="str">
        <f>[1]MiscModules!$D$17</f>
        <v>NULL</v>
      </c>
      <c r="AI2" s="15" t="str">
        <f>[1]MiscModules!$E$17</f>
        <v>NULL</v>
      </c>
      <c r="AJ2" s="15" t="str">
        <f>[1]MiscModules!$F$17</f>
        <v xml:space="preserve"> NULL</v>
      </c>
      <c r="AK2" s="15" t="str">
        <f>[1]MiscModules!$G$17</f>
        <v>https://www.samsung.com/us/shop/all-deals/</v>
      </c>
      <c r="AL2"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2" s="15" t="str">
        <f>[1]MiscModules!$I$17</f>
        <v xml:space="preserve"> NULL</v>
      </c>
      <c r="AN2" s="15" t="str">
        <f>[1]MiscModules!$J$17</f>
        <v xml:space="preserve"> NULL</v>
      </c>
      <c r="AO2" s="15" t="str">
        <f>[1]MiscModules!$K$17</f>
        <v xml:space="preserve"> NULL</v>
      </c>
      <c r="AP2" s="76">
        <v>44184</v>
      </c>
      <c r="AQ2" s="15" t="s">
        <v>362</v>
      </c>
      <c r="AR2" s="75" t="s">
        <v>363</v>
      </c>
      <c r="AS2" s="15" t="str">
        <f>[1]MiscModules!$B$2</f>
        <v>NULL</v>
      </c>
      <c r="AT2" s="15" t="str">
        <f>[1]MiscModules!$C$2</f>
        <v>NULL</v>
      </c>
      <c r="AU2" s="15" t="str">
        <f>[1]MiscModules!$D$2</f>
        <v xml:space="preserve">It’s not too late to give wonder. </v>
      </c>
      <c r="AV2" s="15" t="str">
        <f>[1]MiscModules!$E$2</f>
        <v xml:space="preserve">Plus,there is still time to redeem your exclusive $20 instant credit toward eligible accessories with smartphone purchase. </v>
      </c>
      <c r="AW2" s="15" t="str">
        <f>[1]MiscModules!$F$2</f>
        <v xml:space="preserve"> NULL</v>
      </c>
      <c r="AX2" s="15" t="str">
        <f>[1]MiscModules!$G$2</f>
        <v>https://www.samsung.com/us/shop/all-deals/</v>
      </c>
      <c r="AY2"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2" s="15" t="str">
        <f>[1]MiscModules!$I$2</f>
        <v xml:space="preserve"> NULL</v>
      </c>
      <c r="BA2" s="15" t="str">
        <f>[1]MiscModules!$J$2</f>
        <v xml:space="preserve"> NULL</v>
      </c>
      <c r="BB2" s="15" t="str">
        <f>[1]MiscModules!$K$2</f>
        <v xml:space="preserve"> NULL</v>
      </c>
      <c r="BC2" s="75" t="s">
        <v>364</v>
      </c>
      <c r="BD2" s="15" t="str">
        <f>[1]CC!$B$2</f>
        <v>106_IM_HeadImage_MB_Smartphones-500xV.jpg</v>
      </c>
      <c r="BE2" s="15" t="str">
        <f>[1]CC!$C$2</f>
        <v>Get up to 50% off select, must-have smartphones</v>
      </c>
      <c r="BF2" s="15" t="str">
        <f>[1]CC!$D$2</f>
        <v>NULL</v>
      </c>
      <c r="BG2"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H2" s="15" t="str">
        <f>[1]CC!$F$2</f>
        <v>Shop all</v>
      </c>
      <c r="BI2" s="15" t="str">
        <f>[1]CC!$G$2</f>
        <v>https://www.samsung.com/us/shop/all-deals/cell-phone-deals/</v>
      </c>
      <c r="BJ2"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K2" s="15" t="str">
        <f>[1]CC!$I$2</f>
        <v>NULL</v>
      </c>
      <c r="BL2" s="15" t="str">
        <f>[1]CC!$J$2</f>
        <v>NULL</v>
      </c>
      <c r="BM2" s="15" t="str">
        <f>[1]CC!$K$2</f>
        <v>NULL</v>
      </c>
      <c r="BN2" s="75" t="s">
        <v>365</v>
      </c>
      <c r="BO2" s="15" t="str">
        <f>[1]CC!$B$6</f>
        <v>108_ME_HeadImage_GW3_Buds_Live_500xV.jpg</v>
      </c>
      <c r="BP2" s="15" t="str">
        <f>[1]CC!$C$6</f>
        <v>Find perfect gifts for someone on the go</v>
      </c>
      <c r="BQ2" s="15" t="str">
        <f>[1]CC!$D$6</f>
        <v>NULL</v>
      </c>
      <c r="BR2" s="15" t="str">
        <f>[1]CC!$E$6</f>
        <v>Get healthier in style with up to $60  off select watches or get tough with $100 off Galaxy Watch3 Titanium. Plus, create an audio oasis with $30 off Galaxy Buds Live.</v>
      </c>
      <c r="BS2" s="15" t="str">
        <f>[1]CC!$F$6</f>
        <v>Shop all</v>
      </c>
      <c r="BT2" s="15" t="str">
        <f>[1]CC!$G$6</f>
        <v>https://www.samsung.com/us/shop/all-deals/tablets-wearables-cell-phone-accessories-deals/</v>
      </c>
      <c r="BU2"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BV2" s="15" t="str">
        <f>[1]CC!$I$6</f>
        <v>NULL</v>
      </c>
      <c r="BW2" s="15" t="str">
        <f>[1]CC!$J$6</f>
        <v>NULL</v>
      </c>
      <c r="BX2" s="15" t="str">
        <f>[1]CC!$K$6</f>
        <v>NULL</v>
      </c>
      <c r="BY2" s="75" t="s">
        <v>366</v>
      </c>
      <c r="BZ2" s="15" t="str">
        <f>[1]CC!$B$8</f>
        <v>109_HeadImage_laptops_Monitor_Tablets_memory_cards_500xV.jpg</v>
      </c>
      <c r="CA2" s="15" t="str">
        <f>[1]CC!$C$8</f>
        <v>Transform their space into a productive workplace</v>
      </c>
      <c r="CB2" s="15" t="str">
        <f>[1]CC!$D$8</f>
        <v>NULL</v>
      </c>
      <c r="CC2" s="15" t="str">
        <f>[1]CC!$E$8</f>
        <v xml:space="preserve">Get up to $200 off select laptops, up to $150 off select tablets, up to 30% off monitors and up to 50% off memory cards. </v>
      </c>
      <c r="CD2" s="15" t="str">
        <f>[1]CC!$F$8</f>
        <v>Shop all</v>
      </c>
      <c r="CE2" s="15" t="str">
        <f>[1]CC!$G$8</f>
        <v>https://www.samsung.com/us/shop/all-deals/laptop-and-computer-deals/</v>
      </c>
      <c r="CF2"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G2" s="15" t="str">
        <f>[1]CC!$I$8</f>
        <v>NULL</v>
      </c>
      <c r="CH2" s="15" t="str">
        <f>[1]CC!$J$8</f>
        <v>NULL</v>
      </c>
      <c r="CI2" s="15" t="str">
        <f>[1]CC!$K$8</f>
        <v>NULL</v>
      </c>
      <c r="CJ2" s="75" t="s">
        <v>367</v>
      </c>
      <c r="CK2" s="15" t="str">
        <f>[1]CC!$B$4</f>
        <v>107_HeadImage_TV_HA_500xV.jpg</v>
      </c>
      <c r="CL2" s="15" t="str">
        <f>[1]CC!$C$4</f>
        <v>Already checked your list twice?</v>
      </c>
      <c r="CM2" s="15" t="str">
        <f>[1]CC!$D$4</f>
        <v>NULL</v>
      </c>
      <c r="CN2" s="15" t="str">
        <f>[1]CC!$E$4</f>
        <v xml:space="preserve">Shop great offers on TVs, soundbars and home appliances for delivery after December 25. </v>
      </c>
      <c r="CO2" s="15" t="str">
        <f>[1]CC!$F$4</f>
        <v>Shop TV &amp; Audio</v>
      </c>
      <c r="CP2" s="15" t="str">
        <f>[1]CC!$G$4</f>
        <v>https://www.samsung.com/us/shop/all-deals/tv-and-home-theater-deals/</v>
      </c>
      <c r="CQ2"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R2" s="15" t="str">
        <f>[1]CC!$I$4</f>
        <v>Shop Home Appliances</v>
      </c>
      <c r="CS2" s="15" t="str">
        <f>[1]CC!$J$4</f>
        <v>https://www.samsung.com/us/shop/all-deals/home-appliance-and-smart-home-sales/</v>
      </c>
      <c r="CT2"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U2" s="75" t="s">
        <v>368</v>
      </c>
      <c r="CV2" s="15" t="str">
        <f>[1]MiscModules!$B$8</f>
        <v>Give-wonder-500xV.jpg</v>
      </c>
      <c r="CW2" s="15" t="str">
        <f>[1]MiscModules!$C$8</f>
        <v>NULL</v>
      </c>
      <c r="CX2" s="15" t="str">
        <f>[1]MiscModules!$D$8</f>
        <v>NULL</v>
      </c>
      <c r="CY2"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Z2" s="15" t="str">
        <f>[1]MiscModules!$F$8</f>
        <v>Shop now</v>
      </c>
      <c r="DA2" s="15" t="str">
        <f>[1]MiscModules!$G$8</f>
        <v>https://www.samsung.com/us/gift-ideas/</v>
      </c>
      <c r="DB2"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C2" s="15" t="str">
        <f>[1]MiscModules!$I$8</f>
        <v xml:space="preserve"> NULL</v>
      </c>
      <c r="DD2" s="15" t="str">
        <f>[1]MiscModules!$J$8</f>
        <v xml:space="preserve"> NULL</v>
      </c>
      <c r="DE2" s="15" t="str">
        <f>[1]MiscModules!$K$8</f>
        <v xml:space="preserve"> NULL</v>
      </c>
      <c r="DF2" s="45" t="s">
        <v>369</v>
      </c>
      <c r="DG2" s="15" t="str">
        <f>[1]TC!$B$6</f>
        <v>NULL</v>
      </c>
      <c r="DH2"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I2" s="15" t="str">
        <f>[1]TC!$D$6</f>
        <v>NULL</v>
      </c>
      <c r="DJ2" s="15" t="str">
        <f>[1]TC!$E$6</f>
        <v>NULL</v>
      </c>
      <c r="DK2" s="15" t="str">
        <f>[1]TC!$F$6</f>
        <v>NULL</v>
      </c>
      <c r="DL2" s="15" t="str">
        <f>[1]TC!$G$6</f>
        <v xml:space="preserve">https://www.samsung.com/us/
</v>
      </c>
      <c r="DM2" s="15">
        <f>[1]TC!$H$6</f>
        <v>0</v>
      </c>
      <c r="DN2" s="15" t="str">
        <f>[1]TC!$I$6</f>
        <v>NULL</v>
      </c>
      <c r="DO2" s="15" t="str">
        <f>[1]TC!$J$6</f>
        <v>NULL</v>
      </c>
      <c r="DP2" s="15" t="str">
        <f>[1]TC!$K$6</f>
        <v>NULL</v>
      </c>
    </row>
    <row r="3" spans="1:175" ht="75" x14ac:dyDescent="0.25">
      <c r="A3" t="s">
        <v>0</v>
      </c>
      <c r="B3" s="77" t="s">
        <v>357</v>
      </c>
      <c r="C3" s="44" t="s">
        <v>358</v>
      </c>
      <c r="D3" t="s">
        <v>39</v>
      </c>
      <c r="E3" t="s">
        <v>39</v>
      </c>
      <c r="F3" t="s">
        <v>378</v>
      </c>
      <c r="H3" s="74" t="s">
        <v>359</v>
      </c>
      <c r="I3" s="74" t="s">
        <v>360</v>
      </c>
      <c r="J3" s="45" t="s">
        <v>115</v>
      </c>
      <c r="K3" s="15" t="str">
        <f>[1]MiscModules!$B$13</f>
        <v>NULL</v>
      </c>
      <c r="L3" s="15" t="str">
        <f>[1]MiscModules!$C$13</f>
        <v xml:space="preserve">Order by December 19 to get most smartphones, wearables, tablets and laptops delivered by December 25. </v>
      </c>
      <c r="M3" s="15" t="str">
        <f>[1]MiscModules!$D$13</f>
        <v>NULL</v>
      </c>
      <c r="N3" s="15" t="str">
        <f>[1]MiscModules!$E$13</f>
        <v>NULL</v>
      </c>
      <c r="O3" s="15" t="str">
        <f>[1]MiscModules!$F$13</f>
        <v>NULL</v>
      </c>
      <c r="P3" s="15" t="str">
        <f>[1]MiscModules!$G$13</f>
        <v>https://www.samsung.com/us/support/order-faqs/#SHIPPINGANDPAYMENTS</v>
      </c>
      <c r="Q3" s="15" t="str">
        <f>[1]MiscModules!$H$13</f>
        <v xml:space="preserve"> </v>
      </c>
      <c r="R3" s="15" t="str">
        <f>[1]MiscModules!$I$13</f>
        <v>NULL</v>
      </c>
      <c r="S3" s="15" t="str">
        <f>[1]MiscModules!$J$13</f>
        <v>NULL</v>
      </c>
      <c r="T3" s="45" t="s">
        <v>377</v>
      </c>
      <c r="U3" s="15">
        <f>[1]MiscModules!$B$11</f>
        <v>0</v>
      </c>
      <c r="V3" s="15" t="str">
        <f>[1]MiscModules!$C$11</f>
        <v xml:space="preserve">Students &amp; Educators • Government • Military • Save@Work • First Responders </v>
      </c>
      <c r="W3" s="15" t="str">
        <f>[1]MiscModules!$D$11</f>
        <v xml:space="preserve">Login to your Discount Program to save even more on the great offers below. </v>
      </c>
      <c r="X3" s="15" t="str">
        <f>[1]MiscModules!$E$11</f>
        <v>NULL</v>
      </c>
      <c r="Y3" s="15" t="str">
        <f>[1]MiscModules!$F$11</f>
        <v>NULL</v>
      </c>
      <c r="Z3" s="15" t="str">
        <f>[1]MiscModules!$G$11</f>
        <v>https://www.samsung.com/us/shop/all-deals/</v>
      </c>
      <c r="AA3" s="15" t="str">
        <f>[1]MiscModules!$H$11</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3" s="15" t="str">
        <f>[1]MiscModules!$I$11</f>
        <v xml:space="preserve"> NULL</v>
      </c>
      <c r="AC3" s="15" t="str">
        <f>[1]MiscModules!$J$11</f>
        <v xml:space="preserve"> NULL</v>
      </c>
      <c r="AD3" s="15" t="str">
        <f>[1]MiscModules!$K$10</f>
        <v xml:space="preserve"> NULL</v>
      </c>
      <c r="AE3" s="75" t="s">
        <v>361</v>
      </c>
      <c r="AF3" s="15" t="str">
        <f>[1]MiscModules!$B$18</f>
        <v>Last_Minute_Deals_T2_KV.jpg</v>
      </c>
      <c r="AG3" s="15" t="str">
        <f>[1]MiscModules!$C$18</f>
        <v>Last-minute gifts just in time</v>
      </c>
      <c r="AH3" s="15" t="str">
        <f>[1]MiscModules!$D$18</f>
        <v>NULL</v>
      </c>
      <c r="AI3" s="15" t="str">
        <f>[1]MiscModules!$E$18</f>
        <v>NULL</v>
      </c>
      <c r="AJ3" s="15" t="str">
        <f>[1]MiscModules!$F$18</f>
        <v xml:space="preserve"> NULL</v>
      </c>
      <c r="AK3" s="15" t="str">
        <f>[1]MiscModules!$G$18</f>
        <v>https://www.samsung.com/us/shop/all-deals/</v>
      </c>
      <c r="AL3"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M3" s="15" t="str">
        <f>[1]MiscModules!$I$18</f>
        <v xml:space="preserve"> NULL</v>
      </c>
      <c r="AN3" s="15" t="str">
        <f>[1]MiscModules!$J$18</f>
        <v xml:space="preserve"> NULL</v>
      </c>
      <c r="AO3" s="15" t="str">
        <f>[1]MiscModules!$K$18</f>
        <v xml:space="preserve"> NULL</v>
      </c>
      <c r="AP3" s="76">
        <v>44184</v>
      </c>
      <c r="AQ3" s="15" t="s">
        <v>362</v>
      </c>
      <c r="AR3" s="75" t="s">
        <v>363</v>
      </c>
      <c r="AS3" s="15" t="str">
        <f>[1]MiscModules!$B$3</f>
        <v>NULL</v>
      </c>
      <c r="AT3" s="15" t="str">
        <f>[1]MiscModules!$C$3</f>
        <v>NULL</v>
      </c>
      <c r="AU3" s="15" t="str">
        <f>[1]MiscModules!$D$3</f>
        <v xml:space="preserve">It’s not too late to give wonder. </v>
      </c>
      <c r="AV3" s="15" t="str">
        <f>[1]MiscModules!$E$3</f>
        <v>NULL</v>
      </c>
      <c r="AW3" s="15" t="str">
        <f>[1]MiscModules!$F$3</f>
        <v xml:space="preserve"> NULL</v>
      </c>
      <c r="AX3" s="15" t="str">
        <f>[1]MiscModules!$G$3</f>
        <v>https://www.samsung.com/us/shop/all-deals/</v>
      </c>
      <c r="AY3"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Z3" s="15" t="str">
        <f>[1]MiscModules!$I$3</f>
        <v xml:space="preserve"> NULL</v>
      </c>
      <c r="BA3" s="15" t="str">
        <f>[1]MiscModules!$J$3</f>
        <v xml:space="preserve"> NULL</v>
      </c>
      <c r="BB3" s="15" t="str">
        <f>[1]MiscModules!$K$3</f>
        <v xml:space="preserve"> NULL</v>
      </c>
      <c r="BC3" s="75" t="s">
        <v>364</v>
      </c>
      <c r="BD3" s="15" t="str">
        <f>[1]CC!$B$3</f>
        <v>106_IM_HeadImage_MB_Smartphones-500xV.jpg</v>
      </c>
      <c r="BE3" s="15" t="str">
        <f>[1]CC!$C$3</f>
        <v>Get up to 50% off select, must-have smartphones</v>
      </c>
      <c r="BF3" s="15" t="str">
        <f>[1]CC!$D$3</f>
        <v>NULL</v>
      </c>
      <c r="BG3" s="15" t="str">
        <f>[1]CC!$E$3</f>
        <v xml:space="preserve">Take stunning pictures with Galaxy S20 5G, unfold a world of infinite possibilities with Galaxy Z Fold2 5G or get it all without breaking the bank with Galaxy A71 5G from Verizon and T-Mobile. </v>
      </c>
      <c r="BH3" s="15" t="str">
        <f>[1]CC!$F$3</f>
        <v>Shop all</v>
      </c>
      <c r="BI3" s="15" t="str">
        <f>[1]CC!$G$3</f>
        <v>https://www.samsung.com/us/shop/all-deals/cell-phone-deals/</v>
      </c>
      <c r="BJ3"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K3" s="15" t="str">
        <f>[1]CC!$I$3</f>
        <v>NULL</v>
      </c>
      <c r="BL3" s="15" t="str">
        <f>[1]CC!$J$3</f>
        <v>NULL</v>
      </c>
      <c r="BM3" s="15" t="str">
        <f>[1]CC!$K$3</f>
        <v>NULL</v>
      </c>
      <c r="BN3" s="75" t="s">
        <v>365</v>
      </c>
      <c r="BO3" s="15" t="str">
        <f>[1]CC!$B$7</f>
        <v>108_ME_HeadImage_GW3_Buds_Live_500xV.jpg</v>
      </c>
      <c r="BP3" s="15" t="str">
        <f>[1]CC!$C$7</f>
        <v>Find perfect gifts for someone on the go</v>
      </c>
      <c r="BQ3" s="15" t="str">
        <f>[1]CC!$D$7</f>
        <v>NULL</v>
      </c>
      <c r="BR3" s="15" t="str">
        <f>[1]CC!$E$7</f>
        <v>Get healthier in style with up to $60  off select watches or get tough with $100 off Galaxy Watch3 Titanium. Plus, create an audio oasis with $30 off Galaxy Buds Live.</v>
      </c>
      <c r="BS3" s="15" t="str">
        <f>[1]CC!$F$7</f>
        <v>Shop all</v>
      </c>
      <c r="BT3" s="15" t="str">
        <f>[1]CC!$G$7</f>
        <v>https://www.samsung.com/us/shop/all-deals/tablets-wearables-cell-phone-accessories-deals/</v>
      </c>
      <c r="BU3"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BV3" s="15" t="str">
        <f>[1]CC!$I$7</f>
        <v>NULL</v>
      </c>
      <c r="BW3" s="15" t="str">
        <f>[1]CC!$J$7</f>
        <v>NULL</v>
      </c>
      <c r="BX3" s="15" t="str">
        <f>[1]CC!$K$7</f>
        <v>NULL</v>
      </c>
      <c r="BY3" s="75" t="s">
        <v>366</v>
      </c>
      <c r="BZ3" s="15" t="e">
        <f>[1]CC!#REF!</f>
        <v>#REF!</v>
      </c>
      <c r="CA3" s="15" t="str">
        <f>[1]CC!$C$9</f>
        <v>Transform their space into a productive workplace</v>
      </c>
      <c r="CB3" s="15" t="str">
        <f>[1]CC!$D$9</f>
        <v>NULL</v>
      </c>
      <c r="CC3" s="15" t="str">
        <f>[1]CC!$E$9</f>
        <v xml:space="preserve">Get up to $200 off select laptops, up to $150 off select tablets, up to 30% off monitors and up to 50% off memory cards. </v>
      </c>
      <c r="CD3" s="15" t="str">
        <f>[1]CC!$F$9</f>
        <v>Shop all</v>
      </c>
      <c r="CE3" s="15" t="str">
        <f>[1]CC!$G$9</f>
        <v>https://www.samsung.com/us/shop/all-deals/laptop-and-computer-deals/</v>
      </c>
      <c r="CF3"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G3" s="15" t="str">
        <f>[1]CC!$I$9</f>
        <v>NULL</v>
      </c>
      <c r="CH3" s="15" t="str">
        <f>[1]CC!$J$9</f>
        <v>NULL</v>
      </c>
      <c r="CI3" s="15" t="str">
        <f>[1]CC!$K$9</f>
        <v>NULL</v>
      </c>
      <c r="CJ3" s="75" t="s">
        <v>367</v>
      </c>
      <c r="CK3" s="15" t="str">
        <f>[1]CC!$B$5</f>
        <v>107_HeadImage_TV_HA_500xV.jpg</v>
      </c>
      <c r="CL3" s="15" t="str">
        <f>[1]CC!$C$5</f>
        <v>Already checked your list twice?</v>
      </c>
      <c r="CM3" s="15" t="str">
        <f>[1]CC!$D$5</f>
        <v>NULL</v>
      </c>
      <c r="CN3" s="15" t="str">
        <f>[1]CC!$E$5</f>
        <v xml:space="preserve">Shop great offers on TVs, soundbars and home appliances for delivery after December 25. </v>
      </c>
      <c r="CO3" s="15" t="str">
        <f>[1]CC!$F$5</f>
        <v>Shop TV &amp; Audio</v>
      </c>
      <c r="CP3" s="15" t="str">
        <f>[1]CC!$G$5</f>
        <v>https://www.samsung.com/us/shop/all-deals/tv-and-home-theater-deals/</v>
      </c>
      <c r="CQ3"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R3" s="15" t="str">
        <f>[1]CC!$I$5</f>
        <v>Shop Home Appliances</v>
      </c>
      <c r="CS3" s="15" t="str">
        <f>[1]CC!$J$5</f>
        <v>https://www.samsung.com/us/shop/all-deals/home-appliance-and-smart-home-sales/</v>
      </c>
      <c r="CT3"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U3" s="75" t="s">
        <v>368</v>
      </c>
      <c r="CV3" s="15" t="str">
        <f>[1]MiscModules!$B$9</f>
        <v>Give-wonder-500xV.jpg</v>
      </c>
      <c r="CW3" s="15" t="str">
        <f>[1]MiscModules!$C$9</f>
        <v>NULL</v>
      </c>
      <c r="CX3" s="15" t="str">
        <f>[1]MiscModules!$D$9</f>
        <v>NULL</v>
      </c>
      <c r="CY3" s="15" t="str">
        <f>[1]MiscModules!$E$9</f>
        <v xml:space="preserve">Discover even more exclusive offers on your favorite products. Unlock the power of smart and savvy gifting with our holiday gift guide. </v>
      </c>
      <c r="CZ3" s="15" t="str">
        <f>[1]MiscModules!$F$9</f>
        <v>Shop now</v>
      </c>
      <c r="DA3" s="15" t="str">
        <f>[1]MiscModules!$G$9</f>
        <v>https://www.samsung.com/us/gift-ideas/</v>
      </c>
      <c r="DB3"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C3" s="15" t="str">
        <f>[1]MiscModules!$I$9</f>
        <v xml:space="preserve"> NULL</v>
      </c>
      <c r="DD3" s="15" t="str">
        <f>[1]MiscModules!$J$9</f>
        <v xml:space="preserve"> NULL</v>
      </c>
      <c r="DE3" s="15" t="str">
        <f>[1]MiscModules!$K$9</f>
        <v xml:space="preserve"> NULL</v>
      </c>
      <c r="DF3" s="15"/>
      <c r="DG3" s="15"/>
      <c r="DH3" s="15"/>
      <c r="DI3" s="15"/>
      <c r="DJ3" s="15"/>
      <c r="DK3" s="15"/>
      <c r="DL3" s="15"/>
      <c r="DM3" s="15"/>
      <c r="DN3" s="15"/>
      <c r="DO3" s="15"/>
      <c r="DP3" s="15"/>
    </row>
    <row r="4" spans="1:175" ht="75" x14ac:dyDescent="0.25">
      <c r="A4" t="s">
        <v>0</v>
      </c>
      <c r="B4" s="77" t="s">
        <v>117</v>
      </c>
      <c r="C4" s="44" t="s">
        <v>371</v>
      </c>
      <c r="D4" t="s">
        <v>39</v>
      </c>
      <c r="E4" t="s">
        <v>39</v>
      </c>
      <c r="F4" t="s">
        <v>376</v>
      </c>
      <c r="H4" s="74" t="s">
        <v>372</v>
      </c>
      <c r="I4" s="74" t="s">
        <v>360</v>
      </c>
      <c r="J4" s="45" t="s">
        <v>115</v>
      </c>
      <c r="K4" s="15" t="str">
        <f>[1]MiscModules!$B$12</f>
        <v>NULL</v>
      </c>
      <c r="L4" s="15" t="str">
        <f>[1]MiscModules!$C$12</f>
        <v xml:space="preserve">Order by December 19 to get most smartphones, wearables, tablets and laptops delivered by December 25. </v>
      </c>
      <c r="M4" s="15" t="str">
        <f>[1]MiscModules!$D$12</f>
        <v>NULL</v>
      </c>
      <c r="N4" s="15" t="str">
        <f>[1]MiscModules!$E$12</f>
        <v>NULL</v>
      </c>
      <c r="O4" s="15" t="str">
        <f>[1]MiscModules!$F$12</f>
        <v>NULL</v>
      </c>
      <c r="P4" s="15" t="str">
        <f>[1]MiscModules!$G$12</f>
        <v>https://www.samsung.com/us/support/order-faqs/#SHIPPINGANDPAYMENTS</v>
      </c>
      <c r="Q4" s="15" t="str">
        <f>[1]MiscModules!$H$12</f>
        <v xml:space="preserve"> </v>
      </c>
      <c r="R4" s="15" t="str">
        <f>[1]MiscModules!$I$12</f>
        <v>NULL</v>
      </c>
      <c r="S4" s="15" t="str">
        <f>[1]MiscModules!$J$12</f>
        <v>NULL</v>
      </c>
      <c r="T4" s="45" t="s">
        <v>377</v>
      </c>
      <c r="U4" s="15" t="str">
        <f>[1]MiscModules!$B$10</f>
        <v xml:space="preserve"> </v>
      </c>
      <c r="V4" s="15" t="str">
        <f>[1]MiscModules!$C$10</f>
        <v xml:space="preserve">Students &amp; Educators • Government • Military • Save@Work • First Responders </v>
      </c>
      <c r="W4" s="15" t="str">
        <f>[1]MiscModules!$D$10</f>
        <v xml:space="preserve">Login to your Discount Program to save even more on the great offers below. </v>
      </c>
      <c r="X4" s="15" t="str">
        <f>[1]MiscModules!$E$10</f>
        <v>NULL</v>
      </c>
      <c r="Y4" s="15" t="str">
        <f>[1]MiscModules!$F$10</f>
        <v>NULL</v>
      </c>
      <c r="Z4" s="15" t="str">
        <f>[1]MiscModules!$G$10</f>
        <v>https://www.samsung.com/us/shop/all-deals/</v>
      </c>
      <c r="AA4"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4" s="15" t="str">
        <f>[1]MiscModules!$I$10</f>
        <v xml:space="preserve"> NULL</v>
      </c>
      <c r="AC4" s="15" t="str">
        <f>[1]MiscModules!$J$10</f>
        <v xml:space="preserve"> NULL</v>
      </c>
      <c r="AD4" s="15" t="str">
        <f>[1]MiscModules!$K$10</f>
        <v xml:space="preserve"> NULL</v>
      </c>
      <c r="AE4" s="75" t="s">
        <v>361</v>
      </c>
      <c r="AF4" s="15" t="str">
        <f>[1]MiscModules!$B$17</f>
        <v>Last_Minute_Deals_T2_KV.jpg</v>
      </c>
      <c r="AG4" s="15" t="str">
        <f>[1]MiscModules!$C$17</f>
        <v>Last-minute gifts just in time</v>
      </c>
      <c r="AH4" s="15" t="str">
        <f>[1]MiscModules!$D$17</f>
        <v>NULL</v>
      </c>
      <c r="AI4" s="15" t="str">
        <f>[1]MiscModules!$E$17</f>
        <v>NULL</v>
      </c>
      <c r="AJ4" s="15" t="str">
        <f>[1]MiscModules!$F$17</f>
        <v xml:space="preserve"> NULL</v>
      </c>
      <c r="AK4" s="15" t="str">
        <f>[1]MiscModules!$G$17</f>
        <v>https://www.samsung.com/us/shop/all-deals/</v>
      </c>
      <c r="AL4"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4" s="15" t="str">
        <f>[1]MiscModules!$I$17</f>
        <v xml:space="preserve"> NULL</v>
      </c>
      <c r="AN4" s="15" t="str">
        <f>[1]MiscModules!$J$17</f>
        <v xml:space="preserve"> NULL</v>
      </c>
      <c r="AO4" s="15" t="str">
        <f>[1]MiscModules!$K$17</f>
        <v xml:space="preserve"> NULL</v>
      </c>
      <c r="AP4" s="76">
        <v>44184</v>
      </c>
      <c r="AQ4" s="15" t="s">
        <v>362</v>
      </c>
      <c r="AR4" s="75" t="s">
        <v>363</v>
      </c>
      <c r="AS4" s="15" t="str">
        <f>[1]MiscModules!$B$2</f>
        <v>NULL</v>
      </c>
      <c r="AT4" s="15" t="str">
        <f>[1]MiscModules!$C$2</f>
        <v>NULL</v>
      </c>
      <c r="AU4" s="15" t="str">
        <f>[1]MiscModules!$D$2</f>
        <v xml:space="preserve">It’s not too late to give wonder. </v>
      </c>
      <c r="AV4" s="15" t="str">
        <f>[1]MiscModules!$E$2</f>
        <v xml:space="preserve">Plus,there is still time to redeem your exclusive $20 instant credit toward eligible accessories with smartphone purchase. </v>
      </c>
      <c r="AW4" s="15" t="str">
        <f>[1]MiscModules!$F$2</f>
        <v xml:space="preserve"> NULL</v>
      </c>
      <c r="AX4" s="15" t="str">
        <f>[1]MiscModules!$G$2</f>
        <v>https://www.samsung.com/us/shop/all-deals/</v>
      </c>
      <c r="AY4"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4" s="15" t="str">
        <f>[1]MiscModules!$I$2</f>
        <v xml:space="preserve"> NULL</v>
      </c>
      <c r="BA4" s="15" t="str">
        <f>[1]MiscModules!$J$2</f>
        <v xml:space="preserve"> NULL</v>
      </c>
      <c r="BB4" s="15" t="str">
        <f>[1]MiscModules!$K$2</f>
        <v xml:space="preserve"> NULL</v>
      </c>
      <c r="BC4" s="75" t="s">
        <v>365</v>
      </c>
      <c r="BD4" s="15" t="str">
        <f>[1]CC!$B$6</f>
        <v>108_ME_HeadImage_GW3_Buds_Live_500xV.jpg</v>
      </c>
      <c r="BE4" s="15" t="str">
        <f>[1]CC!$C$6</f>
        <v>Find perfect gifts for someone on the go</v>
      </c>
      <c r="BF4" s="15" t="str">
        <f>[1]CC!$D$6</f>
        <v>NULL</v>
      </c>
      <c r="BG4" s="15" t="str">
        <f>[1]CC!$E$6</f>
        <v>Get healthier in style with up to $60  off select watches or get tough with $100 off Galaxy Watch3 Titanium. Plus, create an audio oasis with $30 off Galaxy Buds Live.</v>
      </c>
      <c r="BH4" s="15" t="str">
        <f>[1]CC!$F$6</f>
        <v>Shop all</v>
      </c>
      <c r="BI4" s="15" t="str">
        <f>[1]CC!$G$6</f>
        <v>https://www.samsung.com/us/shop/all-deals/tablets-wearables-cell-phone-accessories-deals/</v>
      </c>
      <c r="BJ4"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BK4" s="15" t="str">
        <f>[1]CC!$I$6</f>
        <v>NULL</v>
      </c>
      <c r="BL4" s="15" t="str">
        <f>[1]CC!$J$6</f>
        <v>NULL</v>
      </c>
      <c r="BM4" s="15" t="str">
        <f>[1]CC!$K$6</f>
        <v>NULL</v>
      </c>
      <c r="BN4" s="75" t="s">
        <v>364</v>
      </c>
      <c r="BO4" s="15" t="str">
        <f>[1]CC!$B$2</f>
        <v>106_IM_HeadImage_MB_Smartphones-500xV.jpg</v>
      </c>
      <c r="BP4" s="15" t="str">
        <f>[1]CC!$C$2</f>
        <v>Get up to 50% off select, must-have smartphones</v>
      </c>
      <c r="BQ4" s="15" t="str">
        <f>[1]CC!$D$2</f>
        <v>NULL</v>
      </c>
      <c r="BR4"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S4" s="15" t="str">
        <f>[1]CC!$F$2</f>
        <v>Shop all</v>
      </c>
      <c r="BT4" s="15" t="str">
        <f>[1]CC!$G$2</f>
        <v>https://www.samsung.com/us/shop/all-deals/cell-phone-deals/</v>
      </c>
      <c r="BU4"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V4" s="15" t="str">
        <f>[1]CC!$I$2</f>
        <v>NULL</v>
      </c>
      <c r="BW4" s="15" t="str">
        <f>[1]CC!$J$2</f>
        <v>NULL</v>
      </c>
      <c r="BX4" s="15" t="str">
        <f>[1]CC!$K$2</f>
        <v>NULL</v>
      </c>
      <c r="BY4" s="75" t="s">
        <v>366</v>
      </c>
      <c r="BZ4" s="15" t="str">
        <f>[1]CC!$B$8</f>
        <v>109_HeadImage_laptops_Monitor_Tablets_memory_cards_500xV.jpg</v>
      </c>
      <c r="CA4" s="15" t="str">
        <f>[1]CC!$C$8</f>
        <v>Transform their space into a productive workplace</v>
      </c>
      <c r="CB4" s="15" t="str">
        <f>[1]CC!$D$8</f>
        <v>NULL</v>
      </c>
      <c r="CC4" s="15" t="str">
        <f>[1]CC!$E$8</f>
        <v xml:space="preserve">Get up to $200 off select laptops, up to $150 off select tablets, up to 30% off monitors and up to 50% off memory cards. </v>
      </c>
      <c r="CD4" s="15" t="str">
        <f>[1]CC!$F$8</f>
        <v>Shop all</v>
      </c>
      <c r="CE4" s="15" t="str">
        <f>[1]CC!$G$8</f>
        <v>https://www.samsung.com/us/shop/all-deals/laptop-and-computer-deals/</v>
      </c>
      <c r="CF4"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G4" s="15" t="str">
        <f>[1]CC!$I$8</f>
        <v>NULL</v>
      </c>
      <c r="CH4" s="15" t="str">
        <f>[1]CC!$J$8</f>
        <v>NULL</v>
      </c>
      <c r="CI4" s="15" t="str">
        <f>[1]CC!$K$8</f>
        <v>NULL</v>
      </c>
      <c r="CJ4" s="75" t="s">
        <v>367</v>
      </c>
      <c r="CK4" s="15" t="str">
        <f>[1]CC!$B$4</f>
        <v>107_HeadImage_TV_HA_500xV.jpg</v>
      </c>
      <c r="CL4" s="15" t="str">
        <f>[1]CC!$C$4</f>
        <v>Already checked your list twice?</v>
      </c>
      <c r="CM4" s="15" t="str">
        <f>[1]CC!$D$4</f>
        <v>NULL</v>
      </c>
      <c r="CN4" s="15" t="str">
        <f>[1]CC!$E$4</f>
        <v xml:space="preserve">Shop great offers on TVs, soundbars and home appliances for delivery after December 25. </v>
      </c>
      <c r="CO4" s="15" t="str">
        <f>[1]CC!$F$4</f>
        <v>Shop TV &amp; Audio</v>
      </c>
      <c r="CP4" s="15" t="str">
        <f>[1]CC!$G$4</f>
        <v>https://www.samsung.com/us/shop/all-deals/tv-and-home-theater-deals/</v>
      </c>
      <c r="CQ4"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R4" s="15" t="str">
        <f>[1]CC!$I$4</f>
        <v>Shop Home Appliances</v>
      </c>
      <c r="CS4" s="15" t="str">
        <f>[1]CC!$J$4</f>
        <v>https://www.samsung.com/us/shop/all-deals/home-appliance-and-smart-home-sales/</v>
      </c>
      <c r="CT4"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U4" s="75" t="s">
        <v>368</v>
      </c>
      <c r="CV4" s="15" t="str">
        <f>[1]MiscModules!$B$8</f>
        <v>Give-wonder-500xV.jpg</v>
      </c>
      <c r="CW4" s="15" t="str">
        <f>[1]MiscModules!$C$8</f>
        <v>NULL</v>
      </c>
      <c r="CX4" s="15" t="str">
        <f>[1]MiscModules!$D$8</f>
        <v>NULL</v>
      </c>
      <c r="CY4"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Z4" s="15" t="str">
        <f>[1]MiscModules!$F$8</f>
        <v>Shop now</v>
      </c>
      <c r="DA4" s="15" t="str">
        <f>[1]MiscModules!$G$8</f>
        <v>https://www.samsung.com/us/gift-ideas/</v>
      </c>
      <c r="DB4"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C4" s="15" t="str">
        <f>[1]MiscModules!$I$8</f>
        <v xml:space="preserve"> NULL</v>
      </c>
      <c r="DD4" s="15" t="str">
        <f>[1]MiscModules!$J$8</f>
        <v xml:space="preserve"> NULL</v>
      </c>
      <c r="DE4" s="15" t="str">
        <f>[1]MiscModules!$K$8</f>
        <v xml:space="preserve"> NULL</v>
      </c>
      <c r="DF4" s="45" t="s">
        <v>369</v>
      </c>
      <c r="DG4" s="15" t="str">
        <f>[1]TC!$B$6</f>
        <v>NULL</v>
      </c>
      <c r="DH4"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I4" s="15" t="str">
        <f>[1]TC!$D$6</f>
        <v>NULL</v>
      </c>
      <c r="DJ4" s="15" t="str">
        <f>[1]TC!$E$6</f>
        <v>NULL</v>
      </c>
      <c r="DK4" s="15" t="str">
        <f>[1]TC!$F$6</f>
        <v>NULL</v>
      </c>
      <c r="DL4" s="15" t="str">
        <f>[1]TC!$G$6</f>
        <v xml:space="preserve">https://www.samsung.com/us/
</v>
      </c>
      <c r="DM4" s="15">
        <f>[1]TC!$H$6</f>
        <v>0</v>
      </c>
      <c r="DN4" s="15" t="str">
        <f>[1]TC!$I$6</f>
        <v>NULL</v>
      </c>
      <c r="DO4" s="15" t="str">
        <f>[1]TC!$J$6</f>
        <v>NULL</v>
      </c>
      <c r="DP4" s="15" t="str">
        <f>[1]TC!$K$6</f>
        <v>NULL</v>
      </c>
    </row>
    <row r="5" spans="1:175" ht="75" x14ac:dyDescent="0.25">
      <c r="A5" t="s">
        <v>0</v>
      </c>
      <c r="B5" s="77" t="s">
        <v>117</v>
      </c>
      <c r="C5" s="44" t="s">
        <v>371</v>
      </c>
      <c r="D5" t="s">
        <v>39</v>
      </c>
      <c r="E5" t="s">
        <v>39</v>
      </c>
      <c r="F5" t="s">
        <v>378</v>
      </c>
      <c r="H5" s="74" t="s">
        <v>372</v>
      </c>
      <c r="I5" s="74" t="s">
        <v>360</v>
      </c>
      <c r="J5" s="45" t="s">
        <v>115</v>
      </c>
      <c r="K5" s="15" t="str">
        <f>[1]MiscModules!$B$13</f>
        <v>NULL</v>
      </c>
      <c r="L5" s="15" t="str">
        <f>[1]MiscModules!$C$13</f>
        <v xml:space="preserve">Order by December 19 to get most smartphones, wearables, tablets and laptops delivered by December 25. </v>
      </c>
      <c r="M5" s="15" t="str">
        <f>[1]MiscModules!$D$13</f>
        <v>NULL</v>
      </c>
      <c r="N5" s="15" t="str">
        <f>[1]MiscModules!$E$13</f>
        <v>NULL</v>
      </c>
      <c r="O5" s="15" t="str">
        <f>[1]MiscModules!$F$13</f>
        <v>NULL</v>
      </c>
      <c r="P5" s="15" t="str">
        <f>[1]MiscModules!$G$13</f>
        <v>https://www.samsung.com/us/support/order-faqs/#SHIPPINGANDPAYMENTS</v>
      </c>
      <c r="Q5" s="15" t="str">
        <f>[1]MiscModules!$H$13</f>
        <v xml:space="preserve"> </v>
      </c>
      <c r="R5" s="15" t="str">
        <f>[1]MiscModules!$I$13</f>
        <v>NULL</v>
      </c>
      <c r="S5" s="15" t="str">
        <f>[1]MiscModules!$J$13</f>
        <v>NULL</v>
      </c>
      <c r="T5" s="45" t="s">
        <v>377</v>
      </c>
      <c r="U5" s="15">
        <f>[1]MiscModules!$B$11</f>
        <v>0</v>
      </c>
      <c r="V5" s="15" t="str">
        <f>[1]MiscModules!$C$11</f>
        <v xml:space="preserve">Students &amp; Educators • Government • Military • Save@Work • First Responders </v>
      </c>
      <c r="W5" s="15" t="str">
        <f>[1]MiscModules!$D$11</f>
        <v xml:space="preserve">Login to your Discount Program to save even more on the great offers below. </v>
      </c>
      <c r="X5" s="15" t="str">
        <f>[1]MiscModules!$E$11</f>
        <v>NULL</v>
      </c>
      <c r="Y5" s="15" t="str">
        <f>[1]MiscModules!$F$11</f>
        <v>NULL</v>
      </c>
      <c r="Z5" s="15" t="str">
        <f>[1]MiscModules!$G$11</f>
        <v>https://www.samsung.com/us/shop/all-deals/</v>
      </c>
      <c r="AA5" s="15" t="str">
        <f>[1]MiscModules!$H$11</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5" s="15" t="str">
        <f>[1]MiscModules!$I$11</f>
        <v xml:space="preserve"> NULL</v>
      </c>
      <c r="AC5" s="15" t="str">
        <f>[1]MiscModules!$J$11</f>
        <v xml:space="preserve"> NULL</v>
      </c>
      <c r="AD5" s="15" t="str">
        <f>[1]MiscModules!$K$10</f>
        <v xml:space="preserve"> NULL</v>
      </c>
      <c r="AE5" s="75" t="s">
        <v>361</v>
      </c>
      <c r="AF5" s="15" t="str">
        <f>[1]MiscModules!$B$18</f>
        <v>Last_Minute_Deals_T2_KV.jpg</v>
      </c>
      <c r="AG5" s="15" t="str">
        <f>[1]MiscModules!$C$18</f>
        <v>Last-minute gifts just in time</v>
      </c>
      <c r="AH5" s="15" t="str">
        <f>[1]MiscModules!$D$18</f>
        <v>NULL</v>
      </c>
      <c r="AI5" s="15" t="str">
        <f>[1]MiscModules!$E$18</f>
        <v>NULL</v>
      </c>
      <c r="AJ5" s="15" t="str">
        <f>[1]MiscModules!$F$18</f>
        <v xml:space="preserve"> NULL</v>
      </c>
      <c r="AK5" s="15" t="str">
        <f>[1]MiscModules!$G$18</f>
        <v>https://www.samsung.com/us/shop/all-deals/</v>
      </c>
      <c r="AL5"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M5" s="15" t="str">
        <f>[1]MiscModules!$I$18</f>
        <v xml:space="preserve"> NULL</v>
      </c>
      <c r="AN5" s="15" t="str">
        <f>[1]MiscModules!$J$18</f>
        <v xml:space="preserve"> NULL</v>
      </c>
      <c r="AO5" s="15" t="str">
        <f>[1]MiscModules!$K$18</f>
        <v xml:space="preserve"> NULL</v>
      </c>
      <c r="AP5" s="76">
        <v>44184</v>
      </c>
      <c r="AQ5" s="15" t="s">
        <v>362</v>
      </c>
      <c r="AR5" s="75" t="s">
        <v>363</v>
      </c>
      <c r="AS5" s="15" t="str">
        <f>[1]MiscModules!$B$3</f>
        <v>NULL</v>
      </c>
      <c r="AT5" s="15" t="str">
        <f>[1]MiscModules!$C$3</f>
        <v>NULL</v>
      </c>
      <c r="AU5" s="15" t="str">
        <f>[1]MiscModules!$D$3</f>
        <v xml:space="preserve">It’s not too late to give wonder. </v>
      </c>
      <c r="AV5" s="15" t="str">
        <f>[1]MiscModules!$E$3</f>
        <v>NULL</v>
      </c>
      <c r="AW5" s="15" t="str">
        <f>[1]MiscModules!$F$3</f>
        <v xml:space="preserve"> NULL</v>
      </c>
      <c r="AX5" s="15" t="str">
        <f>[1]MiscModules!$G$3</f>
        <v>https://www.samsung.com/us/shop/all-deals/</v>
      </c>
      <c r="AY5"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Z5" s="15" t="str">
        <f>[1]MiscModules!$I$3</f>
        <v xml:space="preserve"> NULL</v>
      </c>
      <c r="BA5" s="15" t="str">
        <f>[1]MiscModules!$J$3</f>
        <v xml:space="preserve"> NULL</v>
      </c>
      <c r="BB5" s="15" t="str">
        <f>[1]MiscModules!$K$3</f>
        <v xml:space="preserve"> NULL</v>
      </c>
      <c r="BC5" s="75" t="s">
        <v>365</v>
      </c>
      <c r="BD5" s="15" t="str">
        <f>[1]CC!$B$7</f>
        <v>108_ME_HeadImage_GW3_Buds_Live_500xV.jpg</v>
      </c>
      <c r="BE5" s="15" t="str">
        <f>[1]CC!$C$7</f>
        <v>Find perfect gifts for someone on the go</v>
      </c>
      <c r="BF5" s="15" t="str">
        <f>[1]CC!$D$7</f>
        <v>NULL</v>
      </c>
      <c r="BG5" s="15" t="str">
        <f>[1]CC!$E$7</f>
        <v>Get healthier in style with up to $60  off select watches or get tough with $100 off Galaxy Watch3 Titanium. Plus, create an audio oasis with $30 off Galaxy Buds Live.</v>
      </c>
      <c r="BH5" s="15" t="str">
        <f>[1]CC!$F$7</f>
        <v>Shop all</v>
      </c>
      <c r="BI5" s="15" t="str">
        <f>[1]CC!$G$7</f>
        <v>https://www.samsung.com/us/shop/all-deals/tablets-wearables-cell-phone-accessories-deals/</v>
      </c>
      <c r="BJ5"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BK5" s="15" t="str">
        <f>[1]CC!$I$7</f>
        <v>NULL</v>
      </c>
      <c r="BL5" s="15" t="str">
        <f>[1]CC!$J$7</f>
        <v>NULL</v>
      </c>
      <c r="BM5" s="15" t="str">
        <f>[1]CC!$K$7</f>
        <v>NULL</v>
      </c>
      <c r="BN5" s="75" t="s">
        <v>364</v>
      </c>
      <c r="BO5" s="15" t="str">
        <f>[1]CC!$B$3</f>
        <v>106_IM_HeadImage_MB_Smartphones-500xV.jpg</v>
      </c>
      <c r="BP5" s="15" t="str">
        <f>[1]CC!$C$3</f>
        <v>Get up to 50% off select, must-have smartphones</v>
      </c>
      <c r="BQ5" s="15" t="str">
        <f>[1]CC!$D$3</f>
        <v>NULL</v>
      </c>
      <c r="BR5" s="15" t="str">
        <f>[1]CC!$E$3</f>
        <v xml:space="preserve">Take stunning pictures with Galaxy S20 5G, unfold a world of infinite possibilities with Galaxy Z Fold2 5G or get it all without breaking the bank with Galaxy A71 5G from Verizon and T-Mobile. </v>
      </c>
      <c r="BS5" s="15" t="str">
        <f>[1]CC!$F$3</f>
        <v>Shop all</v>
      </c>
      <c r="BT5" s="15" t="str">
        <f>[1]CC!$G$3</f>
        <v>https://www.samsung.com/us/shop/all-deals/cell-phone-deals/</v>
      </c>
      <c r="BU5"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V5" s="15" t="str">
        <f>[1]CC!$I$3</f>
        <v>NULL</v>
      </c>
      <c r="BW5" s="15" t="str">
        <f>[1]CC!$J$3</f>
        <v>NULL</v>
      </c>
      <c r="BX5" s="15" t="str">
        <f>[1]CC!$K$3</f>
        <v>NULL</v>
      </c>
      <c r="BY5" s="75" t="s">
        <v>366</v>
      </c>
      <c r="BZ5" s="15" t="e">
        <f>[1]CC!#REF!</f>
        <v>#REF!</v>
      </c>
      <c r="CA5" s="15" t="str">
        <f>[1]CC!$C$9</f>
        <v>Transform their space into a productive workplace</v>
      </c>
      <c r="CB5" s="15" t="str">
        <f>[1]CC!$D$9</f>
        <v>NULL</v>
      </c>
      <c r="CC5" s="15" t="str">
        <f>[1]CC!$E$9</f>
        <v xml:space="preserve">Get up to $200 off select laptops, up to $150 off select tablets, up to 30% off monitors and up to 50% off memory cards. </v>
      </c>
      <c r="CD5" s="15" t="str">
        <f>[1]CC!$F$9</f>
        <v>Shop all</v>
      </c>
      <c r="CE5" s="15" t="str">
        <f>[1]CC!$G$9</f>
        <v>https://www.samsung.com/us/shop/all-deals/laptop-and-computer-deals/</v>
      </c>
      <c r="CF5"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G5" s="15" t="str">
        <f>[1]CC!$I$9</f>
        <v>NULL</v>
      </c>
      <c r="CH5" s="15" t="str">
        <f>[1]CC!$J$9</f>
        <v>NULL</v>
      </c>
      <c r="CI5" s="15" t="str">
        <f>[1]CC!$K$9</f>
        <v>NULL</v>
      </c>
      <c r="CJ5" s="75" t="s">
        <v>367</v>
      </c>
      <c r="CK5" s="15" t="str">
        <f>[1]CC!$B$5</f>
        <v>107_HeadImage_TV_HA_500xV.jpg</v>
      </c>
      <c r="CL5" s="15" t="str">
        <f>[1]CC!$C$5</f>
        <v>Already checked your list twice?</v>
      </c>
      <c r="CM5" s="15" t="str">
        <f>[1]CC!$D$5</f>
        <v>NULL</v>
      </c>
      <c r="CN5" s="15" t="str">
        <f>[1]CC!$E$5</f>
        <v xml:space="preserve">Shop great offers on TVs, soundbars and home appliances for delivery after December 25. </v>
      </c>
      <c r="CO5" s="15" t="str">
        <f>[1]CC!$F$5</f>
        <v>Shop TV &amp; Audio</v>
      </c>
      <c r="CP5" s="15" t="str">
        <f>[1]CC!$G$5</f>
        <v>https://www.samsung.com/us/shop/all-deals/tv-and-home-theater-deals/</v>
      </c>
      <c r="CQ5"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R5" s="15" t="str">
        <f>[1]CC!$I$5</f>
        <v>Shop Home Appliances</v>
      </c>
      <c r="CS5" s="15" t="str">
        <f>[1]CC!$J$5</f>
        <v>https://www.samsung.com/us/shop/all-deals/home-appliance-and-smart-home-sales/</v>
      </c>
      <c r="CT5"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U5" s="75" t="s">
        <v>368</v>
      </c>
      <c r="CV5" s="15" t="str">
        <f>[1]MiscModules!$B$9</f>
        <v>Give-wonder-500xV.jpg</v>
      </c>
      <c r="CW5" s="15" t="str">
        <f>[1]MiscModules!$C$9</f>
        <v>NULL</v>
      </c>
      <c r="CX5" s="15" t="str">
        <f>[1]MiscModules!$D$9</f>
        <v>NULL</v>
      </c>
      <c r="CY5" s="15" t="str">
        <f>[1]MiscModules!$E$9</f>
        <v xml:space="preserve">Discover even more exclusive offers on your favorite products. Unlock the power of smart and savvy gifting with our holiday gift guide. </v>
      </c>
      <c r="CZ5" s="15" t="str">
        <f>[1]MiscModules!$F$9</f>
        <v>Shop now</v>
      </c>
      <c r="DA5" s="15" t="str">
        <f>[1]MiscModules!$G$9</f>
        <v>https://www.samsung.com/us/gift-ideas/</v>
      </c>
      <c r="DB5"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C5" s="15" t="str">
        <f>[1]MiscModules!$I$9</f>
        <v xml:space="preserve"> NULL</v>
      </c>
      <c r="DD5" s="15" t="str">
        <f>[1]MiscModules!$J$9</f>
        <v xml:space="preserve"> NULL</v>
      </c>
      <c r="DE5" s="15" t="str">
        <f>[1]MiscModules!$K$9</f>
        <v xml:space="preserve"> NULL</v>
      </c>
      <c r="DF5" s="15"/>
      <c r="DG5" s="15"/>
      <c r="DH5" s="15"/>
      <c r="DI5" s="15"/>
      <c r="DJ5" s="15"/>
      <c r="DK5" s="15"/>
      <c r="DL5" s="15"/>
      <c r="DM5" s="15"/>
      <c r="DN5" s="15"/>
      <c r="DO5" s="15"/>
      <c r="DP5" s="15"/>
    </row>
    <row r="6" spans="1:175" ht="75" x14ac:dyDescent="0.25">
      <c r="A6" t="s">
        <v>0</v>
      </c>
      <c r="B6" s="77" t="s">
        <v>116</v>
      </c>
      <c r="C6" s="44" t="s">
        <v>373</v>
      </c>
      <c r="D6" t="s">
        <v>39</v>
      </c>
      <c r="E6" t="s">
        <v>39</v>
      </c>
      <c r="F6" t="s">
        <v>376</v>
      </c>
      <c r="H6" s="74" t="s">
        <v>374</v>
      </c>
      <c r="I6" s="74" t="s">
        <v>360</v>
      </c>
      <c r="J6" s="45" t="s">
        <v>115</v>
      </c>
      <c r="K6" s="15" t="str">
        <f>[1]MiscModules!$B$12</f>
        <v>NULL</v>
      </c>
      <c r="L6" s="15" t="str">
        <f>[1]MiscModules!$C$12</f>
        <v xml:space="preserve">Order by December 19 to get most smartphones, wearables, tablets and laptops delivered by December 25. </v>
      </c>
      <c r="M6" s="15" t="str">
        <f>[1]MiscModules!$D$12</f>
        <v>NULL</v>
      </c>
      <c r="N6" s="15" t="str">
        <f>[1]MiscModules!$E$12</f>
        <v>NULL</v>
      </c>
      <c r="O6" s="15" t="str">
        <f>[1]MiscModules!$F$12</f>
        <v>NULL</v>
      </c>
      <c r="P6" s="15" t="str">
        <f>[1]MiscModules!$G$12</f>
        <v>https://www.samsung.com/us/support/order-faqs/#SHIPPINGANDPAYMENTS</v>
      </c>
      <c r="Q6" s="15" t="str">
        <f>[1]MiscModules!$H$12</f>
        <v xml:space="preserve"> </v>
      </c>
      <c r="R6" s="15" t="str">
        <f>[1]MiscModules!$I$12</f>
        <v>NULL</v>
      </c>
      <c r="S6" s="15" t="str">
        <f>[1]MiscModules!$J$12</f>
        <v>NULL</v>
      </c>
      <c r="T6" s="45" t="s">
        <v>377</v>
      </c>
      <c r="U6" s="15" t="str">
        <f>[1]MiscModules!$B$10</f>
        <v xml:space="preserve"> </v>
      </c>
      <c r="V6" s="15" t="str">
        <f>[1]MiscModules!$C$10</f>
        <v xml:space="preserve">Students &amp; Educators • Government • Military • Save@Work • First Responders </v>
      </c>
      <c r="W6" s="15" t="str">
        <f>[1]MiscModules!$D$10</f>
        <v xml:space="preserve">Login to your Discount Program to save even more on the great offers below. </v>
      </c>
      <c r="X6" s="15" t="str">
        <f>[1]MiscModules!$E$10</f>
        <v>NULL</v>
      </c>
      <c r="Y6" s="15" t="str">
        <f>[1]MiscModules!$F$10</f>
        <v>NULL</v>
      </c>
      <c r="Z6" s="15" t="str">
        <f>[1]MiscModules!$G$10</f>
        <v>https://www.samsung.com/us/shop/all-deals/</v>
      </c>
      <c r="AA6"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6" s="15" t="str">
        <f>[1]MiscModules!$I$10</f>
        <v xml:space="preserve"> NULL</v>
      </c>
      <c r="AC6" s="15" t="str">
        <f>[1]MiscModules!$J$10</f>
        <v xml:space="preserve"> NULL</v>
      </c>
      <c r="AD6" s="15" t="str">
        <f>[1]MiscModules!$K$10</f>
        <v xml:space="preserve"> NULL</v>
      </c>
      <c r="AE6" s="75" t="s">
        <v>361</v>
      </c>
      <c r="AF6" s="15" t="str">
        <f>[1]MiscModules!$B$17</f>
        <v>Last_Minute_Deals_T2_KV.jpg</v>
      </c>
      <c r="AG6" s="15" t="str">
        <f>[1]MiscModules!$C$17</f>
        <v>Last-minute gifts just in time</v>
      </c>
      <c r="AH6" s="15" t="str">
        <f>[1]MiscModules!$D$17</f>
        <v>NULL</v>
      </c>
      <c r="AI6" s="15" t="str">
        <f>[1]MiscModules!$E$17</f>
        <v>NULL</v>
      </c>
      <c r="AJ6" s="15" t="str">
        <f>[1]MiscModules!$F$17</f>
        <v xml:space="preserve"> NULL</v>
      </c>
      <c r="AK6" s="15" t="str">
        <f>[1]MiscModules!$G$17</f>
        <v>https://www.samsung.com/us/shop/all-deals/</v>
      </c>
      <c r="AL6"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6" s="15" t="str">
        <f>[1]MiscModules!$I$17</f>
        <v xml:space="preserve"> NULL</v>
      </c>
      <c r="AN6" s="15" t="str">
        <f>[1]MiscModules!$J$17</f>
        <v xml:space="preserve"> NULL</v>
      </c>
      <c r="AO6" s="15" t="str">
        <f>[1]MiscModules!$K$17</f>
        <v xml:space="preserve"> NULL</v>
      </c>
      <c r="AP6" s="76">
        <v>44184</v>
      </c>
      <c r="AQ6" s="15" t="s">
        <v>362</v>
      </c>
      <c r="AR6" s="75" t="s">
        <v>363</v>
      </c>
      <c r="AS6" s="15" t="str">
        <f>[1]MiscModules!$B$2</f>
        <v>NULL</v>
      </c>
      <c r="AT6" s="15" t="str">
        <f>[1]MiscModules!$C$2</f>
        <v>NULL</v>
      </c>
      <c r="AU6" s="15" t="str">
        <f>[1]MiscModules!$D$2</f>
        <v xml:space="preserve">It’s not too late to give wonder. </v>
      </c>
      <c r="AV6" s="15" t="str">
        <f>[1]MiscModules!$E$2</f>
        <v xml:space="preserve">Plus,there is still time to redeem your exclusive $20 instant credit toward eligible accessories with smartphone purchase. </v>
      </c>
      <c r="AW6" s="15" t="str">
        <f>[1]MiscModules!$F$2</f>
        <v xml:space="preserve"> NULL</v>
      </c>
      <c r="AX6" s="15" t="str">
        <f>[1]MiscModules!$G$2</f>
        <v>https://www.samsung.com/us/shop/all-deals/</v>
      </c>
      <c r="AY6"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6" s="15" t="str">
        <f>[1]MiscModules!$I$2</f>
        <v xml:space="preserve"> NULL</v>
      </c>
      <c r="BA6" s="15" t="str">
        <f>[1]MiscModules!$J$2</f>
        <v xml:space="preserve"> NULL</v>
      </c>
      <c r="BB6" s="15" t="str">
        <f>[1]MiscModules!$K$2</f>
        <v xml:space="preserve"> NULL</v>
      </c>
      <c r="BC6" s="75" t="s">
        <v>366</v>
      </c>
      <c r="BD6" s="15" t="str">
        <f>[1]CC!$B$8</f>
        <v>109_HeadImage_laptops_Monitor_Tablets_memory_cards_500xV.jpg</v>
      </c>
      <c r="BE6" s="15" t="str">
        <f>[1]CC!$C$8</f>
        <v>Transform their space into a productive workplace</v>
      </c>
      <c r="BF6" s="15" t="str">
        <f>[1]CC!$D$8</f>
        <v>NULL</v>
      </c>
      <c r="BG6" s="15" t="str">
        <f>[1]CC!$E$8</f>
        <v xml:space="preserve">Get up to $200 off select laptops, up to $150 off select tablets, up to 30% off monitors and up to 50% off memory cards. </v>
      </c>
      <c r="BH6" s="15" t="str">
        <f>[1]CC!$F$8</f>
        <v>Shop all</v>
      </c>
      <c r="BI6" s="15" t="str">
        <f>[1]CC!$G$8</f>
        <v>https://www.samsung.com/us/shop/all-deals/laptop-and-computer-deals/</v>
      </c>
      <c r="BJ6"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K6" s="15" t="str">
        <f>[1]CC!$I$8</f>
        <v>NULL</v>
      </c>
      <c r="BL6" s="15" t="str">
        <f>[1]CC!$J$8</f>
        <v>NULL</v>
      </c>
      <c r="BM6" s="15" t="str">
        <f>[1]CC!$K$8</f>
        <v>NULL</v>
      </c>
      <c r="BN6" s="75" t="s">
        <v>364</v>
      </c>
      <c r="BO6" s="15" t="str">
        <f>[1]CC!$B$2</f>
        <v>106_IM_HeadImage_MB_Smartphones-500xV.jpg</v>
      </c>
      <c r="BP6" s="15" t="str">
        <f>[1]CC!$C$2</f>
        <v>Get up to 50% off select, must-have smartphones</v>
      </c>
      <c r="BQ6" s="15" t="str">
        <f>[1]CC!$D$2</f>
        <v>NULL</v>
      </c>
      <c r="BR6"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S6" s="15" t="str">
        <f>[1]CC!$F$2</f>
        <v>Shop all</v>
      </c>
      <c r="BT6" s="15" t="str">
        <f>[1]CC!$G$2</f>
        <v>https://www.samsung.com/us/shop/all-deals/cell-phone-deals/</v>
      </c>
      <c r="BU6"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V6" s="15" t="str">
        <f>[1]CC!$I$2</f>
        <v>NULL</v>
      </c>
      <c r="BW6" s="15" t="str">
        <f>[1]CC!$J$2</f>
        <v>NULL</v>
      </c>
      <c r="BX6" s="15" t="str">
        <f>[1]CC!$K$2</f>
        <v>NULL</v>
      </c>
      <c r="BY6" s="75" t="s">
        <v>365</v>
      </c>
      <c r="BZ6" s="15" t="str">
        <f>[1]CC!$B$6</f>
        <v>108_ME_HeadImage_GW3_Buds_Live_500xV.jpg</v>
      </c>
      <c r="CA6" s="15" t="str">
        <f>[1]CC!$C$6</f>
        <v>Find perfect gifts for someone on the go</v>
      </c>
      <c r="CB6" s="15" t="str">
        <f>[1]CC!$D$6</f>
        <v>NULL</v>
      </c>
      <c r="CC6" s="15" t="str">
        <f>[1]CC!$E$6</f>
        <v>Get healthier in style with up to $60  off select watches or get tough with $100 off Galaxy Watch3 Titanium. Plus, create an audio oasis with $30 off Galaxy Buds Live.</v>
      </c>
      <c r="CD6" s="15" t="str">
        <f>[1]CC!$F$6</f>
        <v>Shop all</v>
      </c>
      <c r="CE6" s="15" t="str">
        <f>[1]CC!$G$6</f>
        <v>https://www.samsung.com/us/shop/all-deals/tablets-wearables-cell-phone-accessories-deals/</v>
      </c>
      <c r="CF6"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CG6" s="15" t="str">
        <f>[1]CC!$I$6</f>
        <v>NULL</v>
      </c>
      <c r="CH6" s="15" t="str">
        <f>[1]CC!$J$6</f>
        <v>NULL</v>
      </c>
      <c r="CI6" s="15" t="str">
        <f>[1]CC!$K$6</f>
        <v>NULL</v>
      </c>
      <c r="CJ6" s="75" t="s">
        <v>367</v>
      </c>
      <c r="CK6" s="15" t="str">
        <f>[1]CC!$B$4</f>
        <v>107_HeadImage_TV_HA_500xV.jpg</v>
      </c>
      <c r="CL6" s="15" t="str">
        <f>[1]CC!$C$4</f>
        <v>Already checked your list twice?</v>
      </c>
      <c r="CM6" s="15" t="str">
        <f>[1]CC!$D$4</f>
        <v>NULL</v>
      </c>
      <c r="CN6" s="15" t="str">
        <f>[1]CC!$E$4</f>
        <v xml:space="preserve">Shop great offers on TVs, soundbars and home appliances for delivery after December 25. </v>
      </c>
      <c r="CO6" s="15" t="str">
        <f>[1]CC!$F$4</f>
        <v>Shop TV &amp; Audio</v>
      </c>
      <c r="CP6" s="15" t="str">
        <f>[1]CC!$G$4</f>
        <v>https://www.samsung.com/us/shop/all-deals/tv-and-home-theater-deals/</v>
      </c>
      <c r="CQ6"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R6" s="15" t="str">
        <f>[1]CC!$I$4</f>
        <v>Shop Home Appliances</v>
      </c>
      <c r="CS6" s="15" t="str">
        <f>[1]CC!$J$4</f>
        <v>https://www.samsung.com/us/shop/all-deals/home-appliance-and-smart-home-sales/</v>
      </c>
      <c r="CT6"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U6" s="75" t="s">
        <v>368</v>
      </c>
      <c r="CV6" s="15" t="str">
        <f>[1]MiscModules!$B$8</f>
        <v>Give-wonder-500xV.jpg</v>
      </c>
      <c r="CW6" s="15" t="str">
        <f>[1]MiscModules!$C$8</f>
        <v>NULL</v>
      </c>
      <c r="CX6" s="15" t="str">
        <f>[1]MiscModules!$D$8</f>
        <v>NULL</v>
      </c>
      <c r="CY6"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Z6" s="15" t="str">
        <f>[1]MiscModules!$F$8</f>
        <v>Shop now</v>
      </c>
      <c r="DA6" s="15" t="str">
        <f>[1]MiscModules!$G$8</f>
        <v>https://www.samsung.com/us/gift-ideas/</v>
      </c>
      <c r="DB6"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DC6" s="15" t="str">
        <f>[1]MiscModules!$I$8</f>
        <v xml:space="preserve"> NULL</v>
      </c>
      <c r="DD6" s="15" t="str">
        <f>[1]MiscModules!$J$8</f>
        <v xml:space="preserve"> NULL</v>
      </c>
      <c r="DE6" s="15" t="str">
        <f>[1]MiscModules!$K$8</f>
        <v xml:space="preserve"> NULL</v>
      </c>
      <c r="DF6" s="45" t="s">
        <v>369</v>
      </c>
      <c r="DG6" s="15" t="str">
        <f>[1]TC!$B$6</f>
        <v>NULL</v>
      </c>
      <c r="DH6"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I6" s="15" t="str">
        <f>[1]TC!$D$6</f>
        <v>NULL</v>
      </c>
      <c r="DJ6" s="15" t="str">
        <f>[1]TC!$E$6</f>
        <v>NULL</v>
      </c>
      <c r="DK6" s="15" t="str">
        <f>[1]TC!$F$6</f>
        <v>NULL</v>
      </c>
      <c r="DL6" s="15" t="str">
        <f>[1]TC!$G$6</f>
        <v xml:space="preserve">https://www.samsung.com/us/
</v>
      </c>
      <c r="DM6" s="15">
        <f>[1]TC!$H$6</f>
        <v>0</v>
      </c>
      <c r="DN6" s="15" t="str">
        <f>[1]TC!$I$6</f>
        <v>NULL</v>
      </c>
      <c r="DO6" s="15" t="str">
        <f>[1]TC!$J$6</f>
        <v>NULL</v>
      </c>
      <c r="DP6" s="15" t="str">
        <f>[1]TC!$K$6</f>
        <v>NULL</v>
      </c>
    </row>
    <row r="7" spans="1:175" ht="75" x14ac:dyDescent="0.25">
      <c r="A7" t="s">
        <v>0</v>
      </c>
      <c r="B7" s="77" t="s">
        <v>116</v>
      </c>
      <c r="C7" s="44" t="s">
        <v>373</v>
      </c>
      <c r="D7" t="s">
        <v>39</v>
      </c>
      <c r="E7" t="s">
        <v>39</v>
      </c>
      <c r="F7" t="s">
        <v>378</v>
      </c>
      <c r="H7" s="74" t="s">
        <v>374</v>
      </c>
      <c r="I7" s="74" t="s">
        <v>360</v>
      </c>
      <c r="J7" s="45" t="s">
        <v>115</v>
      </c>
      <c r="K7" s="15" t="str">
        <f>[1]MiscModules!$B$13</f>
        <v>NULL</v>
      </c>
      <c r="L7" s="15" t="str">
        <f>[1]MiscModules!$C$13</f>
        <v xml:space="preserve">Order by December 19 to get most smartphones, wearables, tablets and laptops delivered by December 25. </v>
      </c>
      <c r="M7" s="15" t="str">
        <f>[1]MiscModules!$D$13</f>
        <v>NULL</v>
      </c>
      <c r="N7" s="15" t="str">
        <f>[1]MiscModules!$E$13</f>
        <v>NULL</v>
      </c>
      <c r="O7" s="15" t="str">
        <f>[1]MiscModules!$F$13</f>
        <v>NULL</v>
      </c>
      <c r="P7" s="15" t="str">
        <f>[1]MiscModules!$G$13</f>
        <v>https://www.samsung.com/us/support/order-faqs/#SHIPPINGANDPAYMENTS</v>
      </c>
      <c r="Q7" s="15" t="str">
        <f>[1]MiscModules!$H$13</f>
        <v xml:space="preserve"> </v>
      </c>
      <c r="R7" s="15" t="str">
        <f>[1]MiscModules!$I$13</f>
        <v>NULL</v>
      </c>
      <c r="S7" s="15" t="str">
        <f>[1]MiscModules!$J$13</f>
        <v>NULL</v>
      </c>
      <c r="T7" s="45" t="s">
        <v>377</v>
      </c>
      <c r="U7" s="15">
        <f>[1]MiscModules!$B$11</f>
        <v>0</v>
      </c>
      <c r="V7" s="15" t="str">
        <f>[1]MiscModules!$C$11</f>
        <v xml:space="preserve">Students &amp; Educators • Government • Military • Save@Work • First Responders </v>
      </c>
      <c r="W7" s="15" t="str">
        <f>[1]MiscModules!$D$11</f>
        <v xml:space="preserve">Login to your Discount Program to save even more on the great offers below. </v>
      </c>
      <c r="X7" s="15" t="str">
        <f>[1]MiscModules!$E$11</f>
        <v>NULL</v>
      </c>
      <c r="Y7" s="15" t="str">
        <f>[1]MiscModules!$F$11</f>
        <v>NULL</v>
      </c>
      <c r="Z7" s="15" t="str">
        <f>[1]MiscModules!$G$11</f>
        <v>https://www.samsung.com/us/shop/all-deals/</v>
      </c>
      <c r="AA7" s="15" t="str">
        <f>[1]MiscModules!$H$11</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7" s="15" t="str">
        <f>[1]MiscModules!$I$11</f>
        <v xml:space="preserve"> NULL</v>
      </c>
      <c r="AC7" s="15" t="str">
        <f>[1]MiscModules!$J$11</f>
        <v xml:space="preserve"> NULL</v>
      </c>
      <c r="AD7" s="15" t="str">
        <f>[1]MiscModules!$K$10</f>
        <v xml:space="preserve"> NULL</v>
      </c>
      <c r="AE7" s="75" t="s">
        <v>361</v>
      </c>
      <c r="AF7" s="15" t="str">
        <f>[1]MiscModules!$B$18</f>
        <v>Last_Minute_Deals_T2_KV.jpg</v>
      </c>
      <c r="AG7" s="15" t="str">
        <f>[1]MiscModules!$C$18</f>
        <v>Last-minute gifts just in time</v>
      </c>
      <c r="AH7" s="15" t="str">
        <f>[1]MiscModules!$D$18</f>
        <v>NULL</v>
      </c>
      <c r="AI7" s="15" t="str">
        <f>[1]MiscModules!$E$18</f>
        <v>NULL</v>
      </c>
      <c r="AJ7" s="15" t="str">
        <f>[1]MiscModules!$F$18</f>
        <v xml:space="preserve"> NULL</v>
      </c>
      <c r="AK7" s="15" t="str">
        <f>[1]MiscModules!$G$18</f>
        <v>https://www.samsung.com/us/shop/all-deals/</v>
      </c>
      <c r="AL7"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M7" s="15" t="str">
        <f>[1]MiscModules!$I$18</f>
        <v xml:space="preserve"> NULL</v>
      </c>
      <c r="AN7" s="15" t="str">
        <f>[1]MiscModules!$J$18</f>
        <v xml:space="preserve"> NULL</v>
      </c>
      <c r="AO7" s="15" t="str">
        <f>[1]MiscModules!$K$18</f>
        <v xml:space="preserve"> NULL</v>
      </c>
      <c r="AP7" s="76">
        <v>44184</v>
      </c>
      <c r="AQ7" s="15" t="s">
        <v>362</v>
      </c>
      <c r="AR7" s="75" t="s">
        <v>363</v>
      </c>
      <c r="AS7" s="15" t="str">
        <f>[1]MiscModules!$B$3</f>
        <v>NULL</v>
      </c>
      <c r="AT7" s="15" t="str">
        <f>[1]MiscModules!$C$3</f>
        <v>NULL</v>
      </c>
      <c r="AU7" s="15" t="str">
        <f>[1]MiscModules!$D$3</f>
        <v xml:space="preserve">It’s not too late to give wonder. </v>
      </c>
      <c r="AV7" s="15" t="str">
        <f>[1]MiscModules!$E$3</f>
        <v>NULL</v>
      </c>
      <c r="AW7" s="15" t="str">
        <f>[1]MiscModules!$F$3</f>
        <v xml:space="preserve"> NULL</v>
      </c>
      <c r="AX7" s="15" t="str">
        <f>[1]MiscModules!$G$3</f>
        <v>https://www.samsung.com/us/shop/all-deals/</v>
      </c>
      <c r="AY7"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Z7" s="15" t="str">
        <f>[1]MiscModules!$I$3</f>
        <v xml:space="preserve"> NULL</v>
      </c>
      <c r="BA7" s="15" t="str">
        <f>[1]MiscModules!$J$3</f>
        <v xml:space="preserve"> NULL</v>
      </c>
      <c r="BB7" s="15" t="str">
        <f>[1]MiscModules!$K$3</f>
        <v xml:space="preserve"> NULL</v>
      </c>
      <c r="BC7" s="75" t="s">
        <v>366</v>
      </c>
      <c r="BD7" s="15" t="e">
        <f>[1]CC!#REF!</f>
        <v>#REF!</v>
      </c>
      <c r="BE7" s="15" t="str">
        <f>[1]CC!$C$9</f>
        <v>Transform their space into a productive workplace</v>
      </c>
      <c r="BF7" s="15" t="str">
        <f>[1]CC!$D$9</f>
        <v>NULL</v>
      </c>
      <c r="BG7" s="15" t="str">
        <f>[1]CC!$E$9</f>
        <v xml:space="preserve">Get up to $200 off select laptops, up to $150 off select tablets, up to 30% off monitors and up to 50% off memory cards. </v>
      </c>
      <c r="BH7" s="15" t="str">
        <f>[1]CC!$F$9</f>
        <v>Shop all</v>
      </c>
      <c r="BI7" s="15" t="str">
        <f>[1]CC!$G$9</f>
        <v>https://www.samsung.com/us/shop/all-deals/laptop-and-computer-deals/</v>
      </c>
      <c r="BJ7"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K7" s="15" t="str">
        <f>[1]CC!$I$9</f>
        <v>NULL</v>
      </c>
      <c r="BL7" s="15" t="str">
        <f>[1]CC!$J$9</f>
        <v>NULL</v>
      </c>
      <c r="BM7" s="15" t="str">
        <f>[1]CC!$K$9</f>
        <v>NULL</v>
      </c>
      <c r="BN7" s="75" t="s">
        <v>364</v>
      </c>
      <c r="BO7" s="15" t="str">
        <f>[1]CC!$B$3</f>
        <v>106_IM_HeadImage_MB_Smartphones-500xV.jpg</v>
      </c>
      <c r="BP7" s="15" t="str">
        <f>[1]CC!$C$3</f>
        <v>Get up to 50% off select, must-have smartphones</v>
      </c>
      <c r="BQ7" s="15" t="str">
        <f>[1]CC!$D$3</f>
        <v>NULL</v>
      </c>
      <c r="BR7" s="15" t="str">
        <f>[1]CC!$E$3</f>
        <v xml:space="preserve">Take stunning pictures with Galaxy S20 5G, unfold a world of infinite possibilities with Galaxy Z Fold2 5G or get it all without breaking the bank with Galaxy A71 5G from Verizon and T-Mobile. </v>
      </c>
      <c r="BS7" s="15" t="str">
        <f>[1]CC!$F$3</f>
        <v>Shop all</v>
      </c>
      <c r="BT7" s="15" t="str">
        <f>[1]CC!$G$3</f>
        <v>https://www.samsung.com/us/shop/all-deals/cell-phone-deals/</v>
      </c>
      <c r="BU7"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V7" s="15" t="str">
        <f>[1]CC!$I$3</f>
        <v>NULL</v>
      </c>
      <c r="BW7" s="15" t="str">
        <f>[1]CC!$J$3</f>
        <v>NULL</v>
      </c>
      <c r="BX7" s="15" t="str">
        <f>[1]CC!$K$3</f>
        <v>NULL</v>
      </c>
      <c r="BY7" s="75" t="s">
        <v>365</v>
      </c>
      <c r="BZ7" s="15" t="str">
        <f>[1]CC!$B$7</f>
        <v>108_ME_HeadImage_GW3_Buds_Live_500xV.jpg</v>
      </c>
      <c r="CA7" s="15" t="str">
        <f>[1]CC!$C$7</f>
        <v>Find perfect gifts for someone on the go</v>
      </c>
      <c r="CB7" s="15" t="str">
        <f>[1]CC!$D$7</f>
        <v>NULL</v>
      </c>
      <c r="CC7" s="15" t="str">
        <f>[1]CC!$E$7</f>
        <v>Get healthier in style with up to $60  off select watches or get tough with $100 off Galaxy Watch3 Titanium. Plus, create an audio oasis with $30 off Galaxy Buds Live.</v>
      </c>
      <c r="CD7" s="15" t="str">
        <f>[1]CC!$F$7</f>
        <v>Shop all</v>
      </c>
      <c r="CE7" s="15" t="str">
        <f>[1]CC!$G$7</f>
        <v>https://www.samsung.com/us/shop/all-deals/tablets-wearables-cell-phone-accessories-deals/</v>
      </c>
      <c r="CF7"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CG7" s="15" t="str">
        <f>[1]CC!$I$7</f>
        <v>NULL</v>
      </c>
      <c r="CH7" s="15" t="str">
        <f>[1]CC!$J$7</f>
        <v>NULL</v>
      </c>
      <c r="CI7" s="15" t="str">
        <f>[1]CC!$K$7</f>
        <v>NULL</v>
      </c>
      <c r="CJ7" s="75" t="s">
        <v>367</v>
      </c>
      <c r="CK7" s="15" t="str">
        <f>[1]CC!$B$5</f>
        <v>107_HeadImage_TV_HA_500xV.jpg</v>
      </c>
      <c r="CL7" s="15" t="str">
        <f>[1]CC!$C$5</f>
        <v>Already checked your list twice?</v>
      </c>
      <c r="CM7" s="15" t="str">
        <f>[1]CC!$D$5</f>
        <v>NULL</v>
      </c>
      <c r="CN7" s="15" t="str">
        <f>[1]CC!$E$5</f>
        <v xml:space="preserve">Shop great offers on TVs, soundbars and home appliances for delivery after December 25. </v>
      </c>
      <c r="CO7" s="15" t="str">
        <f>[1]CC!$F$5</f>
        <v>Shop TV &amp; Audio</v>
      </c>
      <c r="CP7" s="15" t="str">
        <f>[1]CC!$G$5</f>
        <v>https://www.samsung.com/us/shop/all-deals/tv-and-home-theater-deals/</v>
      </c>
      <c r="CQ7"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R7" s="15" t="str">
        <f>[1]CC!$I$5</f>
        <v>Shop Home Appliances</v>
      </c>
      <c r="CS7" s="15" t="str">
        <f>[1]CC!$J$5</f>
        <v>https://www.samsung.com/us/shop/all-deals/home-appliance-and-smart-home-sales/</v>
      </c>
      <c r="CT7"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U7" s="75" t="s">
        <v>368</v>
      </c>
      <c r="CV7" s="15" t="str">
        <f>[1]MiscModules!$B$9</f>
        <v>Give-wonder-500xV.jpg</v>
      </c>
      <c r="CW7" s="15" t="str">
        <f>[1]MiscModules!$C$9</f>
        <v>NULL</v>
      </c>
      <c r="CX7" s="15" t="str">
        <f>[1]MiscModules!$D$9</f>
        <v>NULL</v>
      </c>
      <c r="CY7" s="15" t="str">
        <f>[1]MiscModules!$E$9</f>
        <v xml:space="preserve">Discover even more exclusive offers on your favorite products. Unlock the power of smart and savvy gifting with our holiday gift guide. </v>
      </c>
      <c r="CZ7" s="15" t="str">
        <f>[1]MiscModules!$F$9</f>
        <v>Shop now</v>
      </c>
      <c r="DA7" s="15" t="str">
        <f>[1]MiscModules!$G$9</f>
        <v>https://www.samsung.com/us/gift-ideas/</v>
      </c>
      <c r="DB7"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DC7" s="15" t="str">
        <f>[1]MiscModules!$I$9</f>
        <v xml:space="preserve"> NULL</v>
      </c>
      <c r="DD7" s="15" t="str">
        <f>[1]MiscModules!$J$9</f>
        <v xml:space="preserve"> NULL</v>
      </c>
      <c r="DE7" s="15" t="str">
        <f>[1]MiscModules!$K$9</f>
        <v xml:space="preserve"> NULL</v>
      </c>
      <c r="DF7" s="15"/>
      <c r="DG7" s="15"/>
      <c r="DH7" s="15"/>
      <c r="DI7" s="15"/>
      <c r="DJ7" s="15"/>
      <c r="DK7" s="15"/>
      <c r="DL7" s="15"/>
      <c r="DM7" s="15"/>
      <c r="DN7" s="15"/>
      <c r="DO7" s="15"/>
      <c r="DP7"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S7"/>
  <sheetViews>
    <sheetView workbookViewId="0">
      <selection activeCell="F3" sqref="F3"/>
    </sheetView>
  </sheetViews>
  <sheetFormatPr defaultRowHeight="15" x14ac:dyDescent="0.25"/>
  <cols>
    <col min="2" max="3" width="14.28515625" customWidth="1"/>
    <col min="4" max="4" width="1.7109375" customWidth="1"/>
    <col min="5" max="5" width="2.140625" customWidth="1"/>
    <col min="6" max="6" width="12.7109375" bestFit="1" customWidth="1"/>
    <col min="8" max="8" width="27.140625" style="1" customWidth="1"/>
    <col min="9" max="9" width="26.7109375" style="1" customWidth="1"/>
    <col min="10" max="43" width="9" customWidth="1"/>
    <col min="44" max="44" width="10.5703125" customWidth="1"/>
  </cols>
  <sheetData>
    <row r="1" spans="1:175" s="1" customFormat="1" ht="47.45" customHeight="1" x14ac:dyDescent="0.25">
      <c r="A1" s="64" t="s">
        <v>183</v>
      </c>
      <c r="B1" s="65" t="s">
        <v>184</v>
      </c>
      <c r="C1" s="65" t="s">
        <v>185</v>
      </c>
      <c r="D1" s="65" t="s">
        <v>186</v>
      </c>
      <c r="E1" s="65" t="s">
        <v>187</v>
      </c>
      <c r="F1" s="65" t="s">
        <v>188</v>
      </c>
      <c r="G1" s="66" t="s">
        <v>189</v>
      </c>
      <c r="H1" s="67" t="s">
        <v>190</v>
      </c>
      <c r="I1" s="67" t="s">
        <v>191</v>
      </c>
      <c r="J1" s="68" t="s">
        <v>192</v>
      </c>
      <c r="K1" s="68" t="s">
        <v>193</v>
      </c>
      <c r="L1" s="69" t="s">
        <v>194</v>
      </c>
      <c r="M1" s="69" t="s">
        <v>195</v>
      </c>
      <c r="N1" s="69" t="s">
        <v>196</v>
      </c>
      <c r="O1" s="69" t="s">
        <v>197</v>
      </c>
      <c r="P1" s="69" t="s">
        <v>198</v>
      </c>
      <c r="Q1" s="69" t="s">
        <v>199</v>
      </c>
      <c r="R1" s="69" t="s">
        <v>200</v>
      </c>
      <c r="S1" s="69" t="s">
        <v>201</v>
      </c>
      <c r="T1" s="67" t="s">
        <v>202</v>
      </c>
      <c r="U1" s="68" t="s">
        <v>203</v>
      </c>
      <c r="V1" s="69" t="s">
        <v>204</v>
      </c>
      <c r="W1" s="69" t="s">
        <v>205</v>
      </c>
      <c r="X1" s="69" t="s">
        <v>206</v>
      </c>
      <c r="Y1" s="69" t="s">
        <v>207</v>
      </c>
      <c r="Z1" s="69" t="s">
        <v>208</v>
      </c>
      <c r="AA1" s="69" t="s">
        <v>209</v>
      </c>
      <c r="AB1" s="69" t="s">
        <v>210</v>
      </c>
      <c r="AC1" s="69" t="s">
        <v>211</v>
      </c>
      <c r="AD1" s="69" t="s">
        <v>212</v>
      </c>
      <c r="AE1" s="69" t="s">
        <v>162</v>
      </c>
      <c r="AF1" s="69" t="s">
        <v>213</v>
      </c>
      <c r="AG1" s="70" t="s">
        <v>214</v>
      </c>
      <c r="AH1" s="68" t="s">
        <v>215</v>
      </c>
      <c r="AI1" s="69" t="s">
        <v>216</v>
      </c>
      <c r="AJ1" s="69" t="s">
        <v>217</v>
      </c>
      <c r="AK1" s="69" t="s">
        <v>218</v>
      </c>
      <c r="AL1" s="69" t="s">
        <v>219</v>
      </c>
      <c r="AM1" s="69" t="s">
        <v>220</v>
      </c>
      <c r="AN1" s="69" t="s">
        <v>221</v>
      </c>
      <c r="AO1" s="69" t="s">
        <v>222</v>
      </c>
      <c r="AP1" s="69" t="s">
        <v>223</v>
      </c>
      <c r="AQ1" s="69" t="s">
        <v>224</v>
      </c>
      <c r="AR1" s="70" t="s">
        <v>225</v>
      </c>
      <c r="AS1" s="68" t="s">
        <v>226</v>
      </c>
      <c r="AT1" s="69" t="s">
        <v>227</v>
      </c>
      <c r="AU1" s="69" t="s">
        <v>228</v>
      </c>
      <c r="AV1" s="69" t="s">
        <v>229</v>
      </c>
      <c r="AW1" s="69" t="s">
        <v>230</v>
      </c>
      <c r="AX1" s="69" t="s">
        <v>231</v>
      </c>
      <c r="AY1" s="69" t="s">
        <v>232</v>
      </c>
      <c r="AZ1" s="69" t="s">
        <v>233</v>
      </c>
      <c r="BA1" s="69" t="s">
        <v>234</v>
      </c>
      <c r="BB1" s="69" t="s">
        <v>235</v>
      </c>
      <c r="BC1" s="71" t="s">
        <v>236</v>
      </c>
      <c r="BD1" s="68" t="s">
        <v>237</v>
      </c>
      <c r="BE1" s="69" t="s">
        <v>238</v>
      </c>
      <c r="BF1" s="69" t="s">
        <v>239</v>
      </c>
      <c r="BG1" s="69" t="s">
        <v>240</v>
      </c>
      <c r="BH1" s="69" t="s">
        <v>241</v>
      </c>
      <c r="BI1" s="69" t="s">
        <v>242</v>
      </c>
      <c r="BJ1" s="69" t="s">
        <v>243</v>
      </c>
      <c r="BK1" s="69" t="s">
        <v>244</v>
      </c>
      <c r="BL1" s="69" t="s">
        <v>245</v>
      </c>
      <c r="BM1" s="69" t="s">
        <v>246</v>
      </c>
      <c r="BN1" s="71" t="s">
        <v>247</v>
      </c>
      <c r="BO1" s="68" t="s">
        <v>248</v>
      </c>
      <c r="BP1" s="69" t="s">
        <v>249</v>
      </c>
      <c r="BQ1" s="69" t="s">
        <v>250</v>
      </c>
      <c r="BR1" s="69" t="s">
        <v>251</v>
      </c>
      <c r="BS1" s="69" t="s">
        <v>252</v>
      </c>
      <c r="BT1" s="69" t="s">
        <v>253</v>
      </c>
      <c r="BU1" s="69" t="s">
        <v>254</v>
      </c>
      <c r="BV1" s="69" t="s">
        <v>255</v>
      </c>
      <c r="BW1" s="69" t="s">
        <v>256</v>
      </c>
      <c r="BX1" s="69" t="s">
        <v>257</v>
      </c>
      <c r="BY1" s="71" t="s">
        <v>258</v>
      </c>
      <c r="BZ1" s="68" t="s">
        <v>259</v>
      </c>
      <c r="CA1" s="69" t="s">
        <v>260</v>
      </c>
      <c r="CB1" s="69" t="s">
        <v>261</v>
      </c>
      <c r="CC1" s="69" t="s">
        <v>262</v>
      </c>
      <c r="CD1" s="69" t="s">
        <v>263</v>
      </c>
      <c r="CE1" s="69" t="s">
        <v>264</v>
      </c>
      <c r="CF1" s="72" t="s">
        <v>265</v>
      </c>
      <c r="CG1" s="69" t="s">
        <v>266</v>
      </c>
      <c r="CH1" s="69" t="s">
        <v>267</v>
      </c>
      <c r="CI1" s="69" t="s">
        <v>268</v>
      </c>
      <c r="CJ1" s="71" t="s">
        <v>269</v>
      </c>
      <c r="CK1" s="68" t="s">
        <v>270</v>
      </c>
      <c r="CL1" s="69" t="s">
        <v>271</v>
      </c>
      <c r="CM1" s="69" t="s">
        <v>272</v>
      </c>
      <c r="CN1" s="69" t="s">
        <v>273</v>
      </c>
      <c r="CO1" s="69" t="s">
        <v>274</v>
      </c>
      <c r="CP1" s="69" t="s">
        <v>275</v>
      </c>
      <c r="CQ1" s="69" t="s">
        <v>276</v>
      </c>
      <c r="CR1" s="69" t="s">
        <v>277</v>
      </c>
      <c r="CS1" s="69" t="s">
        <v>278</v>
      </c>
      <c r="CT1" s="69" t="s">
        <v>279</v>
      </c>
      <c r="CU1" s="71" t="s">
        <v>280</v>
      </c>
      <c r="CV1" s="68" t="s">
        <v>281</v>
      </c>
      <c r="CW1" s="69" t="s">
        <v>282</v>
      </c>
      <c r="CX1" s="69" t="s">
        <v>283</v>
      </c>
      <c r="CY1" s="69" t="s">
        <v>284</v>
      </c>
      <c r="CZ1" s="69" t="s">
        <v>285</v>
      </c>
      <c r="DA1" s="69" t="s">
        <v>286</v>
      </c>
      <c r="DB1" s="69" t="s">
        <v>287</v>
      </c>
      <c r="DC1" s="69" t="s">
        <v>288</v>
      </c>
      <c r="DD1" s="69" t="s">
        <v>289</v>
      </c>
      <c r="DE1" s="69" t="s">
        <v>290</v>
      </c>
      <c r="DF1" s="71" t="s">
        <v>291</v>
      </c>
      <c r="DG1" s="68" t="s">
        <v>292</v>
      </c>
      <c r="DH1" s="69" t="s">
        <v>293</v>
      </c>
      <c r="DI1" s="69" t="s">
        <v>294</v>
      </c>
      <c r="DJ1" s="72" t="s">
        <v>295</v>
      </c>
      <c r="DK1" s="69" t="s">
        <v>296</v>
      </c>
      <c r="DL1" s="69" t="s">
        <v>297</v>
      </c>
      <c r="DM1" s="69" t="s">
        <v>298</v>
      </c>
      <c r="DN1" s="69" t="s">
        <v>299</v>
      </c>
      <c r="DO1" s="69" t="s">
        <v>300</v>
      </c>
      <c r="DP1" s="69" t="s">
        <v>301</v>
      </c>
      <c r="DQ1" s="71" t="s">
        <v>302</v>
      </c>
      <c r="DR1" s="68" t="s">
        <v>303</v>
      </c>
      <c r="DS1" s="69" t="s">
        <v>304</v>
      </c>
      <c r="DT1" s="69" t="s">
        <v>305</v>
      </c>
      <c r="DU1" s="72" t="s">
        <v>306</v>
      </c>
      <c r="DV1" s="69" t="s">
        <v>307</v>
      </c>
      <c r="DW1" s="69" t="s">
        <v>308</v>
      </c>
      <c r="DX1" s="69" t="s">
        <v>309</v>
      </c>
      <c r="DY1" s="69" t="s">
        <v>310</v>
      </c>
      <c r="DZ1" s="69" t="s">
        <v>311</v>
      </c>
      <c r="EA1" s="69" t="s">
        <v>312</v>
      </c>
      <c r="EB1" s="71" t="s">
        <v>313</v>
      </c>
      <c r="EC1" s="68" t="s">
        <v>314</v>
      </c>
      <c r="ED1" s="69" t="s">
        <v>315</v>
      </c>
      <c r="EE1" s="69" t="s">
        <v>316</v>
      </c>
      <c r="EF1" s="72" t="s">
        <v>317</v>
      </c>
      <c r="EG1" s="69" t="s">
        <v>318</v>
      </c>
      <c r="EH1" s="69" t="s">
        <v>319</v>
      </c>
      <c r="EI1" s="69" t="s">
        <v>320</v>
      </c>
      <c r="EJ1" s="69" t="s">
        <v>321</v>
      </c>
      <c r="EK1" s="69" t="s">
        <v>322</v>
      </c>
      <c r="EL1" s="69" t="s">
        <v>323</v>
      </c>
      <c r="EM1" s="71" t="s">
        <v>324</v>
      </c>
      <c r="EN1" s="68" t="s">
        <v>325</v>
      </c>
      <c r="EO1" s="69" t="s">
        <v>326</v>
      </c>
      <c r="EP1" s="69" t="s">
        <v>327</v>
      </c>
      <c r="EQ1" s="72" t="s">
        <v>328</v>
      </c>
      <c r="ER1" s="69" t="s">
        <v>329</v>
      </c>
      <c r="ES1" s="69" t="s">
        <v>330</v>
      </c>
      <c r="ET1" s="69" t="s">
        <v>331</v>
      </c>
      <c r="EU1" s="69" t="s">
        <v>332</v>
      </c>
      <c r="EV1" s="69" t="s">
        <v>333</v>
      </c>
      <c r="EW1" s="69" t="s">
        <v>334</v>
      </c>
      <c r="EX1" s="71" t="s">
        <v>335</v>
      </c>
      <c r="EY1" s="68" t="s">
        <v>336</v>
      </c>
      <c r="EZ1" s="69" t="s">
        <v>337</v>
      </c>
      <c r="FA1" s="69" t="s">
        <v>338</v>
      </c>
      <c r="FB1" s="72" t="s">
        <v>339</v>
      </c>
      <c r="FC1" s="69" t="s">
        <v>340</v>
      </c>
      <c r="FD1" s="69" t="s">
        <v>341</v>
      </c>
      <c r="FE1" s="69" t="s">
        <v>342</v>
      </c>
      <c r="FF1" s="69" t="s">
        <v>343</v>
      </c>
      <c r="FG1" s="69" t="s">
        <v>344</v>
      </c>
      <c r="FH1" s="69" t="s">
        <v>345</v>
      </c>
      <c r="FI1" s="71" t="s">
        <v>346</v>
      </c>
      <c r="FJ1" s="68" t="s">
        <v>347</v>
      </c>
      <c r="FK1" s="69" t="s">
        <v>348</v>
      </c>
      <c r="FL1" s="69" t="s">
        <v>349</v>
      </c>
      <c r="FM1" s="72" t="s">
        <v>350</v>
      </c>
      <c r="FN1" s="69" t="s">
        <v>351</v>
      </c>
      <c r="FO1" s="69" t="s">
        <v>352</v>
      </c>
      <c r="FP1" s="69" t="s">
        <v>353</v>
      </c>
      <c r="FQ1" s="69" t="s">
        <v>354</v>
      </c>
      <c r="FR1" s="69" t="s">
        <v>355</v>
      </c>
      <c r="FS1" s="69" t="s">
        <v>356</v>
      </c>
    </row>
    <row r="2" spans="1:175" ht="75" x14ac:dyDescent="0.25">
      <c r="A2" s="15" t="s">
        <v>0</v>
      </c>
      <c r="B2" s="73" t="s">
        <v>357</v>
      </c>
      <c r="C2" s="44" t="s">
        <v>358</v>
      </c>
      <c r="D2" s="15" t="s">
        <v>39</v>
      </c>
      <c r="E2" s="15" t="s">
        <v>39</v>
      </c>
      <c r="F2" s="15" t="s">
        <v>160</v>
      </c>
      <c r="G2" s="15"/>
      <c r="H2" s="74" t="s">
        <v>359</v>
      </c>
      <c r="I2" s="74" t="s">
        <v>360</v>
      </c>
      <c r="J2" s="45" t="s">
        <v>115</v>
      </c>
      <c r="K2" s="15" t="str">
        <f>[1]MiscModules!$B$12</f>
        <v>NULL</v>
      </c>
      <c r="L2" s="15" t="str">
        <f>[1]MiscModules!$C$12</f>
        <v xml:space="preserve">Order by December 19 to get most smartphones, wearables, tablets and laptops delivered by December 25. </v>
      </c>
      <c r="M2" s="15" t="str">
        <f>[1]MiscModules!$D$12</f>
        <v>NULL</v>
      </c>
      <c r="N2" s="15" t="str">
        <f>[1]MiscModules!$E$12</f>
        <v>NULL</v>
      </c>
      <c r="O2" s="15" t="str">
        <f>[1]MiscModules!$F$12</f>
        <v>NULL</v>
      </c>
      <c r="P2" s="15" t="str">
        <f>[1]MiscModules!$G$12</f>
        <v>https://www.samsung.com/us/support/order-faqs/#SHIPPINGANDPAYMENTS</v>
      </c>
      <c r="Q2" s="15" t="str">
        <f>[1]MiscModules!$H$12</f>
        <v xml:space="preserve"> </v>
      </c>
      <c r="R2" s="15" t="str">
        <f>[1]MiscModules!$I$12</f>
        <v>NULL</v>
      </c>
      <c r="S2" s="15" t="str">
        <f>[1]MiscModules!$J$12</f>
        <v>NULL</v>
      </c>
      <c r="T2" s="75" t="s">
        <v>361</v>
      </c>
      <c r="U2" s="15" t="str">
        <f>[1]MiscModules!$B$17</f>
        <v>Last_Minute_Deals_T2_KV.jpg</v>
      </c>
      <c r="V2" s="15" t="str">
        <f>[1]MiscModules!$C$17</f>
        <v>Last-minute gifts just in time</v>
      </c>
      <c r="W2" s="15" t="str">
        <f>[1]MiscModules!$D$17</f>
        <v>NULL</v>
      </c>
      <c r="X2" s="15" t="str">
        <f>[1]MiscModules!$E$17</f>
        <v>NULL</v>
      </c>
      <c r="Y2" s="15" t="str">
        <f>[1]MiscModules!$F$17</f>
        <v xml:space="preserve"> NULL</v>
      </c>
      <c r="Z2" s="15" t="str">
        <f>[1]MiscModules!$G$17</f>
        <v>https://www.samsung.com/us/shop/all-deals/</v>
      </c>
      <c r="AA2"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2" s="15" t="str">
        <f>[1]MiscModules!$I$17</f>
        <v xml:space="preserve"> NULL</v>
      </c>
      <c r="AC2" s="15" t="str">
        <f>[1]MiscModules!$J$17</f>
        <v xml:space="preserve"> NULL</v>
      </c>
      <c r="AD2" s="15" t="str">
        <f>[1]MiscModules!$K$17</f>
        <v xml:space="preserve"> NULL</v>
      </c>
      <c r="AE2" s="76">
        <v>44184</v>
      </c>
      <c r="AF2" s="15" t="s">
        <v>362</v>
      </c>
      <c r="AG2" s="75" t="s">
        <v>363</v>
      </c>
      <c r="AH2" s="15" t="str">
        <f>[1]MiscModules!$B$2</f>
        <v>NULL</v>
      </c>
      <c r="AI2" s="15" t="str">
        <f>[1]MiscModules!$C$2</f>
        <v>NULL</v>
      </c>
      <c r="AJ2" s="15" t="str">
        <f>[1]MiscModules!$D$2</f>
        <v xml:space="preserve">It’s not too late to give wonder. </v>
      </c>
      <c r="AK2" s="15" t="str">
        <f>[1]MiscModules!$E$2</f>
        <v xml:space="preserve">Plus,there is still time to redeem your exclusive $20 instant credit toward eligible accessories with smartphone purchase. </v>
      </c>
      <c r="AL2" s="15" t="str">
        <f>[1]MiscModules!$F$2</f>
        <v xml:space="preserve"> NULL</v>
      </c>
      <c r="AM2" s="15" t="str">
        <f>[1]MiscModules!$G$2</f>
        <v>https://www.samsung.com/us/shop/all-deals/</v>
      </c>
      <c r="AN2"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2" s="15" t="str">
        <f>[1]MiscModules!$I$2</f>
        <v xml:space="preserve"> NULL</v>
      </c>
      <c r="AP2" s="15" t="str">
        <f>[1]MiscModules!$J$2</f>
        <v xml:space="preserve"> NULL</v>
      </c>
      <c r="AQ2" s="15" t="str">
        <f>[1]MiscModules!$K$2</f>
        <v xml:space="preserve"> NULL</v>
      </c>
      <c r="AR2" s="75" t="s">
        <v>364</v>
      </c>
      <c r="AS2" s="15" t="str">
        <f>[1]CC!$B$2</f>
        <v>106_IM_HeadImage_MB_Smartphones-500xV.jpg</v>
      </c>
      <c r="AT2" s="15" t="str">
        <f>[1]CC!$C$2</f>
        <v>Get up to 50% off select, must-have smartphones</v>
      </c>
      <c r="AU2" s="15" t="str">
        <f>[1]CC!$D$2</f>
        <v>NULL</v>
      </c>
      <c r="AV2"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AW2" s="15" t="str">
        <f>[1]CC!$F$2</f>
        <v>Shop all</v>
      </c>
      <c r="AX2" s="15" t="str">
        <f>[1]CC!$G$2</f>
        <v>https://www.samsung.com/us/shop/all-deals/cell-phone-deals/</v>
      </c>
      <c r="AY2"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AZ2" s="15" t="str">
        <f>[1]CC!$I$2</f>
        <v>NULL</v>
      </c>
      <c r="BA2" s="15" t="str">
        <f>[1]CC!$J$2</f>
        <v>NULL</v>
      </c>
      <c r="BB2" s="15" t="str">
        <f>[1]CC!$K$2</f>
        <v>NULL</v>
      </c>
      <c r="BC2" s="75" t="s">
        <v>365</v>
      </c>
      <c r="BD2" s="15" t="str">
        <f>[1]CC!$B$6</f>
        <v>108_ME_HeadImage_GW3_Buds_Live_500xV.jpg</v>
      </c>
      <c r="BE2" s="15" t="str">
        <f>[1]CC!$C$6</f>
        <v>Find perfect gifts for someone on the go</v>
      </c>
      <c r="BF2" s="15" t="str">
        <f>[1]CC!$D$6</f>
        <v>NULL</v>
      </c>
      <c r="BG2" s="15" t="str">
        <f>[1]CC!$E$6</f>
        <v>Get healthier in style with up to $60  off select watches or get tough with $100 off Galaxy Watch3 Titanium. Plus, create an audio oasis with $30 off Galaxy Buds Live.</v>
      </c>
      <c r="BH2" s="15" t="str">
        <f>[1]CC!$F$6</f>
        <v>Shop all</v>
      </c>
      <c r="BI2" s="15" t="str">
        <f>[1]CC!$G$6</f>
        <v>https://www.samsung.com/us/shop/all-deals/tablets-wearables-cell-phone-accessories-deals/</v>
      </c>
      <c r="BJ2"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BK2" s="15" t="str">
        <f>[1]CC!$I$6</f>
        <v>NULL</v>
      </c>
      <c r="BL2" s="15" t="str">
        <f>[1]CC!$J$6</f>
        <v>NULL</v>
      </c>
      <c r="BM2" s="15" t="str">
        <f>[1]CC!$K$6</f>
        <v>NULL</v>
      </c>
      <c r="BN2" s="75" t="s">
        <v>366</v>
      </c>
      <c r="BO2" s="15" t="str">
        <f>[1]CC!$B$8</f>
        <v>109_HeadImage_laptops_Monitor_Tablets_memory_cards_500xV.jpg</v>
      </c>
      <c r="BP2" s="15" t="str">
        <f>[1]CC!$C$8</f>
        <v>Transform their space into a productive workplace</v>
      </c>
      <c r="BQ2" s="15" t="str">
        <f>[1]CC!$D$8</f>
        <v>NULL</v>
      </c>
      <c r="BR2" s="15" t="str">
        <f>[1]CC!$E$8</f>
        <v xml:space="preserve">Get up to $200 off select laptops, up to $150 off select tablets, up to 30% off monitors and up to 50% off memory cards. </v>
      </c>
      <c r="BS2" s="15" t="str">
        <f>[1]CC!$F$8</f>
        <v>Shop all</v>
      </c>
      <c r="BT2" s="15" t="str">
        <f>[1]CC!$G$8</f>
        <v>https://www.samsung.com/us/shop/all-deals/laptop-and-computer-deals/</v>
      </c>
      <c r="BU2"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V2" s="15" t="str">
        <f>[1]CC!$I$8</f>
        <v>NULL</v>
      </c>
      <c r="BW2" s="15" t="str">
        <f>[1]CC!$J$8</f>
        <v>NULL</v>
      </c>
      <c r="BX2" s="15" t="str">
        <f>[1]CC!$K$8</f>
        <v>NULL</v>
      </c>
      <c r="BY2" s="75" t="s">
        <v>367</v>
      </c>
      <c r="BZ2" s="15" t="str">
        <f>[1]CC!$B$4</f>
        <v>107_HeadImage_TV_HA_500xV.jpg</v>
      </c>
      <c r="CA2" s="15" t="str">
        <f>[1]CC!$C$4</f>
        <v>Already checked your list twice?</v>
      </c>
      <c r="CB2" s="15" t="str">
        <f>[1]CC!$D$4</f>
        <v>NULL</v>
      </c>
      <c r="CC2" s="15" t="str">
        <f>[1]CC!$E$4</f>
        <v xml:space="preserve">Shop great offers on TVs, soundbars and home appliances for delivery after December 25. </v>
      </c>
      <c r="CD2" s="15" t="str">
        <f>[1]CC!$F$4</f>
        <v>Shop TV &amp; Audio</v>
      </c>
      <c r="CE2" s="15" t="str">
        <f>[1]CC!$G$4</f>
        <v>https://www.samsung.com/us/shop/all-deals/tv-and-home-theater-deals/</v>
      </c>
      <c r="CF2"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G2" s="15" t="str">
        <f>[1]CC!$I$4</f>
        <v>Shop Home Appliances</v>
      </c>
      <c r="CH2" s="15" t="str">
        <f>[1]CC!$J$4</f>
        <v>https://www.samsung.com/us/shop/all-deals/home-appliance-and-smart-home-sales/</v>
      </c>
      <c r="CI2"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J2" s="75" t="s">
        <v>368</v>
      </c>
      <c r="CK2" s="15" t="str">
        <f>[1]MiscModules!$B$8</f>
        <v>Give-wonder-500xV.jpg</v>
      </c>
      <c r="CL2" s="15" t="str">
        <f>[1]MiscModules!$C$8</f>
        <v>NULL</v>
      </c>
      <c r="CM2" s="15" t="str">
        <f>[1]MiscModules!$D$8</f>
        <v>NULL</v>
      </c>
      <c r="CN2"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O2" s="15" t="str">
        <f>[1]MiscModules!$F$8</f>
        <v>Shop now</v>
      </c>
      <c r="CP2" s="15" t="str">
        <f>[1]MiscModules!$G$8</f>
        <v>https://www.samsung.com/us/gift-ideas/</v>
      </c>
      <c r="CQ2"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R2" s="15" t="str">
        <f>[1]MiscModules!$I$8</f>
        <v xml:space="preserve"> NULL</v>
      </c>
      <c r="CS2" s="15" t="str">
        <f>[1]MiscModules!$J$8</f>
        <v xml:space="preserve"> NULL</v>
      </c>
      <c r="CT2" s="15" t="str">
        <f>[1]MiscModules!$K$8</f>
        <v xml:space="preserve"> NULL</v>
      </c>
      <c r="CU2" s="45" t="s">
        <v>369</v>
      </c>
      <c r="CV2" s="15" t="str">
        <f>[1]TC!$B$6</f>
        <v>NULL</v>
      </c>
      <c r="CW2"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X2" s="15" t="str">
        <f>[1]TC!$D$6</f>
        <v>NULL</v>
      </c>
      <c r="CY2" s="15" t="str">
        <f>[1]TC!$E$6</f>
        <v>NULL</v>
      </c>
      <c r="CZ2" s="15" t="str">
        <f>[1]TC!$F$6</f>
        <v>NULL</v>
      </c>
      <c r="DA2" s="15" t="str">
        <f>[1]TC!$G$6</f>
        <v xml:space="preserve">https://www.samsung.com/us/
</v>
      </c>
      <c r="DB2" s="15">
        <f>[1]TC!$H$6</f>
        <v>0</v>
      </c>
      <c r="DC2" s="15" t="str">
        <f>[1]TC!$I$6</f>
        <v>NULL</v>
      </c>
      <c r="DD2" s="15" t="str">
        <f>[1]TC!$J$6</f>
        <v>NULL</v>
      </c>
      <c r="DE2" s="15" t="str">
        <f>[1]TC!$K$6</f>
        <v>NULL</v>
      </c>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row>
    <row r="3" spans="1:175" ht="75" x14ac:dyDescent="0.25">
      <c r="A3" s="15" t="s">
        <v>0</v>
      </c>
      <c r="B3" s="73" t="s">
        <v>357</v>
      </c>
      <c r="C3" s="44" t="s">
        <v>358</v>
      </c>
      <c r="D3" s="15" t="s">
        <v>39</v>
      </c>
      <c r="E3" s="15" t="s">
        <v>39</v>
      </c>
      <c r="F3" s="15" t="s">
        <v>370</v>
      </c>
      <c r="G3" s="15"/>
      <c r="H3" s="74" t="s">
        <v>359</v>
      </c>
      <c r="I3" s="74" t="s">
        <v>360</v>
      </c>
      <c r="J3" s="45" t="s">
        <v>115</v>
      </c>
      <c r="K3" s="15" t="str">
        <f>[1]MiscModules!$B$13</f>
        <v>NULL</v>
      </c>
      <c r="L3" s="15" t="str">
        <f>[1]MiscModules!$C$13</f>
        <v xml:space="preserve">Order by December 19 to get most smartphones, wearables, tablets and laptops delivered by December 25. </v>
      </c>
      <c r="M3" s="15" t="str">
        <f>[1]MiscModules!$D$13</f>
        <v>NULL</v>
      </c>
      <c r="N3" s="15" t="str">
        <f>[1]MiscModules!$E$13</f>
        <v>NULL</v>
      </c>
      <c r="O3" s="15" t="str">
        <f>[1]MiscModules!$F$13</f>
        <v>NULL</v>
      </c>
      <c r="P3" s="15" t="str">
        <f>[1]MiscModules!$G$13</f>
        <v>https://www.samsung.com/us/support/order-faqs/#SHIPPINGANDPAYMENTS</v>
      </c>
      <c r="Q3" s="15" t="str">
        <f>[1]MiscModules!$H$13</f>
        <v xml:space="preserve"> </v>
      </c>
      <c r="R3" s="15" t="str">
        <f>[1]MiscModules!$I$13</f>
        <v>NULL</v>
      </c>
      <c r="S3" s="15" t="str">
        <f>[1]MiscModules!$J$13</f>
        <v>NULL</v>
      </c>
      <c r="T3" s="75" t="s">
        <v>361</v>
      </c>
      <c r="U3" s="15" t="str">
        <f>[1]MiscModules!$B$18</f>
        <v>Last_Minute_Deals_T2_KV.jpg</v>
      </c>
      <c r="V3" s="15" t="str">
        <f>[1]MiscModules!$C$18</f>
        <v>Last-minute gifts just in time</v>
      </c>
      <c r="W3" s="15" t="str">
        <f>[1]MiscModules!$D$18</f>
        <v>NULL</v>
      </c>
      <c r="X3" s="15" t="str">
        <f>[1]MiscModules!$E$18</f>
        <v>NULL</v>
      </c>
      <c r="Y3" s="15" t="str">
        <f>[1]MiscModules!$F$18</f>
        <v xml:space="preserve"> NULL</v>
      </c>
      <c r="Z3" s="15" t="str">
        <f>[1]MiscModules!$G$18</f>
        <v>https://www.samsung.com/us/shop/all-deals/</v>
      </c>
      <c r="AA3"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3" s="15" t="str">
        <f>[1]MiscModules!$I$18</f>
        <v xml:space="preserve"> NULL</v>
      </c>
      <c r="AC3" s="15" t="str">
        <f>[1]MiscModules!$J$18</f>
        <v xml:space="preserve"> NULL</v>
      </c>
      <c r="AD3" s="15" t="str">
        <f>[1]MiscModules!$K$18</f>
        <v xml:space="preserve"> NULL</v>
      </c>
      <c r="AE3" s="76">
        <v>44184</v>
      </c>
      <c r="AF3" s="15" t="s">
        <v>362</v>
      </c>
      <c r="AG3" s="75" t="s">
        <v>363</v>
      </c>
      <c r="AH3" s="15" t="str">
        <f>[1]MiscModules!$B$3</f>
        <v>NULL</v>
      </c>
      <c r="AI3" s="15" t="str">
        <f>[1]MiscModules!$C$3</f>
        <v>NULL</v>
      </c>
      <c r="AJ3" s="15" t="str">
        <f>[1]MiscModules!$D$3</f>
        <v xml:space="preserve">It’s not too late to give wonder. </v>
      </c>
      <c r="AK3" s="15" t="str">
        <f>[1]MiscModules!$E$3</f>
        <v>NULL</v>
      </c>
      <c r="AL3" s="15" t="str">
        <f>[1]MiscModules!$F$3</f>
        <v xml:space="preserve"> NULL</v>
      </c>
      <c r="AM3" s="15" t="str">
        <f>[1]MiscModules!$G$3</f>
        <v>https://www.samsung.com/us/shop/all-deals/</v>
      </c>
      <c r="AN3"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3" s="15" t="str">
        <f>[1]MiscModules!$I$3</f>
        <v xml:space="preserve"> NULL</v>
      </c>
      <c r="AP3" s="15" t="str">
        <f>[1]MiscModules!$J$3</f>
        <v xml:space="preserve"> NULL</v>
      </c>
      <c r="AQ3" s="15" t="str">
        <f>[1]MiscModules!$K$3</f>
        <v xml:space="preserve"> NULL</v>
      </c>
      <c r="AR3" s="75" t="s">
        <v>364</v>
      </c>
      <c r="AS3" s="15" t="str">
        <f>[1]CC!$B$3</f>
        <v>106_IM_HeadImage_MB_Smartphones-500xV.jpg</v>
      </c>
      <c r="AT3" s="15" t="str">
        <f>[1]CC!$C$3</f>
        <v>Get up to 50% off select, must-have smartphones</v>
      </c>
      <c r="AU3" s="15" t="str">
        <f>[1]CC!$D$3</f>
        <v>NULL</v>
      </c>
      <c r="AV3" s="15" t="str">
        <f>[1]CC!$E$3</f>
        <v xml:space="preserve">Take stunning pictures with Galaxy S20 5G, unfold a world of infinite possibilities with Galaxy Z Fold2 5G or get it all without breaking the bank with Galaxy A71 5G from Verizon and T-Mobile. </v>
      </c>
      <c r="AW3" s="15" t="str">
        <f>[1]CC!$F$3</f>
        <v>Shop all</v>
      </c>
      <c r="AX3" s="15" t="str">
        <f>[1]CC!$G$3</f>
        <v>https://www.samsung.com/us/shop/all-deals/cell-phone-deals/</v>
      </c>
      <c r="AY3"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AZ3" s="15" t="str">
        <f>[1]CC!$I$3</f>
        <v>NULL</v>
      </c>
      <c r="BA3" s="15" t="str">
        <f>[1]CC!$J$3</f>
        <v>NULL</v>
      </c>
      <c r="BB3" s="15" t="str">
        <f>[1]CC!$K$3</f>
        <v>NULL</v>
      </c>
      <c r="BC3" s="75" t="s">
        <v>365</v>
      </c>
      <c r="BD3" s="15" t="str">
        <f>[1]CC!$B$7</f>
        <v>108_ME_HeadImage_GW3_Buds_Live_500xV.jpg</v>
      </c>
      <c r="BE3" s="15" t="str">
        <f>[1]CC!$C$7</f>
        <v>Find perfect gifts for someone on the go</v>
      </c>
      <c r="BF3" s="15" t="str">
        <f>[1]CC!$D$7</f>
        <v>NULL</v>
      </c>
      <c r="BG3" s="15" t="str">
        <f>[1]CC!$E$7</f>
        <v>Get healthier in style with up to $60  off select watches or get tough with $100 off Galaxy Watch3 Titanium. Plus, create an audio oasis with $30 off Galaxy Buds Live.</v>
      </c>
      <c r="BH3" s="15" t="str">
        <f>[1]CC!$F$7</f>
        <v>Shop all</v>
      </c>
      <c r="BI3" s="15" t="str">
        <f>[1]CC!$G$7</f>
        <v>https://www.samsung.com/us/shop/all-deals/tablets-wearables-cell-phone-accessories-deals/</v>
      </c>
      <c r="BJ3"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BK3" s="15" t="str">
        <f>[1]CC!$I$7</f>
        <v>NULL</v>
      </c>
      <c r="BL3" s="15" t="str">
        <f>[1]CC!$J$7</f>
        <v>NULL</v>
      </c>
      <c r="BM3" s="15" t="str">
        <f>[1]CC!$K$7</f>
        <v>NULL</v>
      </c>
      <c r="BN3" s="75" t="s">
        <v>366</v>
      </c>
      <c r="BO3" s="15" t="e">
        <f>[1]CC!#REF!</f>
        <v>#REF!</v>
      </c>
      <c r="BP3" s="15" t="str">
        <f>[1]CC!$C$9</f>
        <v>Transform their space into a productive workplace</v>
      </c>
      <c r="BQ3" s="15" t="str">
        <f>[1]CC!$D$9</f>
        <v>NULL</v>
      </c>
      <c r="BR3" s="15" t="str">
        <f>[1]CC!$E$9</f>
        <v xml:space="preserve">Get up to $200 off select laptops, up to $150 off select tablets, up to 30% off monitors and up to 50% off memory cards. </v>
      </c>
      <c r="BS3" s="15" t="str">
        <f>[1]CC!$F$9</f>
        <v>Shop all</v>
      </c>
      <c r="BT3" s="15" t="str">
        <f>[1]CC!$G$9</f>
        <v>https://www.samsung.com/us/shop/all-deals/laptop-and-computer-deals/</v>
      </c>
      <c r="BU3"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V3" s="15" t="str">
        <f>[1]CC!$I$9</f>
        <v>NULL</v>
      </c>
      <c r="BW3" s="15" t="str">
        <f>[1]CC!$J$9</f>
        <v>NULL</v>
      </c>
      <c r="BX3" s="15" t="str">
        <f>[1]CC!$K$9</f>
        <v>NULL</v>
      </c>
      <c r="BY3" s="75" t="s">
        <v>367</v>
      </c>
      <c r="BZ3" s="15" t="str">
        <f>[1]CC!$B$5</f>
        <v>107_HeadImage_TV_HA_500xV.jpg</v>
      </c>
      <c r="CA3" s="15" t="str">
        <f>[1]CC!$C$5</f>
        <v>Already checked your list twice?</v>
      </c>
      <c r="CB3" s="15" t="str">
        <f>[1]CC!$D$5</f>
        <v>NULL</v>
      </c>
      <c r="CC3" s="15" t="str">
        <f>[1]CC!$E$5</f>
        <v xml:space="preserve">Shop great offers on TVs, soundbars and home appliances for delivery after December 25. </v>
      </c>
      <c r="CD3" s="15" t="str">
        <f>[1]CC!$F$5</f>
        <v>Shop TV &amp; Audio</v>
      </c>
      <c r="CE3" s="15" t="str">
        <f>[1]CC!$G$5</f>
        <v>https://www.samsung.com/us/shop/all-deals/tv-and-home-theater-deals/</v>
      </c>
      <c r="CF3"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G3" s="15" t="str">
        <f>[1]CC!$I$5</f>
        <v>Shop Home Appliances</v>
      </c>
      <c r="CH3" s="15" t="str">
        <f>[1]CC!$J$5</f>
        <v>https://www.samsung.com/us/shop/all-deals/home-appliance-and-smart-home-sales/</v>
      </c>
      <c r="CI3"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J3" s="75" t="s">
        <v>368</v>
      </c>
      <c r="CK3" s="15" t="str">
        <f>[1]MiscModules!$B$9</f>
        <v>Give-wonder-500xV.jpg</v>
      </c>
      <c r="CL3" s="15" t="str">
        <f>[1]MiscModules!$C$9</f>
        <v>NULL</v>
      </c>
      <c r="CM3" s="15" t="str">
        <f>[1]MiscModules!$D$9</f>
        <v>NULL</v>
      </c>
      <c r="CN3" s="15" t="str">
        <f>[1]MiscModules!$E$9</f>
        <v xml:space="preserve">Discover even more exclusive offers on your favorite products. Unlock the power of smart and savvy gifting with our holiday gift guide. </v>
      </c>
      <c r="CO3" s="15" t="str">
        <f>[1]MiscModules!$F$9</f>
        <v>Shop now</v>
      </c>
      <c r="CP3" s="15" t="str">
        <f>[1]MiscModules!$G$9</f>
        <v>https://www.samsung.com/us/gift-ideas/</v>
      </c>
      <c r="CQ3"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CR3" s="15" t="str">
        <f>[1]MiscModules!$I$9</f>
        <v xml:space="preserve"> NULL</v>
      </c>
      <c r="CS3" s="15" t="str">
        <f>[1]MiscModules!$J$9</f>
        <v xml:space="preserve"> NULL</v>
      </c>
      <c r="CT3" s="15" t="str">
        <f>[1]MiscModules!$K$9</f>
        <v xml:space="preserve"> NULL</v>
      </c>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row>
    <row r="4" spans="1:175" ht="75" x14ac:dyDescent="0.25">
      <c r="A4" s="15" t="s">
        <v>0</v>
      </c>
      <c r="B4" s="73" t="s">
        <v>117</v>
      </c>
      <c r="C4" s="44" t="s">
        <v>371</v>
      </c>
      <c r="D4" s="15" t="s">
        <v>39</v>
      </c>
      <c r="E4" s="15" t="s">
        <v>39</v>
      </c>
      <c r="F4" s="15" t="s">
        <v>160</v>
      </c>
      <c r="G4" s="15"/>
      <c r="H4" s="74" t="s">
        <v>372</v>
      </c>
      <c r="I4" s="74" t="s">
        <v>360</v>
      </c>
      <c r="J4" s="45" t="s">
        <v>115</v>
      </c>
      <c r="K4" s="15" t="str">
        <f>[1]MiscModules!$B$12</f>
        <v>NULL</v>
      </c>
      <c r="L4" s="15" t="str">
        <f>[1]MiscModules!$C$12</f>
        <v xml:space="preserve">Order by December 19 to get most smartphones, wearables, tablets and laptops delivered by December 25. </v>
      </c>
      <c r="M4" s="15" t="str">
        <f>[1]MiscModules!$D$12</f>
        <v>NULL</v>
      </c>
      <c r="N4" s="15" t="str">
        <f>[1]MiscModules!$E$12</f>
        <v>NULL</v>
      </c>
      <c r="O4" s="15" t="str">
        <f>[1]MiscModules!$F$12</f>
        <v>NULL</v>
      </c>
      <c r="P4" s="15" t="str">
        <f>[1]MiscModules!$G$12</f>
        <v>https://www.samsung.com/us/support/order-faqs/#SHIPPINGANDPAYMENTS</v>
      </c>
      <c r="Q4" s="15" t="str">
        <f>[1]MiscModules!$H$12</f>
        <v xml:space="preserve"> </v>
      </c>
      <c r="R4" s="15" t="str">
        <f>[1]MiscModules!$I$12</f>
        <v>NULL</v>
      </c>
      <c r="S4" s="15" t="str">
        <f>[1]MiscModules!$J$12</f>
        <v>NULL</v>
      </c>
      <c r="T4" s="75" t="s">
        <v>361</v>
      </c>
      <c r="U4" s="15" t="str">
        <f>[1]MiscModules!$B$17</f>
        <v>Last_Minute_Deals_T2_KV.jpg</v>
      </c>
      <c r="V4" s="15" t="str">
        <f>[1]MiscModules!$C$17</f>
        <v>Last-minute gifts just in time</v>
      </c>
      <c r="W4" s="15" t="str">
        <f>[1]MiscModules!$D$17</f>
        <v>NULL</v>
      </c>
      <c r="X4" s="15" t="str">
        <f>[1]MiscModules!$E$17</f>
        <v>NULL</v>
      </c>
      <c r="Y4" s="15" t="str">
        <f>[1]MiscModules!$F$17</f>
        <v xml:space="preserve"> NULL</v>
      </c>
      <c r="Z4" s="15" t="str">
        <f>[1]MiscModules!$G$17</f>
        <v>https://www.samsung.com/us/shop/all-deals/</v>
      </c>
      <c r="AA4"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4" s="15" t="str">
        <f>[1]MiscModules!$I$17</f>
        <v xml:space="preserve"> NULL</v>
      </c>
      <c r="AC4" s="15" t="str">
        <f>[1]MiscModules!$J$17</f>
        <v xml:space="preserve"> NULL</v>
      </c>
      <c r="AD4" s="15" t="str">
        <f>[1]MiscModules!$K$17</f>
        <v xml:space="preserve"> NULL</v>
      </c>
      <c r="AE4" s="76">
        <v>44184</v>
      </c>
      <c r="AF4" s="15" t="s">
        <v>362</v>
      </c>
      <c r="AG4" s="75" t="s">
        <v>363</v>
      </c>
      <c r="AH4" s="15" t="str">
        <f>[1]MiscModules!$B$2</f>
        <v>NULL</v>
      </c>
      <c r="AI4" s="15" t="str">
        <f>[1]MiscModules!$C$2</f>
        <v>NULL</v>
      </c>
      <c r="AJ4" s="15" t="str">
        <f>[1]MiscModules!$D$2</f>
        <v xml:space="preserve">It’s not too late to give wonder. </v>
      </c>
      <c r="AK4" s="15" t="str">
        <f>[1]MiscModules!$E$2</f>
        <v xml:space="preserve">Plus,there is still time to redeem your exclusive $20 instant credit toward eligible accessories with smartphone purchase. </v>
      </c>
      <c r="AL4" s="15" t="str">
        <f>[1]MiscModules!$F$2</f>
        <v xml:space="preserve"> NULL</v>
      </c>
      <c r="AM4" s="15" t="str">
        <f>[1]MiscModules!$G$2</f>
        <v>https://www.samsung.com/us/shop/all-deals/</v>
      </c>
      <c r="AN4"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4" s="15" t="str">
        <f>[1]MiscModules!$I$2</f>
        <v xml:space="preserve"> NULL</v>
      </c>
      <c r="AP4" s="15" t="str">
        <f>[1]MiscModules!$J$2</f>
        <v xml:space="preserve"> NULL</v>
      </c>
      <c r="AQ4" s="15" t="str">
        <f>[1]MiscModules!$K$2</f>
        <v xml:space="preserve"> NULL</v>
      </c>
      <c r="AR4" s="75" t="s">
        <v>365</v>
      </c>
      <c r="AS4" s="15" t="str">
        <f>[1]CC!$B$6</f>
        <v>108_ME_HeadImage_GW3_Buds_Live_500xV.jpg</v>
      </c>
      <c r="AT4" s="15" t="str">
        <f>[1]CC!$C$6</f>
        <v>Find perfect gifts for someone on the go</v>
      </c>
      <c r="AU4" s="15" t="str">
        <f>[1]CC!$D$6</f>
        <v>NULL</v>
      </c>
      <c r="AV4" s="15" t="str">
        <f>[1]CC!$E$6</f>
        <v>Get healthier in style with up to $60  off select watches or get tough with $100 off Galaxy Watch3 Titanium. Plus, create an audio oasis with $30 off Galaxy Buds Live.</v>
      </c>
      <c r="AW4" s="15" t="str">
        <f>[1]CC!$F$6</f>
        <v>Shop all</v>
      </c>
      <c r="AX4" s="15" t="str">
        <f>[1]CC!$G$6</f>
        <v>https://www.samsung.com/us/shop/all-deals/tablets-wearables-cell-phone-accessories-deals/</v>
      </c>
      <c r="AY4"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AZ4" s="15" t="str">
        <f>[1]CC!$I$6</f>
        <v>NULL</v>
      </c>
      <c r="BA4" s="15" t="str">
        <f>[1]CC!$J$6</f>
        <v>NULL</v>
      </c>
      <c r="BB4" s="15" t="str">
        <f>[1]CC!$K$6</f>
        <v>NULL</v>
      </c>
      <c r="BC4" s="75" t="s">
        <v>364</v>
      </c>
      <c r="BD4" s="15" t="str">
        <f>[1]CC!$B$2</f>
        <v>106_IM_HeadImage_MB_Smartphones-500xV.jpg</v>
      </c>
      <c r="BE4" s="15" t="str">
        <f>[1]CC!$C$2</f>
        <v>Get up to 50% off select, must-have smartphones</v>
      </c>
      <c r="BF4" s="15" t="str">
        <f>[1]CC!$D$2</f>
        <v>NULL</v>
      </c>
      <c r="BG4"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H4" s="15" t="str">
        <f>[1]CC!$F$2</f>
        <v>Shop all</v>
      </c>
      <c r="BI4" s="15" t="str">
        <f>[1]CC!$G$2</f>
        <v>https://www.samsung.com/us/shop/all-deals/cell-phone-deals/</v>
      </c>
      <c r="BJ4"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K4" s="15" t="str">
        <f>[1]CC!$I$2</f>
        <v>NULL</v>
      </c>
      <c r="BL4" s="15" t="str">
        <f>[1]CC!$J$2</f>
        <v>NULL</v>
      </c>
      <c r="BM4" s="15" t="str">
        <f>[1]CC!$K$2</f>
        <v>NULL</v>
      </c>
      <c r="BN4" s="75" t="s">
        <v>366</v>
      </c>
      <c r="BO4" s="15" t="str">
        <f>[1]CC!$B$8</f>
        <v>109_HeadImage_laptops_Monitor_Tablets_memory_cards_500xV.jpg</v>
      </c>
      <c r="BP4" s="15" t="str">
        <f>[1]CC!$C$8</f>
        <v>Transform their space into a productive workplace</v>
      </c>
      <c r="BQ4" s="15" t="str">
        <f>[1]CC!$D$8</f>
        <v>NULL</v>
      </c>
      <c r="BR4" s="15" t="str">
        <f>[1]CC!$E$8</f>
        <v xml:space="preserve">Get up to $200 off select laptops, up to $150 off select tablets, up to 30% off monitors and up to 50% off memory cards. </v>
      </c>
      <c r="BS4" s="15" t="str">
        <f>[1]CC!$F$8</f>
        <v>Shop all</v>
      </c>
      <c r="BT4" s="15" t="str">
        <f>[1]CC!$G$8</f>
        <v>https://www.samsung.com/us/shop/all-deals/laptop-and-computer-deals/</v>
      </c>
      <c r="BU4"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V4" s="15" t="str">
        <f>[1]CC!$I$8</f>
        <v>NULL</v>
      </c>
      <c r="BW4" s="15" t="str">
        <f>[1]CC!$J$8</f>
        <v>NULL</v>
      </c>
      <c r="BX4" s="15" t="str">
        <f>[1]CC!$K$8</f>
        <v>NULL</v>
      </c>
      <c r="BY4" s="75" t="s">
        <v>367</v>
      </c>
      <c r="BZ4" s="15" t="str">
        <f>[1]CC!$B$4</f>
        <v>107_HeadImage_TV_HA_500xV.jpg</v>
      </c>
      <c r="CA4" s="15" t="str">
        <f>[1]CC!$C$4</f>
        <v>Already checked your list twice?</v>
      </c>
      <c r="CB4" s="15" t="str">
        <f>[1]CC!$D$4</f>
        <v>NULL</v>
      </c>
      <c r="CC4" s="15" t="str">
        <f>[1]CC!$E$4</f>
        <v xml:space="preserve">Shop great offers on TVs, soundbars and home appliances for delivery after December 25. </v>
      </c>
      <c r="CD4" s="15" t="str">
        <f>[1]CC!$F$4</f>
        <v>Shop TV &amp; Audio</v>
      </c>
      <c r="CE4" s="15" t="str">
        <f>[1]CC!$G$4</f>
        <v>https://www.samsung.com/us/shop/all-deals/tv-and-home-theater-deals/</v>
      </c>
      <c r="CF4"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G4" s="15" t="str">
        <f>[1]CC!$I$4</f>
        <v>Shop Home Appliances</v>
      </c>
      <c r="CH4" s="15" t="str">
        <f>[1]CC!$J$4</f>
        <v>https://www.samsung.com/us/shop/all-deals/home-appliance-and-smart-home-sales/</v>
      </c>
      <c r="CI4"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J4" s="75" t="s">
        <v>368</v>
      </c>
      <c r="CK4" s="15" t="str">
        <f>[1]MiscModules!$B$8</f>
        <v>Give-wonder-500xV.jpg</v>
      </c>
      <c r="CL4" s="15" t="str">
        <f>[1]MiscModules!$C$8</f>
        <v>NULL</v>
      </c>
      <c r="CM4" s="15" t="str">
        <f>[1]MiscModules!$D$8</f>
        <v>NULL</v>
      </c>
      <c r="CN4"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O4" s="15" t="str">
        <f>[1]MiscModules!$F$8</f>
        <v>Shop now</v>
      </c>
      <c r="CP4" s="15" t="str">
        <f>[1]MiscModules!$G$8</f>
        <v>https://www.samsung.com/us/gift-ideas/</v>
      </c>
      <c r="CQ4"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R4" s="15" t="str">
        <f>[1]MiscModules!$I$8</f>
        <v xml:space="preserve"> NULL</v>
      </c>
      <c r="CS4" s="15" t="str">
        <f>[1]MiscModules!$J$8</f>
        <v xml:space="preserve"> NULL</v>
      </c>
      <c r="CT4" s="15" t="str">
        <f>[1]MiscModules!$K$8</f>
        <v xml:space="preserve"> NULL</v>
      </c>
      <c r="CU4" s="45" t="s">
        <v>369</v>
      </c>
      <c r="CV4" s="15" t="str">
        <f>[1]TC!$B$6</f>
        <v>NULL</v>
      </c>
      <c r="CW4"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X4" s="15" t="str">
        <f>[1]TC!$D$6</f>
        <v>NULL</v>
      </c>
      <c r="CY4" s="15" t="str">
        <f>[1]TC!$E$6</f>
        <v>NULL</v>
      </c>
      <c r="CZ4" s="15" t="str">
        <f>[1]TC!$F$6</f>
        <v>NULL</v>
      </c>
      <c r="DA4" s="15" t="str">
        <f>[1]TC!$G$6</f>
        <v xml:space="preserve">https://www.samsung.com/us/
</v>
      </c>
      <c r="DB4" s="15">
        <f>[1]TC!$H$6</f>
        <v>0</v>
      </c>
      <c r="DC4" s="15" t="str">
        <f>[1]TC!$I$6</f>
        <v>NULL</v>
      </c>
      <c r="DD4" s="15" t="str">
        <f>[1]TC!$J$6</f>
        <v>NULL</v>
      </c>
      <c r="DE4" s="15" t="str">
        <f>[1]TC!$K$6</f>
        <v>NULL</v>
      </c>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row>
    <row r="5" spans="1:175" ht="75" x14ac:dyDescent="0.25">
      <c r="A5" s="15" t="s">
        <v>0</v>
      </c>
      <c r="B5" s="73" t="s">
        <v>117</v>
      </c>
      <c r="C5" s="44" t="s">
        <v>371</v>
      </c>
      <c r="D5" s="15" t="s">
        <v>39</v>
      </c>
      <c r="E5" s="15" t="s">
        <v>39</v>
      </c>
      <c r="F5" s="15" t="s">
        <v>370</v>
      </c>
      <c r="G5" s="15"/>
      <c r="H5" s="74" t="s">
        <v>372</v>
      </c>
      <c r="I5" s="74" t="s">
        <v>360</v>
      </c>
      <c r="J5" s="45" t="s">
        <v>115</v>
      </c>
      <c r="K5" s="15" t="str">
        <f>[1]MiscModules!$B$13</f>
        <v>NULL</v>
      </c>
      <c r="L5" s="15" t="str">
        <f>[1]MiscModules!$C$13</f>
        <v xml:space="preserve">Order by December 19 to get most smartphones, wearables, tablets and laptops delivered by December 25. </v>
      </c>
      <c r="M5" s="15" t="str">
        <f>[1]MiscModules!$D$13</f>
        <v>NULL</v>
      </c>
      <c r="N5" s="15" t="str">
        <f>[1]MiscModules!$E$13</f>
        <v>NULL</v>
      </c>
      <c r="O5" s="15" t="str">
        <f>[1]MiscModules!$F$13</f>
        <v>NULL</v>
      </c>
      <c r="P5" s="15" t="str">
        <f>[1]MiscModules!$G$13</f>
        <v>https://www.samsung.com/us/support/order-faqs/#SHIPPINGANDPAYMENTS</v>
      </c>
      <c r="Q5" s="15" t="str">
        <f>[1]MiscModules!$H$13</f>
        <v xml:space="preserve"> </v>
      </c>
      <c r="R5" s="15" t="str">
        <f>[1]MiscModules!$I$13</f>
        <v>NULL</v>
      </c>
      <c r="S5" s="15" t="str">
        <f>[1]MiscModules!$J$13</f>
        <v>NULL</v>
      </c>
      <c r="T5" s="75" t="s">
        <v>361</v>
      </c>
      <c r="U5" s="15" t="str">
        <f>[1]MiscModules!$B$18</f>
        <v>Last_Minute_Deals_T2_KV.jpg</v>
      </c>
      <c r="V5" s="15" t="str">
        <f>[1]MiscModules!$C$18</f>
        <v>Last-minute gifts just in time</v>
      </c>
      <c r="W5" s="15" t="str">
        <f>[1]MiscModules!$D$18</f>
        <v>NULL</v>
      </c>
      <c r="X5" s="15" t="str">
        <f>[1]MiscModules!$E$18</f>
        <v>NULL</v>
      </c>
      <c r="Y5" s="15" t="str">
        <f>[1]MiscModules!$F$18</f>
        <v xml:space="preserve"> NULL</v>
      </c>
      <c r="Z5" s="15" t="str">
        <f>[1]MiscModules!$G$18</f>
        <v>https://www.samsung.com/us/shop/all-deals/</v>
      </c>
      <c r="AA5"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5" s="15" t="str">
        <f>[1]MiscModules!$I$18</f>
        <v xml:space="preserve"> NULL</v>
      </c>
      <c r="AC5" s="15" t="str">
        <f>[1]MiscModules!$J$18</f>
        <v xml:space="preserve"> NULL</v>
      </c>
      <c r="AD5" s="15" t="str">
        <f>[1]MiscModules!$K$18</f>
        <v xml:space="preserve"> NULL</v>
      </c>
      <c r="AE5" s="76">
        <v>44184</v>
      </c>
      <c r="AF5" s="15" t="s">
        <v>362</v>
      </c>
      <c r="AG5" s="75" t="s">
        <v>363</v>
      </c>
      <c r="AH5" s="15" t="str">
        <f>[1]MiscModules!$B$3</f>
        <v>NULL</v>
      </c>
      <c r="AI5" s="15" t="str">
        <f>[1]MiscModules!$C$3</f>
        <v>NULL</v>
      </c>
      <c r="AJ5" s="15" t="str">
        <f>[1]MiscModules!$D$3</f>
        <v xml:space="preserve">It’s not too late to give wonder. </v>
      </c>
      <c r="AK5" s="15" t="str">
        <f>[1]MiscModules!$E$3</f>
        <v>NULL</v>
      </c>
      <c r="AL5" s="15" t="str">
        <f>[1]MiscModules!$F$3</f>
        <v xml:space="preserve"> NULL</v>
      </c>
      <c r="AM5" s="15" t="str">
        <f>[1]MiscModules!$G$3</f>
        <v>https://www.samsung.com/us/shop/all-deals/</v>
      </c>
      <c r="AN5"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5" s="15" t="str">
        <f>[1]MiscModules!$I$3</f>
        <v xml:space="preserve"> NULL</v>
      </c>
      <c r="AP5" s="15" t="str">
        <f>[1]MiscModules!$J$3</f>
        <v xml:space="preserve"> NULL</v>
      </c>
      <c r="AQ5" s="15" t="str">
        <f>[1]MiscModules!$K$3</f>
        <v xml:space="preserve"> NULL</v>
      </c>
      <c r="AR5" s="75" t="s">
        <v>365</v>
      </c>
      <c r="AS5" s="15" t="str">
        <f>[1]CC!$B$7</f>
        <v>108_ME_HeadImage_GW3_Buds_Live_500xV.jpg</v>
      </c>
      <c r="AT5" s="15" t="str">
        <f>[1]CC!$C$7</f>
        <v>Find perfect gifts for someone on the go</v>
      </c>
      <c r="AU5" s="15" t="str">
        <f>[1]CC!$D$7</f>
        <v>NULL</v>
      </c>
      <c r="AV5" s="15" t="str">
        <f>[1]CC!$E$7</f>
        <v>Get healthier in style with up to $60  off select watches or get tough with $100 off Galaxy Watch3 Titanium. Plus, create an audio oasis with $30 off Galaxy Buds Live.</v>
      </c>
      <c r="AW5" s="15" t="str">
        <f>[1]CC!$F$7</f>
        <v>Shop all</v>
      </c>
      <c r="AX5" s="15" t="str">
        <f>[1]CC!$G$7</f>
        <v>https://www.samsung.com/us/shop/all-deals/tablets-wearables-cell-phone-accessories-deals/</v>
      </c>
      <c r="AY5"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AZ5" s="15" t="str">
        <f>[1]CC!$I$7</f>
        <v>NULL</v>
      </c>
      <c r="BA5" s="15" t="str">
        <f>[1]CC!$J$7</f>
        <v>NULL</v>
      </c>
      <c r="BB5" s="15" t="str">
        <f>[1]CC!$K$7</f>
        <v>NULL</v>
      </c>
      <c r="BC5" s="75" t="s">
        <v>364</v>
      </c>
      <c r="BD5" s="15" t="str">
        <f>[1]CC!$B$3</f>
        <v>106_IM_HeadImage_MB_Smartphones-500xV.jpg</v>
      </c>
      <c r="BE5" s="15" t="str">
        <f>[1]CC!$C$3</f>
        <v>Get up to 50% off select, must-have smartphones</v>
      </c>
      <c r="BF5" s="15" t="str">
        <f>[1]CC!$D$3</f>
        <v>NULL</v>
      </c>
      <c r="BG5" s="15" t="str">
        <f>[1]CC!$E$3</f>
        <v xml:space="preserve">Take stunning pictures with Galaxy S20 5G, unfold a world of infinite possibilities with Galaxy Z Fold2 5G or get it all without breaking the bank with Galaxy A71 5G from Verizon and T-Mobile. </v>
      </c>
      <c r="BH5" s="15" t="str">
        <f>[1]CC!$F$3</f>
        <v>Shop all</v>
      </c>
      <c r="BI5" s="15" t="str">
        <f>[1]CC!$G$3</f>
        <v>https://www.samsung.com/us/shop/all-deals/cell-phone-deals/</v>
      </c>
      <c r="BJ5"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K5" s="15" t="str">
        <f>[1]CC!$I$3</f>
        <v>NULL</v>
      </c>
      <c r="BL5" s="15" t="str">
        <f>[1]CC!$J$3</f>
        <v>NULL</v>
      </c>
      <c r="BM5" s="15" t="str">
        <f>[1]CC!$K$3</f>
        <v>NULL</v>
      </c>
      <c r="BN5" s="75" t="s">
        <v>366</v>
      </c>
      <c r="BO5" s="15" t="e">
        <f>[1]CC!#REF!</f>
        <v>#REF!</v>
      </c>
      <c r="BP5" s="15" t="str">
        <f>[1]CC!$C$9</f>
        <v>Transform their space into a productive workplace</v>
      </c>
      <c r="BQ5" s="15" t="str">
        <f>[1]CC!$D$9</f>
        <v>NULL</v>
      </c>
      <c r="BR5" s="15" t="str">
        <f>[1]CC!$E$9</f>
        <v xml:space="preserve">Get up to $200 off select laptops, up to $150 off select tablets, up to 30% off monitors and up to 50% off memory cards. </v>
      </c>
      <c r="BS5" s="15" t="str">
        <f>[1]CC!$F$9</f>
        <v>Shop all</v>
      </c>
      <c r="BT5" s="15" t="str">
        <f>[1]CC!$G$9</f>
        <v>https://www.samsung.com/us/shop/all-deals/laptop-and-computer-deals/</v>
      </c>
      <c r="BU5"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V5" s="15" t="str">
        <f>[1]CC!$I$9</f>
        <v>NULL</v>
      </c>
      <c r="BW5" s="15" t="str">
        <f>[1]CC!$J$9</f>
        <v>NULL</v>
      </c>
      <c r="BX5" s="15" t="str">
        <f>[1]CC!$K$9</f>
        <v>NULL</v>
      </c>
      <c r="BY5" s="75" t="s">
        <v>367</v>
      </c>
      <c r="BZ5" s="15" t="str">
        <f>[1]CC!$B$5</f>
        <v>107_HeadImage_TV_HA_500xV.jpg</v>
      </c>
      <c r="CA5" s="15" t="str">
        <f>[1]CC!$C$5</f>
        <v>Already checked your list twice?</v>
      </c>
      <c r="CB5" s="15" t="str">
        <f>[1]CC!$D$5</f>
        <v>NULL</v>
      </c>
      <c r="CC5" s="15" t="str">
        <f>[1]CC!$E$5</f>
        <v xml:space="preserve">Shop great offers on TVs, soundbars and home appliances for delivery after December 25. </v>
      </c>
      <c r="CD5" s="15" t="str">
        <f>[1]CC!$F$5</f>
        <v>Shop TV &amp; Audio</v>
      </c>
      <c r="CE5" s="15" t="str">
        <f>[1]CC!$G$5</f>
        <v>https://www.samsung.com/us/shop/all-deals/tv-and-home-theater-deals/</v>
      </c>
      <c r="CF5"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G5" s="15" t="str">
        <f>[1]CC!$I$5</f>
        <v>Shop Home Appliances</v>
      </c>
      <c r="CH5" s="15" t="str">
        <f>[1]CC!$J$5</f>
        <v>https://www.samsung.com/us/shop/all-deals/home-appliance-and-smart-home-sales/</v>
      </c>
      <c r="CI5"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J5" s="75" t="s">
        <v>368</v>
      </c>
      <c r="CK5" s="15" t="str">
        <f>[1]MiscModules!$B$9</f>
        <v>Give-wonder-500xV.jpg</v>
      </c>
      <c r="CL5" s="15" t="str">
        <f>[1]MiscModules!$C$9</f>
        <v>NULL</v>
      </c>
      <c r="CM5" s="15" t="str">
        <f>[1]MiscModules!$D$9</f>
        <v>NULL</v>
      </c>
      <c r="CN5" s="15" t="str">
        <f>[1]MiscModules!$E$9</f>
        <v xml:space="preserve">Discover even more exclusive offers on your favorite products. Unlock the power of smart and savvy gifting with our holiday gift guide. </v>
      </c>
      <c r="CO5" s="15" t="str">
        <f>[1]MiscModules!$F$9</f>
        <v>Shop now</v>
      </c>
      <c r="CP5" s="15" t="str">
        <f>[1]MiscModules!$G$9</f>
        <v>https://www.samsung.com/us/gift-ideas/</v>
      </c>
      <c r="CQ5"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CR5" s="15" t="str">
        <f>[1]MiscModules!$I$9</f>
        <v xml:space="preserve"> NULL</v>
      </c>
      <c r="CS5" s="15" t="str">
        <f>[1]MiscModules!$J$9</f>
        <v xml:space="preserve"> NULL</v>
      </c>
      <c r="CT5" s="15" t="str">
        <f>[1]MiscModules!$K$9</f>
        <v xml:space="preserve"> NULL</v>
      </c>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row>
    <row r="6" spans="1:175" ht="75" x14ac:dyDescent="0.25">
      <c r="A6" s="15" t="s">
        <v>0</v>
      </c>
      <c r="B6" s="73" t="s">
        <v>116</v>
      </c>
      <c r="C6" s="44" t="s">
        <v>373</v>
      </c>
      <c r="D6" s="15" t="s">
        <v>39</v>
      </c>
      <c r="E6" s="15" t="s">
        <v>39</v>
      </c>
      <c r="F6" s="15" t="s">
        <v>160</v>
      </c>
      <c r="G6" s="15"/>
      <c r="H6" s="74" t="s">
        <v>374</v>
      </c>
      <c r="I6" s="74" t="s">
        <v>360</v>
      </c>
      <c r="J6" s="45" t="s">
        <v>115</v>
      </c>
      <c r="K6" s="15" t="str">
        <f>[1]MiscModules!$B$12</f>
        <v>NULL</v>
      </c>
      <c r="L6" s="15" t="str">
        <f>[1]MiscModules!$C$12</f>
        <v xml:space="preserve">Order by December 19 to get most smartphones, wearables, tablets and laptops delivered by December 25. </v>
      </c>
      <c r="M6" s="15" t="str">
        <f>[1]MiscModules!$D$12</f>
        <v>NULL</v>
      </c>
      <c r="N6" s="15" t="str">
        <f>[1]MiscModules!$E$12</f>
        <v>NULL</v>
      </c>
      <c r="O6" s="15" t="str">
        <f>[1]MiscModules!$F$12</f>
        <v>NULL</v>
      </c>
      <c r="P6" s="15" t="str">
        <f>[1]MiscModules!$G$12</f>
        <v>https://www.samsung.com/us/support/order-faqs/#SHIPPINGANDPAYMENTS</v>
      </c>
      <c r="Q6" s="15" t="str">
        <f>[1]MiscModules!$H$12</f>
        <v xml:space="preserve"> </v>
      </c>
      <c r="R6" s="15" t="str">
        <f>[1]MiscModules!$I$12</f>
        <v>NULL</v>
      </c>
      <c r="S6" s="15" t="str">
        <f>[1]MiscModules!$J$12</f>
        <v>NULL</v>
      </c>
      <c r="T6" s="75" t="s">
        <v>361</v>
      </c>
      <c r="U6" s="15" t="str">
        <f>[1]MiscModules!$B$17</f>
        <v>Last_Minute_Deals_T2_KV.jpg</v>
      </c>
      <c r="V6" s="15" t="str">
        <f>[1]MiscModules!$C$17</f>
        <v>Last-minute gifts just in time</v>
      </c>
      <c r="W6" s="15" t="str">
        <f>[1]MiscModules!$D$17</f>
        <v>NULL</v>
      </c>
      <c r="X6" s="15" t="str">
        <f>[1]MiscModules!$E$17</f>
        <v>NULL</v>
      </c>
      <c r="Y6" s="15" t="str">
        <f>[1]MiscModules!$F$17</f>
        <v xml:space="preserve"> NULL</v>
      </c>
      <c r="Z6" s="15" t="str">
        <f>[1]MiscModules!$G$17</f>
        <v>https://www.samsung.com/us/shop/all-deals/</v>
      </c>
      <c r="AA6" s="15" t="str">
        <f>[1]MiscModules!$H$17</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6" s="15" t="str">
        <f>[1]MiscModules!$I$17</f>
        <v xml:space="preserve"> NULL</v>
      </c>
      <c r="AC6" s="15" t="str">
        <f>[1]MiscModules!$J$17</f>
        <v xml:space="preserve"> NULL</v>
      </c>
      <c r="AD6" s="15" t="str">
        <f>[1]MiscModules!$K$17</f>
        <v xml:space="preserve"> NULL</v>
      </c>
      <c r="AE6" s="76">
        <v>44184</v>
      </c>
      <c r="AF6" s="15" t="s">
        <v>362</v>
      </c>
      <c r="AG6" s="75" t="s">
        <v>363</v>
      </c>
      <c r="AH6" s="15" t="str">
        <f>[1]MiscModules!$B$2</f>
        <v>NULL</v>
      </c>
      <c r="AI6" s="15" t="str">
        <f>[1]MiscModules!$C$2</f>
        <v>NULL</v>
      </c>
      <c r="AJ6" s="15" t="str">
        <f>[1]MiscModules!$D$2</f>
        <v xml:space="preserve">It’s not too late to give wonder. </v>
      </c>
      <c r="AK6" s="15" t="str">
        <f>[1]MiscModules!$E$2</f>
        <v xml:space="preserve">Plus,there is still time to redeem your exclusive $20 instant credit toward eligible accessories with smartphone purchase. </v>
      </c>
      <c r="AL6" s="15" t="str">
        <f>[1]MiscModules!$F$2</f>
        <v xml:space="preserve"> NULL</v>
      </c>
      <c r="AM6" s="15" t="str">
        <f>[1]MiscModules!$G$2</f>
        <v>https://www.samsung.com/us/shop/all-deals/</v>
      </c>
      <c r="AN6" s="15" t="str">
        <f>[1]MiscModules!$H$2</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6" s="15" t="str">
        <f>[1]MiscModules!$I$2</f>
        <v xml:space="preserve"> NULL</v>
      </c>
      <c r="AP6" s="15" t="str">
        <f>[1]MiscModules!$J$2</f>
        <v xml:space="preserve"> NULL</v>
      </c>
      <c r="AQ6" s="15" t="str">
        <f>[1]MiscModules!$K$2</f>
        <v xml:space="preserve"> NULL</v>
      </c>
      <c r="AR6" s="75" t="s">
        <v>366</v>
      </c>
      <c r="AS6" s="15" t="str">
        <f>[1]CC!$B$8</f>
        <v>109_HeadImage_laptops_Monitor_Tablets_memory_cards_500xV.jpg</v>
      </c>
      <c r="AT6" s="15" t="str">
        <f>[1]CC!$C$8</f>
        <v>Transform their space into a productive workplace</v>
      </c>
      <c r="AU6" s="15" t="str">
        <f>[1]CC!$D$8</f>
        <v>NULL</v>
      </c>
      <c r="AV6" s="15" t="str">
        <f>[1]CC!$E$8</f>
        <v xml:space="preserve">Get up to $200 off select laptops, up to $150 off select tablets, up to 30% off monitors and up to 50% off memory cards. </v>
      </c>
      <c r="AW6" s="15" t="str">
        <f>[1]CC!$F$8</f>
        <v>Shop all</v>
      </c>
      <c r="AX6" s="15" t="str">
        <f>[1]CC!$G$8</f>
        <v>https://www.samsung.com/us/shop/all-deals/laptop-and-computer-deals/</v>
      </c>
      <c r="AY6"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AZ6" s="15" t="str">
        <f>[1]CC!$I$8</f>
        <v>NULL</v>
      </c>
      <c r="BA6" s="15" t="str">
        <f>[1]CC!$J$8</f>
        <v>NULL</v>
      </c>
      <c r="BB6" s="15" t="str">
        <f>[1]CC!$K$8</f>
        <v>NULL</v>
      </c>
      <c r="BC6" s="75" t="s">
        <v>364</v>
      </c>
      <c r="BD6" s="15" t="str">
        <f>[1]CC!$B$2</f>
        <v>106_IM_HeadImage_MB_Smartphones-500xV.jpg</v>
      </c>
      <c r="BE6" s="15" t="str">
        <f>[1]CC!$C$2</f>
        <v>Get up to 50% off select, must-have smartphones</v>
      </c>
      <c r="BF6" s="15" t="str">
        <f>[1]CC!$D$2</f>
        <v>NULL</v>
      </c>
      <c r="BG6"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H6" s="15" t="str">
        <f>[1]CC!$F$2</f>
        <v>Shop all</v>
      </c>
      <c r="BI6" s="15" t="str">
        <f>[1]CC!$G$2</f>
        <v>https://www.samsung.com/us/shop/all-deals/cell-phone-deals/</v>
      </c>
      <c r="BJ6"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K6" s="15" t="str">
        <f>[1]CC!$I$2</f>
        <v>NULL</v>
      </c>
      <c r="BL6" s="15" t="str">
        <f>[1]CC!$J$2</f>
        <v>NULL</v>
      </c>
      <c r="BM6" s="15" t="str">
        <f>[1]CC!$K$2</f>
        <v>NULL</v>
      </c>
      <c r="BN6" s="75" t="s">
        <v>365</v>
      </c>
      <c r="BO6" s="15" t="str">
        <f>[1]CC!$B$6</f>
        <v>108_ME_HeadImage_GW3_Buds_Live_500xV.jpg</v>
      </c>
      <c r="BP6" s="15" t="str">
        <f>[1]CC!$C$6</f>
        <v>Find perfect gifts for someone on the go</v>
      </c>
      <c r="BQ6" s="15" t="str">
        <f>[1]CC!$D$6</f>
        <v>NULL</v>
      </c>
      <c r="BR6" s="15" t="str">
        <f>[1]CC!$E$6</f>
        <v>Get healthier in style with up to $60  off select watches or get tough with $100 off Galaxy Watch3 Titanium. Plus, create an audio oasis with $30 off Galaxy Buds Live.</v>
      </c>
      <c r="BS6" s="15" t="str">
        <f>[1]CC!$F$6</f>
        <v>Shop all</v>
      </c>
      <c r="BT6" s="15" t="str">
        <f>[1]CC!$G$6</f>
        <v>https://www.samsung.com/us/shop/all-deals/tablets-wearables-cell-phone-accessories-deals/</v>
      </c>
      <c r="BU6"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BV6" s="15" t="str">
        <f>[1]CC!$I$6</f>
        <v>NULL</v>
      </c>
      <c r="BW6" s="15" t="str">
        <f>[1]CC!$J$6</f>
        <v>NULL</v>
      </c>
      <c r="BX6" s="15" t="str">
        <f>[1]CC!$K$6</f>
        <v>NULL</v>
      </c>
      <c r="BY6" s="75" t="s">
        <v>367</v>
      </c>
      <c r="BZ6" s="15" t="str">
        <f>[1]CC!$B$4</f>
        <v>107_HeadImage_TV_HA_500xV.jpg</v>
      </c>
      <c r="CA6" s="15" t="str">
        <f>[1]CC!$C$4</f>
        <v>Already checked your list twice?</v>
      </c>
      <c r="CB6" s="15" t="str">
        <f>[1]CC!$D$4</f>
        <v>NULL</v>
      </c>
      <c r="CC6" s="15" t="str">
        <f>[1]CC!$E$4</f>
        <v xml:space="preserve">Shop great offers on TVs, soundbars and home appliances for delivery after December 25. </v>
      </c>
      <c r="CD6" s="15" t="str">
        <f>[1]CC!$F$4</f>
        <v>Shop TV &amp; Audio</v>
      </c>
      <c r="CE6" s="15" t="str">
        <f>[1]CC!$G$4</f>
        <v>https://www.samsung.com/us/shop/all-deals/tv-and-home-theater-deals/</v>
      </c>
      <c r="CF6"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G6" s="15" t="str">
        <f>[1]CC!$I$4</f>
        <v>Shop Home Appliances</v>
      </c>
      <c r="CH6" s="15" t="str">
        <f>[1]CC!$J$4</f>
        <v>https://www.samsung.com/us/shop/all-deals/home-appliance-and-smart-home-sales/</v>
      </c>
      <c r="CI6"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J6" s="75" t="s">
        <v>368</v>
      </c>
      <c r="CK6" s="15" t="str">
        <f>[1]MiscModules!$B$8</f>
        <v>Give-wonder-500xV.jpg</v>
      </c>
      <c r="CL6" s="15" t="str">
        <f>[1]MiscModules!$C$8</f>
        <v>NULL</v>
      </c>
      <c r="CM6" s="15" t="str">
        <f>[1]MiscModules!$D$8</f>
        <v>NULL</v>
      </c>
      <c r="CN6" s="15" t="str">
        <f>[1]MiscModules!$E$8</f>
        <v xml:space="preserve">Discover even more exclusive offers on your favorite products. Unlock the power of smart and savvy gifting with our holiday gift guide.&lt;br&gt;&lt;br&gt;Plus,there is still time to redeem your exclusive $20 instant credit toward eligible accessories with smartphone purchase.    </v>
      </c>
      <c r="CO6" s="15" t="str">
        <f>[1]MiscModules!$F$8</f>
        <v>Shop now</v>
      </c>
      <c r="CP6" s="15" t="str">
        <f>[1]MiscModules!$G$8</f>
        <v>https://www.samsung.com/us/gift-ideas/</v>
      </c>
      <c r="CQ6" s="15" t="str">
        <f>[1]MiscModules!$H$8</f>
        <v>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v>
      </c>
      <c r="CR6" s="15" t="str">
        <f>[1]MiscModules!$I$8</f>
        <v xml:space="preserve"> NULL</v>
      </c>
      <c r="CS6" s="15" t="str">
        <f>[1]MiscModules!$J$8</f>
        <v xml:space="preserve"> NULL</v>
      </c>
      <c r="CT6" s="15" t="str">
        <f>[1]MiscModules!$K$8</f>
        <v xml:space="preserve"> NULL</v>
      </c>
      <c r="CU6" s="45" t="s">
        <v>369</v>
      </c>
      <c r="CV6" s="15" t="str">
        <f>[1]TC!$B$6</f>
        <v>NULL</v>
      </c>
      <c r="CW6"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X6" s="15" t="str">
        <f>[1]TC!$D$6</f>
        <v>NULL</v>
      </c>
      <c r="CY6" s="15" t="str">
        <f>[1]TC!$E$6</f>
        <v>NULL</v>
      </c>
      <c r="CZ6" s="15" t="str">
        <f>[1]TC!$F$6</f>
        <v>NULL</v>
      </c>
      <c r="DA6" s="15" t="str">
        <f>[1]TC!$G$6</f>
        <v xml:space="preserve">https://www.samsung.com/us/
</v>
      </c>
      <c r="DB6" s="15">
        <f>[1]TC!$H$6</f>
        <v>0</v>
      </c>
      <c r="DC6" s="15" t="str">
        <f>[1]TC!$I$6</f>
        <v>NULL</v>
      </c>
      <c r="DD6" s="15" t="str">
        <f>[1]TC!$J$6</f>
        <v>NULL</v>
      </c>
      <c r="DE6" s="15" t="str">
        <f>[1]TC!$K$6</f>
        <v>NULL</v>
      </c>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row>
    <row r="7" spans="1:175" ht="75" x14ac:dyDescent="0.25">
      <c r="A7" s="15" t="s">
        <v>0</v>
      </c>
      <c r="B7" s="73" t="s">
        <v>116</v>
      </c>
      <c r="C7" s="44" t="s">
        <v>373</v>
      </c>
      <c r="D7" s="15" t="s">
        <v>39</v>
      </c>
      <c r="E7" s="15" t="s">
        <v>39</v>
      </c>
      <c r="F7" s="15" t="s">
        <v>370</v>
      </c>
      <c r="G7" s="15"/>
      <c r="H7" s="74" t="s">
        <v>374</v>
      </c>
      <c r="I7" s="74" t="s">
        <v>360</v>
      </c>
      <c r="J7" s="45" t="s">
        <v>115</v>
      </c>
      <c r="K7" s="15" t="str">
        <f>[1]MiscModules!$B$13</f>
        <v>NULL</v>
      </c>
      <c r="L7" s="15" t="str">
        <f>[1]MiscModules!$C$13</f>
        <v xml:space="preserve">Order by December 19 to get most smartphones, wearables, tablets and laptops delivered by December 25. </v>
      </c>
      <c r="M7" s="15" t="str">
        <f>[1]MiscModules!$D$13</f>
        <v>NULL</v>
      </c>
      <c r="N7" s="15" t="str">
        <f>[1]MiscModules!$E$13</f>
        <v>NULL</v>
      </c>
      <c r="O7" s="15" t="str">
        <f>[1]MiscModules!$F$13</f>
        <v>NULL</v>
      </c>
      <c r="P7" s="15" t="str">
        <f>[1]MiscModules!$G$13</f>
        <v>https://www.samsung.com/us/support/order-faqs/#SHIPPINGANDPAYMENTS</v>
      </c>
      <c r="Q7" s="15" t="str">
        <f>[1]MiscModules!$H$13</f>
        <v xml:space="preserve"> </v>
      </c>
      <c r="R7" s="15" t="str">
        <f>[1]MiscModules!$I$13</f>
        <v>NULL</v>
      </c>
      <c r="S7" s="15" t="str">
        <f>[1]MiscModules!$J$13</f>
        <v>NULL</v>
      </c>
      <c r="T7" s="75" t="s">
        <v>361</v>
      </c>
      <c r="U7" s="15" t="str">
        <f>[1]MiscModules!$B$18</f>
        <v>Last_Minute_Deals_T2_KV.jpg</v>
      </c>
      <c r="V7" s="15" t="str">
        <f>[1]MiscModules!$C$18</f>
        <v>Last-minute gifts just in time</v>
      </c>
      <c r="W7" s="15" t="str">
        <f>[1]MiscModules!$D$18</f>
        <v>NULL</v>
      </c>
      <c r="X7" s="15" t="str">
        <f>[1]MiscModules!$E$18</f>
        <v>NULL</v>
      </c>
      <c r="Y7" s="15" t="str">
        <f>[1]MiscModules!$F$18</f>
        <v xml:space="preserve"> NULL</v>
      </c>
      <c r="Z7" s="15" t="str">
        <f>[1]MiscModules!$G$18</f>
        <v>https://www.samsung.com/us/shop/all-deals/</v>
      </c>
      <c r="AA7" s="15" t="str">
        <f>[1]MiscModules!$H$18</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7" s="15" t="str">
        <f>[1]MiscModules!$I$18</f>
        <v xml:space="preserve"> NULL</v>
      </c>
      <c r="AC7" s="15" t="str">
        <f>[1]MiscModules!$J$18</f>
        <v xml:space="preserve"> NULL</v>
      </c>
      <c r="AD7" s="15" t="str">
        <f>[1]MiscModules!$K$18</f>
        <v xml:space="preserve"> NULL</v>
      </c>
      <c r="AE7" s="76">
        <v>44184</v>
      </c>
      <c r="AF7" s="15" t="s">
        <v>362</v>
      </c>
      <c r="AG7" s="75" t="s">
        <v>363</v>
      </c>
      <c r="AH7" s="15" t="str">
        <f>[1]MiscModules!$B$3</f>
        <v>NULL</v>
      </c>
      <c r="AI7" s="15" t="str">
        <f>[1]MiscModules!$C$3</f>
        <v>NULL</v>
      </c>
      <c r="AJ7" s="15" t="str">
        <f>[1]MiscModules!$D$3</f>
        <v xml:space="preserve">It’s not too late to give wonder. </v>
      </c>
      <c r="AK7" s="15" t="str">
        <f>[1]MiscModules!$E$3</f>
        <v>NULL</v>
      </c>
      <c r="AL7" s="15" t="str">
        <f>[1]MiscModules!$F$3</f>
        <v xml:space="preserve"> NULL</v>
      </c>
      <c r="AM7" s="15" t="str">
        <f>[1]MiscModules!$G$3</f>
        <v>https://www.samsung.com/us/shop/all-deals/</v>
      </c>
      <c r="AN7" s="15" t="str">
        <f>[1]MiscModules!$H$3</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7" s="15" t="str">
        <f>[1]MiscModules!$I$3</f>
        <v xml:space="preserve"> NULL</v>
      </c>
      <c r="AP7" s="15" t="str">
        <f>[1]MiscModules!$J$3</f>
        <v xml:space="preserve"> NULL</v>
      </c>
      <c r="AQ7" s="15" t="str">
        <f>[1]MiscModules!$K$3</f>
        <v xml:space="preserve"> NULL</v>
      </c>
      <c r="AR7" s="75" t="s">
        <v>366</v>
      </c>
      <c r="AS7" s="15" t="e">
        <f>[1]CC!#REF!</f>
        <v>#REF!</v>
      </c>
      <c r="AT7" s="15" t="str">
        <f>[1]CC!$C$9</f>
        <v>Transform their space into a productive workplace</v>
      </c>
      <c r="AU7" s="15" t="str">
        <f>[1]CC!$D$9</f>
        <v>NULL</v>
      </c>
      <c r="AV7" s="15" t="str">
        <f>[1]CC!$E$9</f>
        <v xml:space="preserve">Get up to $200 off select laptops, up to $150 off select tablets, up to 30% off monitors and up to 50% off memory cards. </v>
      </c>
      <c r="AW7" s="15" t="str">
        <f>[1]CC!$F$9</f>
        <v>Shop all</v>
      </c>
      <c r="AX7" s="15" t="str">
        <f>[1]CC!$G$9</f>
        <v>https://www.samsung.com/us/shop/all-deals/laptop-and-computer-deals/</v>
      </c>
      <c r="AY7"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AZ7" s="15" t="str">
        <f>[1]CC!$I$9</f>
        <v>NULL</v>
      </c>
      <c r="BA7" s="15" t="str">
        <f>[1]CC!$J$9</f>
        <v>NULL</v>
      </c>
      <c r="BB7" s="15" t="str">
        <f>[1]CC!$K$9</f>
        <v>NULL</v>
      </c>
      <c r="BC7" s="75" t="s">
        <v>364</v>
      </c>
      <c r="BD7" s="15" t="str">
        <f>[1]CC!$B$3</f>
        <v>106_IM_HeadImage_MB_Smartphones-500xV.jpg</v>
      </c>
      <c r="BE7" s="15" t="str">
        <f>[1]CC!$C$3</f>
        <v>Get up to 50% off select, must-have smartphones</v>
      </c>
      <c r="BF7" s="15" t="str">
        <f>[1]CC!$D$3</f>
        <v>NULL</v>
      </c>
      <c r="BG7" s="15" t="str">
        <f>[1]CC!$E$3</f>
        <v xml:space="preserve">Take stunning pictures with Galaxy S20 5G, unfold a world of infinite possibilities with Galaxy Z Fold2 5G or get it all without breaking the bank with Galaxy A71 5G from Verizon and T-Mobile. </v>
      </c>
      <c r="BH7" s="15" t="str">
        <f>[1]CC!$F$3</f>
        <v>Shop all</v>
      </c>
      <c r="BI7" s="15" t="str">
        <f>[1]CC!$G$3</f>
        <v>https://www.samsung.com/us/shop/all-deals/cell-phone-deals/</v>
      </c>
      <c r="BJ7"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K7" s="15" t="str">
        <f>[1]CC!$I$3</f>
        <v>NULL</v>
      </c>
      <c r="BL7" s="15" t="str">
        <f>[1]CC!$J$3</f>
        <v>NULL</v>
      </c>
      <c r="BM7" s="15" t="str">
        <f>[1]CC!$K$3</f>
        <v>NULL</v>
      </c>
      <c r="BN7" s="75" t="s">
        <v>365</v>
      </c>
      <c r="BO7" s="15" t="str">
        <f>[1]CC!$B$7</f>
        <v>108_ME_HeadImage_GW3_Buds_Live_500xV.jpg</v>
      </c>
      <c r="BP7" s="15" t="str">
        <f>[1]CC!$C$7</f>
        <v>Find perfect gifts for someone on the go</v>
      </c>
      <c r="BQ7" s="15" t="str">
        <f>[1]CC!$D$7</f>
        <v>NULL</v>
      </c>
      <c r="BR7" s="15" t="str">
        <f>[1]CC!$E$7</f>
        <v>Get healthier in style with up to $60  off select watches or get tough with $100 off Galaxy Watch3 Titanium. Plus, create an audio oasis with $30 off Galaxy Buds Live.</v>
      </c>
      <c r="BS7" s="15" t="str">
        <f>[1]CC!$F$7</f>
        <v>Shop all</v>
      </c>
      <c r="BT7" s="15" t="str">
        <f>[1]CC!$G$7</f>
        <v>https://www.samsung.com/us/shop/all-deals/tablets-wearables-cell-phone-accessories-deals/</v>
      </c>
      <c r="BU7"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BV7" s="15" t="str">
        <f>[1]CC!$I$7</f>
        <v>NULL</v>
      </c>
      <c r="BW7" s="15" t="str">
        <f>[1]CC!$J$7</f>
        <v>NULL</v>
      </c>
      <c r="BX7" s="15" t="str">
        <f>[1]CC!$K$7</f>
        <v>NULL</v>
      </c>
      <c r="BY7" s="75" t="s">
        <v>367</v>
      </c>
      <c r="BZ7" s="15" t="str">
        <f>[1]CC!$B$5</f>
        <v>107_HeadImage_TV_HA_500xV.jpg</v>
      </c>
      <c r="CA7" s="15" t="str">
        <f>[1]CC!$C$5</f>
        <v>Already checked your list twice?</v>
      </c>
      <c r="CB7" s="15" t="str">
        <f>[1]CC!$D$5</f>
        <v>NULL</v>
      </c>
      <c r="CC7" s="15" t="str">
        <f>[1]CC!$E$5</f>
        <v xml:space="preserve">Shop great offers on TVs, soundbars and home appliances for delivery after December 25. </v>
      </c>
      <c r="CD7" s="15" t="str">
        <f>[1]CC!$F$5</f>
        <v>Shop TV &amp; Audio</v>
      </c>
      <c r="CE7" s="15" t="str">
        <f>[1]CC!$G$5</f>
        <v>https://www.samsung.com/us/shop/all-deals/tv-and-home-theater-deals/</v>
      </c>
      <c r="CF7"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G7" s="15" t="str">
        <f>[1]CC!$I$5</f>
        <v>Shop Home Appliances</v>
      </c>
      <c r="CH7" s="15" t="str">
        <f>[1]CC!$J$5</f>
        <v>https://www.samsung.com/us/shop/all-deals/home-appliance-and-smart-home-sales/</v>
      </c>
      <c r="CI7"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J7" s="75" t="s">
        <v>368</v>
      </c>
      <c r="CK7" s="15" t="str">
        <f>[1]MiscModules!$B$9</f>
        <v>Give-wonder-500xV.jpg</v>
      </c>
      <c r="CL7" s="15" t="str">
        <f>[1]MiscModules!$C$9</f>
        <v>NULL</v>
      </c>
      <c r="CM7" s="15" t="str">
        <f>[1]MiscModules!$D$9</f>
        <v>NULL</v>
      </c>
      <c r="CN7" s="15" t="str">
        <f>[1]MiscModules!$E$9</f>
        <v xml:space="preserve">Discover even more exclusive offers on your favorite products. Unlock the power of smart and savvy gifting with our holiday gift guide. </v>
      </c>
      <c r="CO7" s="15" t="str">
        <f>[1]MiscModules!$F$9</f>
        <v>Shop now</v>
      </c>
      <c r="CP7" s="15" t="str">
        <f>[1]MiscModules!$G$9</f>
        <v>https://www.samsung.com/us/gift-ideas/</v>
      </c>
      <c r="CQ7" s="15" t="str">
        <f>[1]MiscModules!$H$9</f>
        <v>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v>
      </c>
      <c r="CR7" s="15" t="str">
        <f>[1]MiscModules!$I$9</f>
        <v xml:space="preserve"> NULL</v>
      </c>
      <c r="CS7" s="15" t="str">
        <f>[1]MiscModules!$J$9</f>
        <v xml:space="preserve"> NULL</v>
      </c>
      <c r="CT7" s="15" t="str">
        <f>[1]MiscModules!$K$9</f>
        <v xml:space="preserve"> NULL</v>
      </c>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election activeCell="L3" sqref="L3"/>
    </sheetView>
  </sheetViews>
  <sheetFormatPr defaultRowHeight="15" x14ac:dyDescent="0.25"/>
  <cols>
    <col min="1" max="1" width="24.5703125" customWidth="1"/>
    <col min="2" max="2" width="19.7109375" customWidth="1"/>
    <col min="3" max="3" width="25.7109375" hidden="1" customWidth="1"/>
    <col min="4" max="5" width="0" hidden="1" customWidth="1"/>
    <col min="6" max="6" width="5" hidden="1" customWidth="1"/>
    <col min="7" max="7" width="43.7109375" hidden="1" customWidth="1"/>
    <col min="8" max="8" width="14.85546875" hidden="1" customWidth="1"/>
    <col min="9" max="9" width="31.28515625" hidden="1" customWidth="1"/>
    <col min="10" max="10" width="32.42578125" customWidth="1"/>
    <col min="11" max="11" width="10.42578125" bestFit="1" customWidth="1"/>
    <col min="12" max="12" width="37.140625" customWidth="1"/>
    <col min="13" max="13" width="8.42578125" bestFit="1" customWidth="1"/>
    <col min="14" max="15" width="38.5703125" customWidth="1"/>
    <col min="16" max="16" width="55.42578125" customWidth="1"/>
    <col min="17" max="17" width="64.140625" customWidth="1"/>
    <col min="18" max="18" width="56.7109375" customWidth="1"/>
    <col min="19" max="19" width="46.140625" customWidth="1"/>
  </cols>
  <sheetData>
    <row r="1" spans="1:17" s="6" customFormat="1" ht="42.4" customHeight="1" x14ac:dyDescent="0.25">
      <c r="A1" s="2" t="s">
        <v>3</v>
      </c>
      <c r="B1" s="3" t="s">
        <v>4</v>
      </c>
      <c r="C1" s="3" t="s">
        <v>5</v>
      </c>
      <c r="D1" s="3" t="s">
        <v>6</v>
      </c>
      <c r="E1" s="4" t="s">
        <v>7</v>
      </c>
      <c r="F1" s="4" t="s">
        <v>8</v>
      </c>
      <c r="G1" s="4" t="s">
        <v>6</v>
      </c>
      <c r="H1" s="4" t="s">
        <v>9</v>
      </c>
      <c r="I1" s="5" t="s">
        <v>10</v>
      </c>
      <c r="J1" s="3" t="s">
        <v>11</v>
      </c>
      <c r="K1" s="3" t="s">
        <v>12</v>
      </c>
      <c r="L1" s="3" t="s">
        <v>13</v>
      </c>
      <c r="M1" s="5" t="s">
        <v>14</v>
      </c>
      <c r="N1" s="5" t="s">
        <v>5</v>
      </c>
      <c r="O1" s="3" t="s">
        <v>15</v>
      </c>
      <c r="P1" s="3" t="s">
        <v>16</v>
      </c>
    </row>
    <row r="2" spans="1:17" ht="131.25" customHeight="1" x14ac:dyDescent="0.25">
      <c r="A2" t="s">
        <v>17</v>
      </c>
      <c r="B2" s="1" t="s">
        <v>18</v>
      </c>
      <c r="D2" s="1"/>
      <c r="E2" s="7" t="s">
        <v>19</v>
      </c>
      <c r="F2" s="8" t="s">
        <v>20</v>
      </c>
      <c r="G2" s="8"/>
      <c r="J2" t="s">
        <v>21</v>
      </c>
      <c r="K2" t="s">
        <v>21</v>
      </c>
      <c r="M2" t="s">
        <v>22</v>
      </c>
      <c r="N2" s="9" t="s">
        <v>23</v>
      </c>
      <c r="O2" s="10" t="s">
        <v>24</v>
      </c>
      <c r="P2" s="10" t="s">
        <v>25</v>
      </c>
      <c r="Q2" s="11"/>
    </row>
    <row r="3" spans="1:17" ht="110.25" customHeight="1" x14ac:dyDescent="0.25">
      <c r="A3" s="12" t="s">
        <v>26</v>
      </c>
      <c r="B3" s="1" t="s">
        <v>27</v>
      </c>
      <c r="J3" s="13" t="s">
        <v>28</v>
      </c>
      <c r="K3" s="13"/>
      <c r="L3" s="13" t="s">
        <v>29</v>
      </c>
      <c r="M3" s="13" t="s">
        <v>30</v>
      </c>
      <c r="N3" s="13" t="s">
        <v>31</v>
      </c>
      <c r="O3" s="13" t="s">
        <v>32</v>
      </c>
      <c r="P3" t="s">
        <v>33</v>
      </c>
      <c r="Q3" s="13" t="s">
        <v>34</v>
      </c>
    </row>
    <row r="4" spans="1:17" ht="114.75" customHeight="1" x14ac:dyDescent="0.25">
      <c r="A4" t="s">
        <v>35</v>
      </c>
      <c r="B4" t="s">
        <v>36</v>
      </c>
      <c r="J4" s="14" t="s">
        <v>37</v>
      </c>
      <c r="K4" s="14" t="s">
        <v>38</v>
      </c>
      <c r="L4" t="s">
        <v>39</v>
      </c>
      <c r="M4" t="s">
        <v>39</v>
      </c>
      <c r="N4" s="9" t="s">
        <v>23</v>
      </c>
      <c r="O4" s="10" t="s">
        <v>24</v>
      </c>
      <c r="P4" s="10" t="s">
        <v>25</v>
      </c>
    </row>
  </sheetData>
  <hyperlinks>
    <hyperlink ref="N2" r:id="rId1"/>
    <hyperlink ref="N4"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D11" sqref="D11"/>
    </sheetView>
  </sheetViews>
  <sheetFormatPr defaultRowHeight="15" x14ac:dyDescent="0.25"/>
  <cols>
    <col min="1" max="1" width="54.140625" customWidth="1"/>
    <col min="2" max="2" width="85.7109375" customWidth="1"/>
    <col min="3" max="4" width="71.28515625" customWidth="1"/>
  </cols>
  <sheetData>
    <row r="1" spans="1:13" x14ac:dyDescent="0.25">
      <c r="A1" s="18" t="s">
        <v>53</v>
      </c>
      <c r="B1" s="19" t="s">
        <v>54</v>
      </c>
      <c r="C1" s="19" t="s">
        <v>55</v>
      </c>
      <c r="D1" s="19" t="s">
        <v>56</v>
      </c>
      <c r="E1" s="15"/>
      <c r="F1" s="15"/>
      <c r="G1" s="15"/>
      <c r="H1" s="15"/>
      <c r="I1" s="15"/>
      <c r="J1" s="15"/>
      <c r="K1" s="15"/>
      <c r="L1" s="15"/>
      <c r="M1" s="15"/>
    </row>
    <row r="2" spans="1:13" x14ac:dyDescent="0.25">
      <c r="A2" s="16" t="s">
        <v>57</v>
      </c>
      <c r="B2" s="20" t="s">
        <v>58</v>
      </c>
      <c r="C2" s="20" t="s">
        <v>59</v>
      </c>
      <c r="D2" s="20" t="s">
        <v>502</v>
      </c>
      <c r="E2" s="15"/>
      <c r="F2" s="15"/>
      <c r="G2" s="15"/>
      <c r="H2" s="15"/>
      <c r="I2" s="15"/>
      <c r="J2" s="15"/>
      <c r="K2" s="15"/>
      <c r="L2" s="15"/>
      <c r="M2" s="15"/>
    </row>
    <row r="3" spans="1:13" x14ac:dyDescent="0.25">
      <c r="A3" s="16" t="s">
        <v>60</v>
      </c>
      <c r="B3" s="20" t="s">
        <v>61</v>
      </c>
      <c r="C3" s="20" t="s">
        <v>62</v>
      </c>
      <c r="D3" s="20" t="s">
        <v>503</v>
      </c>
      <c r="E3" s="15"/>
      <c r="F3" s="15"/>
      <c r="G3" s="15"/>
      <c r="H3" s="15"/>
      <c r="I3" s="15"/>
      <c r="J3" s="15"/>
      <c r="K3" s="15"/>
      <c r="L3" s="15"/>
      <c r="M3" s="15"/>
    </row>
    <row r="4" spans="1:13" x14ac:dyDescent="0.25">
      <c r="A4" s="16" t="s">
        <v>63</v>
      </c>
      <c r="B4" s="20" t="s">
        <v>64</v>
      </c>
      <c r="C4" s="20" t="s">
        <v>65</v>
      </c>
      <c r="D4" s="20" t="s">
        <v>504</v>
      </c>
      <c r="E4" s="15"/>
      <c r="F4" s="15"/>
      <c r="G4" s="15"/>
      <c r="H4" s="15"/>
      <c r="I4" s="15"/>
      <c r="J4" s="15"/>
      <c r="K4" s="15"/>
      <c r="L4" s="15"/>
      <c r="M4" s="15"/>
    </row>
    <row r="5" spans="1:13" x14ac:dyDescent="0.25">
      <c r="A5" s="16" t="s">
        <v>66</v>
      </c>
      <c r="B5" s="20" t="s">
        <v>100</v>
      </c>
      <c r="C5" s="20" t="s">
        <v>67</v>
      </c>
      <c r="D5" s="20" t="s">
        <v>505</v>
      </c>
      <c r="E5" s="15"/>
      <c r="F5" s="15"/>
      <c r="G5" s="15"/>
      <c r="H5" s="15"/>
      <c r="I5" s="15"/>
      <c r="J5" s="15"/>
      <c r="K5" s="15"/>
      <c r="L5" s="15"/>
      <c r="M5" s="15"/>
    </row>
    <row r="6" spans="1:13" x14ac:dyDescent="0.25">
      <c r="A6" s="16" t="s">
        <v>68</v>
      </c>
      <c r="B6" s="20"/>
      <c r="C6" s="20" t="s">
        <v>69</v>
      </c>
      <c r="D6" s="20"/>
      <c r="E6" s="15"/>
      <c r="F6" s="15"/>
      <c r="G6" s="15"/>
      <c r="H6" s="15"/>
      <c r="I6" s="15"/>
      <c r="J6" s="15"/>
      <c r="K6" s="15"/>
      <c r="L6" s="15"/>
      <c r="M6" s="15"/>
    </row>
    <row r="7" spans="1:13" ht="16.5" x14ac:dyDescent="0.3">
      <c r="A7" s="16" t="s">
        <v>70</v>
      </c>
      <c r="B7" s="20"/>
      <c r="C7" s="20" t="s">
        <v>71</v>
      </c>
      <c r="D7" s="26"/>
      <c r="E7" s="15"/>
      <c r="F7" s="15"/>
      <c r="G7" s="15"/>
      <c r="H7" s="15"/>
      <c r="I7" s="15"/>
      <c r="J7" s="15"/>
      <c r="K7" s="15"/>
      <c r="L7" s="15"/>
      <c r="M7" s="15"/>
    </row>
    <row r="8" spans="1:13" x14ac:dyDescent="0.25">
      <c r="A8" s="16"/>
      <c r="B8" s="20"/>
      <c r="C8" s="21" t="s">
        <v>72</v>
      </c>
      <c r="D8" s="15"/>
      <c r="E8" s="15"/>
      <c r="F8" s="15"/>
      <c r="G8" s="15"/>
      <c r="H8" s="15"/>
      <c r="I8" s="15"/>
      <c r="J8" s="15"/>
      <c r="K8" s="15"/>
      <c r="L8" s="15"/>
      <c r="M8" s="15"/>
    </row>
    <row r="9" spans="1:13" x14ac:dyDescent="0.25">
      <c r="A9" s="16"/>
      <c r="B9" s="20" t="s">
        <v>104</v>
      </c>
      <c r="C9" s="21" t="s">
        <v>73</v>
      </c>
      <c r="D9" s="15"/>
      <c r="E9" s="15"/>
      <c r="F9" s="15"/>
      <c r="G9" s="15"/>
      <c r="H9" s="15"/>
      <c r="I9" s="15"/>
      <c r="J9" s="15"/>
      <c r="K9" s="15"/>
      <c r="L9" s="15"/>
      <c r="M9" s="15"/>
    </row>
    <row r="10" spans="1:13" x14ac:dyDescent="0.25">
      <c r="A10" s="16"/>
      <c r="B10" s="20" t="s">
        <v>105</v>
      </c>
      <c r="C10" s="15"/>
      <c r="D10" s="15"/>
      <c r="E10" s="15"/>
      <c r="F10" s="15"/>
      <c r="G10" s="15"/>
      <c r="H10" s="15"/>
      <c r="I10" s="15"/>
      <c r="J10" s="15"/>
      <c r="K10" s="15"/>
      <c r="L10" s="15"/>
      <c r="M10" s="15"/>
    </row>
    <row r="11" spans="1:13" x14ac:dyDescent="0.25">
      <c r="A11" s="16"/>
      <c r="B11" s="20" t="s">
        <v>101</v>
      </c>
      <c r="C11" s="15"/>
      <c r="D11" s="15"/>
      <c r="E11" s="15"/>
      <c r="F11" s="15"/>
      <c r="G11" s="15"/>
      <c r="H11" s="15"/>
      <c r="I11" s="15"/>
      <c r="J11" s="15"/>
      <c r="K11" s="15"/>
      <c r="L11" s="15"/>
      <c r="M11" s="15"/>
    </row>
    <row r="12" spans="1:13" x14ac:dyDescent="0.25">
      <c r="A12" s="16"/>
      <c r="B12" s="20" t="s">
        <v>102</v>
      </c>
      <c r="C12" s="15"/>
      <c r="D12" s="15"/>
      <c r="E12" s="15"/>
      <c r="F12" s="15"/>
      <c r="G12" s="15"/>
      <c r="H12" s="15"/>
      <c r="I12" s="15"/>
      <c r="J12" s="15"/>
      <c r="K12" s="15"/>
      <c r="L12" s="15"/>
      <c r="M12" s="15"/>
    </row>
    <row r="13" spans="1:13" x14ac:dyDescent="0.25">
      <c r="A13" s="16"/>
      <c r="B13" s="20"/>
      <c r="C13" s="15"/>
      <c r="D13" s="15"/>
      <c r="E13" s="15"/>
      <c r="F13" s="15"/>
      <c r="G13" s="15"/>
      <c r="H13" s="15"/>
      <c r="I13" s="15"/>
      <c r="J13" s="15"/>
      <c r="K13" s="15"/>
      <c r="L13" s="15"/>
      <c r="M13" s="15"/>
    </row>
    <row r="14" spans="1:13" x14ac:dyDescent="0.25">
      <c r="A14" s="16"/>
      <c r="B14" s="20"/>
      <c r="C14" s="15"/>
      <c r="D14" s="15"/>
      <c r="E14" s="15"/>
      <c r="F14" s="15"/>
      <c r="G14" s="15"/>
      <c r="H14" s="15"/>
      <c r="I14" s="15"/>
      <c r="J14" s="15"/>
      <c r="K14" s="15"/>
      <c r="L14" s="15"/>
      <c r="M14" s="15"/>
    </row>
    <row r="15" spans="1:13" x14ac:dyDescent="0.25">
      <c r="A15" s="15"/>
      <c r="B15" s="16"/>
      <c r="C15" s="15"/>
      <c r="D15" s="15"/>
      <c r="E15" s="15"/>
      <c r="F15" s="15"/>
      <c r="G15" s="15"/>
      <c r="H15" s="15"/>
      <c r="I15" s="15"/>
      <c r="J15" s="15"/>
      <c r="K15" s="15"/>
      <c r="L15" s="15"/>
      <c r="M15" s="15"/>
    </row>
    <row r="16" spans="1:13" x14ac:dyDescent="0.25">
      <c r="A16" s="15"/>
      <c r="B16" s="16"/>
      <c r="C16" s="15"/>
      <c r="D16" s="15"/>
      <c r="E16" s="15"/>
      <c r="F16" s="15"/>
      <c r="G16" s="15"/>
      <c r="H16" s="15"/>
      <c r="I16" s="15"/>
      <c r="J16" s="15"/>
      <c r="K16" s="15"/>
      <c r="L16" s="15"/>
      <c r="M16" s="15"/>
    </row>
    <row r="17" spans="1:13" x14ac:dyDescent="0.25">
      <c r="A17" s="15"/>
      <c r="B17" s="16"/>
      <c r="C17" s="15"/>
      <c r="D17" s="15"/>
      <c r="E17" s="15"/>
      <c r="F17" s="15"/>
      <c r="G17" s="15"/>
      <c r="H17" s="15"/>
      <c r="I17" s="15"/>
      <c r="J17" s="15"/>
      <c r="K17" s="15"/>
      <c r="L17" s="15"/>
      <c r="M17" s="15"/>
    </row>
    <row r="18" spans="1:13" x14ac:dyDescent="0.25">
      <c r="B18" s="17"/>
    </row>
    <row r="19" spans="1:13" x14ac:dyDescent="0.25">
      <c r="B19" s="17"/>
    </row>
    <row r="21" spans="1:13" x14ac:dyDescent="0.25">
      <c r="A21" s="22"/>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27" sqref="B27"/>
    </sheetView>
  </sheetViews>
  <sheetFormatPr defaultRowHeight="15" x14ac:dyDescent="0.25"/>
  <cols>
    <col min="1" max="1" width="54.140625" customWidth="1"/>
    <col min="2" max="2" width="85.7109375" customWidth="1"/>
    <col min="3" max="3" width="71.28515625" customWidth="1"/>
  </cols>
  <sheetData>
    <row r="1" spans="1:13" x14ac:dyDescent="0.25">
      <c r="A1" s="18" t="s">
        <v>53</v>
      </c>
      <c r="B1" s="19" t="s">
        <v>74</v>
      </c>
      <c r="C1" s="15"/>
      <c r="D1" s="15"/>
      <c r="E1" s="15"/>
      <c r="F1" s="15"/>
      <c r="G1" s="15"/>
      <c r="H1" s="15"/>
      <c r="I1" s="15"/>
      <c r="J1" s="15"/>
      <c r="K1" s="15"/>
      <c r="L1" s="15"/>
      <c r="M1" s="15"/>
    </row>
    <row r="2" spans="1:13" x14ac:dyDescent="0.25">
      <c r="A2" s="16" t="s">
        <v>75</v>
      </c>
      <c r="B2" s="20" t="s">
        <v>76</v>
      </c>
      <c r="C2" s="20"/>
      <c r="D2" s="15"/>
      <c r="E2" s="15"/>
      <c r="F2" s="15"/>
      <c r="G2" s="15"/>
      <c r="H2" s="15"/>
      <c r="I2" s="15"/>
      <c r="J2" s="15"/>
      <c r="K2" s="15"/>
      <c r="L2" s="15"/>
      <c r="M2" s="15"/>
    </row>
    <row r="3" spans="1:13" x14ac:dyDescent="0.25">
      <c r="A3" s="16" t="s">
        <v>77</v>
      </c>
      <c r="B3" s="20" t="s">
        <v>112</v>
      </c>
      <c r="C3" s="15"/>
      <c r="D3" s="15"/>
      <c r="E3" s="15"/>
      <c r="F3" s="15"/>
      <c r="G3" s="15"/>
      <c r="H3" s="15"/>
      <c r="I3" s="15"/>
      <c r="J3" s="15"/>
      <c r="K3" s="15"/>
      <c r="L3" s="15"/>
      <c r="M3" s="15"/>
    </row>
    <row r="4" spans="1:13" x14ac:dyDescent="0.25">
      <c r="A4" s="16" t="s">
        <v>78</v>
      </c>
      <c r="B4" s="20" t="s">
        <v>79</v>
      </c>
      <c r="C4" s="15"/>
      <c r="D4" s="15"/>
      <c r="E4" s="15"/>
      <c r="F4" s="15"/>
      <c r="G4" s="15"/>
      <c r="H4" s="15"/>
      <c r="I4" s="15"/>
      <c r="J4" s="15"/>
      <c r="K4" s="15"/>
      <c r="L4" s="15"/>
      <c r="M4" s="15"/>
    </row>
    <row r="5" spans="1:13" x14ac:dyDescent="0.25">
      <c r="A5" s="16" t="s">
        <v>80</v>
      </c>
      <c r="B5" s="20" t="s">
        <v>81</v>
      </c>
      <c r="C5" s="15"/>
      <c r="D5" s="15"/>
      <c r="E5" s="15"/>
      <c r="F5" s="15"/>
      <c r="G5" s="15"/>
      <c r="H5" s="15"/>
      <c r="I5" s="15"/>
      <c r="J5" s="15"/>
      <c r="K5" s="15"/>
      <c r="L5" s="15"/>
      <c r="M5" s="15"/>
    </row>
    <row r="6" spans="1:13" x14ac:dyDescent="0.25">
      <c r="A6" s="16" t="s">
        <v>82</v>
      </c>
      <c r="B6" s="20" t="s">
        <v>83</v>
      </c>
      <c r="C6" s="23"/>
      <c r="D6" s="15"/>
      <c r="E6" s="15"/>
      <c r="F6" s="15"/>
      <c r="G6" s="15"/>
      <c r="H6" s="15"/>
      <c r="I6" s="15"/>
      <c r="J6" s="15"/>
      <c r="K6" s="15"/>
      <c r="L6" s="15"/>
      <c r="M6" s="15"/>
    </row>
    <row r="7" spans="1:13" x14ac:dyDescent="0.25">
      <c r="A7" s="16" t="s">
        <v>84</v>
      </c>
      <c r="B7" s="20" t="s">
        <v>85</v>
      </c>
      <c r="C7" s="15"/>
      <c r="D7" s="15"/>
      <c r="E7" s="15"/>
      <c r="F7" s="15"/>
      <c r="G7" s="15"/>
      <c r="H7" s="15"/>
      <c r="I7" s="15"/>
      <c r="J7" s="15"/>
      <c r="K7" s="15"/>
      <c r="L7" s="15"/>
      <c r="M7" s="15"/>
    </row>
    <row r="8" spans="1:13" x14ac:dyDescent="0.25">
      <c r="A8" s="16" t="s">
        <v>86</v>
      </c>
      <c r="B8" s="20" t="s">
        <v>87</v>
      </c>
      <c r="C8" s="15"/>
      <c r="D8" s="15"/>
      <c r="E8" s="15"/>
      <c r="F8" s="15"/>
      <c r="G8" s="15"/>
      <c r="H8" s="15"/>
      <c r="I8" s="15"/>
      <c r="J8" s="15"/>
      <c r="K8" s="15"/>
      <c r="L8" s="15"/>
      <c r="M8" s="15"/>
    </row>
    <row r="9" spans="1:13" x14ac:dyDescent="0.25">
      <c r="A9" s="16" t="s">
        <v>88</v>
      </c>
      <c r="B9" s="20" t="s">
        <v>89</v>
      </c>
      <c r="C9" s="15"/>
      <c r="D9" s="15"/>
      <c r="E9" s="15"/>
      <c r="F9" s="15"/>
      <c r="G9" s="15"/>
      <c r="H9" s="15"/>
      <c r="I9" s="15"/>
      <c r="J9" s="15"/>
      <c r="K9" s="15"/>
      <c r="L9" s="15"/>
      <c r="M9" s="15"/>
    </row>
    <row r="10" spans="1:13" x14ac:dyDescent="0.25">
      <c r="A10" s="16" t="s">
        <v>90</v>
      </c>
      <c r="B10" s="20" t="s">
        <v>23</v>
      </c>
      <c r="C10" s="15"/>
      <c r="D10" s="15"/>
      <c r="E10" s="15"/>
      <c r="F10" s="15"/>
      <c r="G10" s="15"/>
      <c r="H10" s="15"/>
      <c r="I10" s="15"/>
      <c r="J10" s="15"/>
      <c r="K10" s="15"/>
      <c r="L10" s="15"/>
      <c r="M10" s="15"/>
    </row>
    <row r="11" spans="1:13" x14ac:dyDescent="0.25">
      <c r="A11" s="16" t="s">
        <v>91</v>
      </c>
      <c r="B11" s="20" t="s">
        <v>92</v>
      </c>
      <c r="C11" s="15"/>
      <c r="D11" s="15"/>
      <c r="E11" s="15"/>
      <c r="F11" s="15"/>
      <c r="G11" s="15"/>
      <c r="H11" s="15"/>
      <c r="I11" s="15"/>
      <c r="J11" s="15"/>
      <c r="K11" s="15"/>
      <c r="L11" s="15"/>
      <c r="M11" s="15"/>
    </row>
    <row r="12" spans="1:13" x14ac:dyDescent="0.25">
      <c r="A12" s="16" t="s">
        <v>93</v>
      </c>
      <c r="B12" s="20" t="s">
        <v>94</v>
      </c>
      <c r="C12" s="15"/>
      <c r="D12" s="15"/>
      <c r="E12" s="15"/>
      <c r="F12" s="15"/>
      <c r="G12" s="15"/>
      <c r="H12" s="15"/>
      <c r="I12" s="15"/>
      <c r="J12" s="15"/>
      <c r="K12" s="15"/>
      <c r="L12" s="15"/>
      <c r="M12" s="15"/>
    </row>
    <row r="13" spans="1:13" x14ac:dyDescent="0.25">
      <c r="A13" s="16" t="s">
        <v>95</v>
      </c>
      <c r="B13" s="20" t="s">
        <v>96</v>
      </c>
      <c r="C13" s="15"/>
      <c r="D13" s="15"/>
      <c r="E13" s="15"/>
      <c r="F13" s="15"/>
      <c r="G13" s="15"/>
      <c r="H13" s="15"/>
      <c r="I13" s="15"/>
      <c r="J13" s="15"/>
      <c r="K13" s="15"/>
      <c r="L13" s="15"/>
      <c r="M13" s="15"/>
    </row>
    <row r="14" spans="1:13" x14ac:dyDescent="0.25">
      <c r="A14" s="16" t="s">
        <v>97</v>
      </c>
      <c r="B14" s="20" t="s">
        <v>98</v>
      </c>
      <c r="C14" s="15"/>
      <c r="D14" s="15"/>
      <c r="E14" s="15"/>
      <c r="F14" s="15"/>
      <c r="G14" s="15"/>
      <c r="H14" s="15"/>
      <c r="I14" s="15"/>
      <c r="J14" s="15"/>
      <c r="K14" s="15"/>
      <c r="L14" s="15"/>
      <c r="M14" s="15"/>
    </row>
    <row r="15" spans="1:13" x14ac:dyDescent="0.25">
      <c r="A15" s="15"/>
      <c r="B15" s="16"/>
      <c r="C15" s="15"/>
      <c r="D15" s="15"/>
      <c r="E15" s="15"/>
      <c r="F15" s="15"/>
      <c r="G15" s="15"/>
      <c r="H15" s="15"/>
      <c r="I15" s="15"/>
      <c r="J15" s="15"/>
      <c r="K15" s="15"/>
      <c r="L15" s="15"/>
      <c r="M15" s="15"/>
    </row>
    <row r="16" spans="1:13" x14ac:dyDescent="0.25">
      <c r="A16" s="15"/>
      <c r="B16" s="16"/>
      <c r="C16" s="15"/>
      <c r="D16" s="15"/>
      <c r="E16" s="15"/>
      <c r="F16" s="15"/>
      <c r="G16" s="15"/>
      <c r="H16" s="15"/>
      <c r="I16" s="15"/>
      <c r="J16" s="15"/>
      <c r="K16" s="15"/>
      <c r="L16" s="15"/>
      <c r="M16" s="15"/>
    </row>
    <row r="17" spans="1:13" x14ac:dyDescent="0.25">
      <c r="A17" s="15"/>
      <c r="B17" s="16"/>
      <c r="C17" s="15"/>
      <c r="D17" s="15"/>
      <c r="E17" s="15"/>
      <c r="F17" s="15"/>
      <c r="G17" s="15"/>
      <c r="H17" s="15"/>
      <c r="I17" s="15"/>
      <c r="J17" s="15"/>
      <c r="K17" s="15"/>
      <c r="L17" s="15"/>
      <c r="M17" s="15"/>
    </row>
    <row r="18" spans="1:13" x14ac:dyDescent="0.25">
      <c r="B18" s="17"/>
    </row>
    <row r="19" spans="1:13" x14ac:dyDescent="0.25">
      <c r="B19" s="17"/>
    </row>
    <row r="21" spans="1:13" x14ac:dyDescent="0.25">
      <c r="A21"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A6" zoomScale="70" zoomScaleNormal="70" workbookViewId="0">
      <selection activeCell="K18" sqref="K18"/>
    </sheetView>
  </sheetViews>
  <sheetFormatPr defaultColWidth="12.42578125" defaultRowHeight="15.75" x14ac:dyDescent="0.25"/>
  <cols>
    <col min="1" max="1" width="22.7109375" style="151" customWidth="1"/>
    <col min="2" max="2" width="33.85546875" style="151" customWidth="1"/>
    <col min="3" max="3" width="36.42578125" style="151" customWidth="1"/>
    <col min="4" max="4" width="47" style="151" customWidth="1"/>
    <col min="5" max="5" width="45" style="151" customWidth="1"/>
    <col min="6" max="6" width="30.28515625" style="151" customWidth="1"/>
    <col min="7" max="7" width="40.42578125" style="151" customWidth="1"/>
    <col min="8" max="16384" width="12.42578125" style="151"/>
  </cols>
  <sheetData>
    <row r="1" spans="1:7" s="117" customFormat="1" x14ac:dyDescent="0.25">
      <c r="A1" s="117" t="s">
        <v>506</v>
      </c>
      <c r="B1" s="118" t="s">
        <v>507</v>
      </c>
    </row>
    <row r="2" spans="1:7" s="117" customFormat="1" x14ac:dyDescent="0.25">
      <c r="A2" s="119" t="s">
        <v>508</v>
      </c>
      <c r="B2" s="119">
        <v>44180</v>
      </c>
    </row>
    <row r="3" spans="1:7" s="117" customFormat="1" x14ac:dyDescent="0.25">
      <c r="A3" s="117" t="s">
        <v>509</v>
      </c>
      <c r="B3" s="117" t="s">
        <v>510</v>
      </c>
    </row>
    <row r="4" spans="1:7" s="117" customFormat="1" x14ac:dyDescent="0.25">
      <c r="A4" s="117" t="s">
        <v>511</v>
      </c>
    </row>
    <row r="5" spans="1:7" s="117" customFormat="1" x14ac:dyDescent="0.25">
      <c r="A5" s="117" t="s">
        <v>512</v>
      </c>
      <c r="B5" s="117" t="s">
        <v>513</v>
      </c>
    </row>
    <row r="6" spans="1:7" s="117" customFormat="1" x14ac:dyDescent="0.25">
      <c r="A6" s="117" t="s">
        <v>514</v>
      </c>
    </row>
    <row r="7" spans="1:7" s="117" customFormat="1" x14ac:dyDescent="0.25">
      <c r="A7" s="117" t="s">
        <v>515</v>
      </c>
    </row>
    <row r="8" spans="1:7" s="117" customFormat="1" x14ac:dyDescent="0.25">
      <c r="A8" s="117" t="s">
        <v>516</v>
      </c>
    </row>
    <row r="9" spans="1:7" s="117" customFormat="1" x14ac:dyDescent="0.25"/>
    <row r="10" spans="1:7" s="117" customFormat="1" x14ac:dyDescent="0.25">
      <c r="A10" s="117" t="s">
        <v>517</v>
      </c>
      <c r="D10" s="120"/>
    </row>
    <row r="11" spans="1:7" s="117" customFormat="1" x14ac:dyDescent="0.25">
      <c r="A11" s="121" t="s">
        <v>518</v>
      </c>
      <c r="B11" s="121"/>
      <c r="C11" s="122"/>
      <c r="D11" s="123"/>
    </row>
    <row r="12" spans="1:7" s="117" customFormat="1" x14ac:dyDescent="0.25">
      <c r="A12" s="121" t="s">
        <v>519</v>
      </c>
      <c r="B12" s="121"/>
    </row>
    <row r="13" spans="1:7" s="117" customFormat="1" x14ac:dyDescent="0.25">
      <c r="A13" s="121" t="s">
        <v>520</v>
      </c>
      <c r="B13" s="121"/>
    </row>
    <row r="14" spans="1:7" s="117" customFormat="1" x14ac:dyDescent="0.25"/>
    <row r="15" spans="1:7" s="117" customFormat="1" x14ac:dyDescent="0.25"/>
    <row r="16" spans="1:7" s="117" customFormat="1" x14ac:dyDescent="0.25">
      <c r="A16" s="124" t="s">
        <v>521</v>
      </c>
      <c r="B16" s="125" t="s">
        <v>522</v>
      </c>
      <c r="C16" s="124" t="s">
        <v>523</v>
      </c>
      <c r="D16" s="126" t="s">
        <v>524</v>
      </c>
      <c r="E16" s="125" t="s">
        <v>525</v>
      </c>
      <c r="F16" s="125" t="s">
        <v>526</v>
      </c>
      <c r="G16" s="125" t="s">
        <v>527</v>
      </c>
    </row>
    <row r="17" spans="1:7" s="117" customFormat="1" ht="192.6" customHeight="1" x14ac:dyDescent="0.25">
      <c r="A17" s="127">
        <v>1</v>
      </c>
      <c r="B17" s="128"/>
      <c r="C17" s="127" t="s">
        <v>528</v>
      </c>
      <c r="D17" s="129" t="s">
        <v>529</v>
      </c>
      <c r="E17" s="127" t="s">
        <v>528</v>
      </c>
      <c r="F17" s="128"/>
      <c r="G17" s="128"/>
    </row>
    <row r="18" spans="1:7" s="117" customFormat="1" ht="186.95" customHeight="1" x14ac:dyDescent="0.25">
      <c r="A18" s="130">
        <v>2</v>
      </c>
      <c r="B18" s="128"/>
      <c r="C18" s="130" t="s">
        <v>530</v>
      </c>
      <c r="D18" s="129" t="s">
        <v>531</v>
      </c>
      <c r="E18" s="130" t="s">
        <v>530</v>
      </c>
      <c r="F18" s="128"/>
      <c r="G18" s="128"/>
    </row>
    <row r="19" spans="1:7" s="117" customFormat="1" ht="175.5" customHeight="1" x14ac:dyDescent="0.25">
      <c r="A19" s="131">
        <v>3</v>
      </c>
      <c r="B19" s="128"/>
      <c r="C19" s="131" t="s">
        <v>532</v>
      </c>
      <c r="D19" s="129" t="s">
        <v>533</v>
      </c>
      <c r="E19" s="131" t="s">
        <v>532</v>
      </c>
      <c r="F19" s="128"/>
      <c r="G19" s="128"/>
    </row>
    <row r="20" spans="1:7" s="117" customFormat="1" ht="150" x14ac:dyDescent="0.25">
      <c r="A20" s="127">
        <v>4</v>
      </c>
      <c r="B20" s="128"/>
      <c r="C20" s="131" t="s">
        <v>534</v>
      </c>
      <c r="D20" s="129" t="s">
        <v>535</v>
      </c>
      <c r="E20" s="131" t="s">
        <v>534</v>
      </c>
      <c r="F20" s="128"/>
      <c r="G20" s="128"/>
    </row>
    <row r="21" spans="1:7" s="117" customFormat="1" ht="168.6" customHeight="1" x14ac:dyDescent="0.25">
      <c r="A21" s="130">
        <v>5</v>
      </c>
      <c r="B21" s="128"/>
      <c r="C21" s="130" t="s">
        <v>536</v>
      </c>
      <c r="D21" s="129" t="s">
        <v>537</v>
      </c>
      <c r="E21" s="130" t="s">
        <v>536</v>
      </c>
      <c r="F21" s="128"/>
      <c r="G21" s="128"/>
    </row>
    <row r="22" spans="1:7" s="117" customFormat="1" ht="136.5" customHeight="1" x14ac:dyDescent="0.25">
      <c r="A22" s="132">
        <v>6</v>
      </c>
      <c r="B22" s="133"/>
      <c r="C22" s="134" t="s">
        <v>538</v>
      </c>
      <c r="D22" s="135" t="s">
        <v>539</v>
      </c>
      <c r="E22" s="134" t="s">
        <v>538</v>
      </c>
      <c r="F22" s="133"/>
      <c r="G22" s="133"/>
    </row>
    <row r="23" spans="1:7" s="117" customFormat="1" ht="128.44999999999999" customHeight="1" x14ac:dyDescent="0.25">
      <c r="A23" s="136">
        <v>7</v>
      </c>
      <c r="B23" s="133"/>
      <c r="C23" s="137" t="s">
        <v>540</v>
      </c>
      <c r="D23" s="135" t="s">
        <v>541</v>
      </c>
      <c r="E23" s="137" t="s">
        <v>540</v>
      </c>
      <c r="F23" s="133"/>
      <c r="G23" s="133"/>
    </row>
    <row r="24" spans="1:7" s="117" customFormat="1" ht="127.5" customHeight="1" x14ac:dyDescent="0.25">
      <c r="A24" s="134">
        <v>8</v>
      </c>
      <c r="B24" s="133"/>
      <c r="C24" s="137" t="s">
        <v>542</v>
      </c>
      <c r="D24" s="135" t="s">
        <v>543</v>
      </c>
      <c r="E24" s="137" t="s">
        <v>542</v>
      </c>
      <c r="F24" s="133"/>
      <c r="G24" s="133"/>
    </row>
    <row r="25" spans="1:7" s="117" customFormat="1" ht="178.5" customHeight="1" x14ac:dyDescent="0.25">
      <c r="A25" s="131">
        <v>9</v>
      </c>
      <c r="B25" s="128"/>
      <c r="C25" s="127" t="s">
        <v>544</v>
      </c>
      <c r="D25" s="129" t="s">
        <v>545</v>
      </c>
      <c r="E25" s="127" t="s">
        <v>544</v>
      </c>
      <c r="F25" s="128"/>
      <c r="G25" s="128"/>
    </row>
    <row r="26" spans="1:7" s="117" customFormat="1" ht="159.94999999999999" customHeight="1" x14ac:dyDescent="0.25">
      <c r="A26" s="127">
        <v>10</v>
      </c>
      <c r="B26" s="128"/>
      <c r="C26" s="130" t="s">
        <v>546</v>
      </c>
      <c r="D26" s="129" t="s">
        <v>547</v>
      </c>
      <c r="E26" s="130" t="s">
        <v>546</v>
      </c>
      <c r="F26" s="128"/>
      <c r="G26" s="128"/>
    </row>
    <row r="27" spans="1:7" s="117" customFormat="1" ht="141.6" customHeight="1" x14ac:dyDescent="0.25">
      <c r="A27" s="130">
        <v>11</v>
      </c>
      <c r="B27" s="128"/>
      <c r="C27" s="131" t="s">
        <v>548</v>
      </c>
      <c r="D27" s="129" t="s">
        <v>549</v>
      </c>
      <c r="E27" s="131" t="s">
        <v>548</v>
      </c>
      <c r="F27" s="128"/>
      <c r="G27" s="128"/>
    </row>
    <row r="28" spans="1:7" s="117" customFormat="1" ht="153.94999999999999" customHeight="1" x14ac:dyDescent="0.25">
      <c r="A28" s="131">
        <v>12</v>
      </c>
      <c r="B28" s="128"/>
      <c r="C28" s="131" t="s">
        <v>550</v>
      </c>
      <c r="D28" s="129" t="s">
        <v>551</v>
      </c>
      <c r="E28" s="131" t="s">
        <v>550</v>
      </c>
      <c r="F28" s="128"/>
      <c r="G28" s="128"/>
    </row>
    <row r="29" spans="1:7" s="117" customFormat="1" ht="137.44999999999999" customHeight="1" x14ac:dyDescent="0.25">
      <c r="A29" s="127">
        <v>13</v>
      </c>
      <c r="B29" s="128"/>
      <c r="C29" s="130" t="s">
        <v>552</v>
      </c>
      <c r="D29" s="129" t="s">
        <v>553</v>
      </c>
      <c r="E29" s="130" t="s">
        <v>552</v>
      </c>
      <c r="F29" s="128"/>
      <c r="G29" s="128"/>
    </row>
    <row r="30" spans="1:7" s="117" customFormat="1" ht="106.5" customHeight="1" x14ac:dyDescent="0.25">
      <c r="A30" s="134">
        <v>14</v>
      </c>
      <c r="B30" s="133"/>
      <c r="C30" s="134" t="s">
        <v>554</v>
      </c>
      <c r="D30" s="135" t="s">
        <v>555</v>
      </c>
      <c r="E30" s="138" t="s">
        <v>556</v>
      </c>
      <c r="F30" s="133"/>
      <c r="G30" s="133"/>
    </row>
    <row r="31" spans="1:7" s="117" customFormat="1" ht="100.5" customHeight="1" x14ac:dyDescent="0.25">
      <c r="A31" s="132">
        <v>15</v>
      </c>
      <c r="B31" s="133"/>
      <c r="C31" s="137" t="s">
        <v>557</v>
      </c>
      <c r="D31" s="135" t="s">
        <v>558</v>
      </c>
      <c r="E31" s="137" t="s">
        <v>557</v>
      </c>
      <c r="F31" s="133"/>
      <c r="G31" s="133"/>
    </row>
    <row r="32" spans="1:7" s="117" customFormat="1" ht="94.5" customHeight="1" x14ac:dyDescent="0.25">
      <c r="A32" s="136">
        <v>16</v>
      </c>
      <c r="B32" s="133"/>
      <c r="C32" s="137" t="s">
        <v>559</v>
      </c>
      <c r="D32" s="135" t="s">
        <v>560</v>
      </c>
      <c r="E32" s="137" t="s">
        <v>559</v>
      </c>
      <c r="F32" s="133"/>
      <c r="G32" s="133"/>
    </row>
    <row r="33" spans="1:8" s="117" customFormat="1" ht="78" customHeight="1" x14ac:dyDescent="0.25">
      <c r="A33" s="139">
        <v>17</v>
      </c>
      <c r="B33" s="140"/>
      <c r="C33" s="141" t="s">
        <v>561</v>
      </c>
      <c r="D33" s="142" t="s">
        <v>562</v>
      </c>
      <c r="E33" s="141" t="s">
        <v>554</v>
      </c>
      <c r="F33" s="140"/>
      <c r="G33" s="140"/>
      <c r="H33" s="143"/>
    </row>
    <row r="34" spans="1:8" s="117" customFormat="1" ht="96.6" customHeight="1" x14ac:dyDescent="0.25">
      <c r="A34" s="131">
        <v>18</v>
      </c>
      <c r="B34" s="128"/>
      <c r="C34" s="130" t="s">
        <v>563</v>
      </c>
      <c r="D34" s="129" t="s">
        <v>564</v>
      </c>
      <c r="E34" s="130" t="s">
        <v>563</v>
      </c>
      <c r="F34" s="128"/>
      <c r="G34" s="128"/>
    </row>
    <row r="35" spans="1:8" s="117" customFormat="1" ht="91.5" customHeight="1" x14ac:dyDescent="0.25">
      <c r="A35" s="127">
        <v>19</v>
      </c>
      <c r="B35" s="128"/>
      <c r="C35" s="144" t="s">
        <v>565</v>
      </c>
      <c r="D35" s="129" t="s">
        <v>566</v>
      </c>
      <c r="E35" s="144" t="s">
        <v>565</v>
      </c>
      <c r="F35" s="128"/>
      <c r="G35" s="128"/>
    </row>
    <row r="36" spans="1:8" s="117" customFormat="1" ht="97.5" customHeight="1" x14ac:dyDescent="0.25">
      <c r="A36" s="130">
        <v>20</v>
      </c>
      <c r="B36" s="128"/>
      <c r="C36" s="144" t="s">
        <v>567</v>
      </c>
      <c r="D36" s="129" t="s">
        <v>568</v>
      </c>
      <c r="E36" s="144" t="s">
        <v>567</v>
      </c>
      <c r="F36" s="128"/>
      <c r="G36" s="128"/>
    </row>
    <row r="37" spans="1:8" s="117" customFormat="1" ht="113.45" customHeight="1" x14ac:dyDescent="0.25">
      <c r="A37" s="132">
        <v>21</v>
      </c>
      <c r="B37" s="133"/>
      <c r="C37" s="136" t="s">
        <v>569</v>
      </c>
      <c r="D37" s="135" t="s">
        <v>570</v>
      </c>
      <c r="E37" s="136" t="s">
        <v>569</v>
      </c>
      <c r="F37" s="133"/>
      <c r="G37" s="133"/>
    </row>
    <row r="38" spans="1:8" s="117" customFormat="1" ht="99.6" customHeight="1" x14ac:dyDescent="0.25">
      <c r="A38" s="136">
        <v>22</v>
      </c>
      <c r="B38" s="133"/>
      <c r="C38" s="132" t="s">
        <v>571</v>
      </c>
      <c r="D38" s="135" t="s">
        <v>572</v>
      </c>
      <c r="E38" s="132" t="s">
        <v>571</v>
      </c>
      <c r="F38" s="133"/>
      <c r="G38" s="133"/>
    </row>
    <row r="39" spans="1:8" s="117" customFormat="1" ht="107.1" customHeight="1" x14ac:dyDescent="0.25">
      <c r="A39" s="134">
        <v>23</v>
      </c>
      <c r="B39" s="133"/>
      <c r="C39" s="132" t="s">
        <v>573</v>
      </c>
      <c r="D39" s="135" t="s">
        <v>574</v>
      </c>
      <c r="E39" s="132" t="s">
        <v>573</v>
      </c>
      <c r="F39" s="133"/>
      <c r="G39" s="133"/>
    </row>
    <row r="40" spans="1:8" s="117" customFormat="1" ht="98.45" customHeight="1" x14ac:dyDescent="0.25">
      <c r="A40" s="132">
        <v>24</v>
      </c>
      <c r="B40" s="133"/>
      <c r="C40" s="134" t="s">
        <v>575</v>
      </c>
      <c r="D40" s="135" t="s">
        <v>576</v>
      </c>
      <c r="E40" s="134" t="s">
        <v>575</v>
      </c>
      <c r="F40" s="133"/>
      <c r="G40" s="133"/>
    </row>
    <row r="41" spans="1:8" s="117" customFormat="1" ht="68.45" customHeight="1" x14ac:dyDescent="0.25">
      <c r="A41" s="127">
        <v>25</v>
      </c>
      <c r="B41" s="128"/>
      <c r="C41" s="144" t="s">
        <v>577</v>
      </c>
      <c r="D41" s="145" t="s">
        <v>578</v>
      </c>
      <c r="E41" s="146" t="s">
        <v>579</v>
      </c>
      <c r="F41" s="128"/>
      <c r="G41" s="128"/>
    </row>
    <row r="42" spans="1:8" s="117" customFormat="1" ht="60.6" customHeight="1" x14ac:dyDescent="0.25">
      <c r="A42" s="130">
        <v>26</v>
      </c>
      <c r="B42" s="128"/>
      <c r="C42" s="147" t="s">
        <v>580</v>
      </c>
      <c r="D42" s="148" t="s">
        <v>581</v>
      </c>
      <c r="E42" s="149" t="s">
        <v>580</v>
      </c>
      <c r="F42" s="128"/>
      <c r="G42" s="128"/>
    </row>
    <row r="43" spans="1:8" ht="55.5" customHeight="1" x14ac:dyDescent="0.25">
      <c r="A43" s="131">
        <v>27</v>
      </c>
      <c r="B43" s="128"/>
      <c r="C43" s="144" t="s">
        <v>582</v>
      </c>
      <c r="D43" s="145" t="s">
        <v>583</v>
      </c>
      <c r="E43" s="150" t="s">
        <v>582</v>
      </c>
      <c r="F43" s="128"/>
      <c r="G43" s="128"/>
    </row>
    <row r="44" spans="1:8" ht="54" customHeight="1" x14ac:dyDescent="0.25">
      <c r="A44" s="152">
        <v>28</v>
      </c>
      <c r="B44" s="152"/>
      <c r="C44" s="152" t="s">
        <v>584</v>
      </c>
      <c r="D44" s="142" t="s">
        <v>585</v>
      </c>
      <c r="E44" s="153" t="s">
        <v>577</v>
      </c>
      <c r="F44" s="153"/>
      <c r="G44" s="153"/>
    </row>
    <row r="45" spans="1:8" x14ac:dyDescent="0.25">
      <c r="A45" s="154"/>
      <c r="B45" s="155"/>
      <c r="C45" s="154"/>
      <c r="D45" s="156"/>
      <c r="E45" s="154"/>
      <c r="F45" s="155"/>
      <c r="G45" s="155"/>
    </row>
    <row r="46" spans="1:8" x14ac:dyDescent="0.25">
      <c r="A46" s="154"/>
      <c r="B46" s="155"/>
      <c r="C46" s="154"/>
      <c r="D46" s="156"/>
      <c r="E46" s="157"/>
      <c r="F46" s="155"/>
      <c r="G46" s="155"/>
    </row>
    <row r="47" spans="1:8" x14ac:dyDescent="0.25">
      <c r="A47" s="154"/>
      <c r="B47" s="154"/>
      <c r="C47" s="154"/>
      <c r="D47" s="158"/>
      <c r="E47" s="154"/>
      <c r="F47" s="154"/>
      <c r="G47" s="1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DD_NR</vt:lpstr>
      <vt:lpstr>DD_Versions</vt:lpstr>
      <vt:lpstr>CC_Versions</vt:lpstr>
      <vt:lpstr>DD1 EPP 12.15-12.18 1159PM</vt:lpstr>
      <vt:lpstr>DD1 12.15-12.18 1159PM</vt:lpstr>
      <vt:lpstr>CC1 EPP 12.15-12.18 1159PM</vt:lpstr>
      <vt:lpstr>CC1 12.15-12.18 1159PM </vt:lpstr>
      <vt:lpstr>MiscModules</vt:lpstr>
      <vt:lpstr>urlsegment</vt:lpstr>
      <vt:lpstr>EMAILPage</vt:lpstr>
      <vt:lpstr>ListReq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2020-12-16T19:56:43Z</dcterms:modified>
</cp:coreProperties>
</file>
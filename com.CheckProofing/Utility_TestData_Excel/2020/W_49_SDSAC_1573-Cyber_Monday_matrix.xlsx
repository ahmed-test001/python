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ferdous.CORP\PycharmProjects\com.CheckProofing\Utility_TestData_Excel\"/>
    </mc:Choice>
  </mc:AlternateContent>
  <bookViews>
    <workbookView xWindow="-57720" yWindow="330" windowWidth="57840" windowHeight="32190" tabRatio="825" firstSheet="2" activeTab="6"/>
  </bookViews>
  <sheets>
    <sheet name="SL_PH" sheetId="18" r:id="rId1"/>
    <sheet name="DDOfferCopy" sheetId="5" r:id="rId2"/>
    <sheet name="CCModuleCopy" sheetId="6" r:id="rId3"/>
    <sheet name="DD Versions" sheetId="2" r:id="rId4"/>
    <sheet name="CC Versions" sheetId="3" r:id="rId5"/>
    <sheet name="MiscBanners" sheetId="9" r:id="rId6"/>
    <sheet name="urlsegment" sheetId="19" r:id="rId7"/>
    <sheet name="EMAILPage" sheetId="20" r:id="rId8"/>
    <sheet name="Dynamic Banners" sheetId="14" r:id="rId9"/>
    <sheet name="TOUCH 1 MI D+SL, PH-DEC3-1159P" sheetId="12" r:id="rId10"/>
    <sheet name="TOUCH 1 MI D+SL, PH-DEC6-1130P" sheetId="17" r:id="rId11"/>
    <sheet name="Guidelines" sheetId="13" r:id="rId12"/>
    <sheet name="CM Offers" sheetId="4" r:id="rId13"/>
    <sheet name="TC" sheetId="8" r:id="rId14"/>
    <sheet name="PN Copy - For Designers" sheetId="10" r:id="rId15"/>
  </sheets>
  <externalReferences>
    <externalReference r:id="rId16"/>
    <externalReference r:id="rId17"/>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6" i="14" l="1"/>
  <c r="R5" i="14"/>
  <c r="R4" i="14"/>
  <c r="AK4" i="17"/>
  <c r="W29" i="17" l="1"/>
  <c r="W28" i="17"/>
  <c r="W27" i="17"/>
  <c r="W26" i="17"/>
  <c r="W25" i="17"/>
  <c r="W24" i="17"/>
  <c r="W23" i="17"/>
  <c r="W22" i="17"/>
  <c r="W21" i="17"/>
  <c r="W20" i="17"/>
  <c r="W19" i="17"/>
  <c r="W18" i="17"/>
  <c r="W17" i="17"/>
  <c r="W16" i="17"/>
  <c r="W15" i="17"/>
  <c r="W14" i="17"/>
  <c r="W13" i="17"/>
  <c r="W12" i="17"/>
  <c r="W11" i="17"/>
  <c r="W10" i="17"/>
  <c r="W9" i="17"/>
  <c r="W8" i="17"/>
  <c r="W7" i="17"/>
  <c r="W6" i="17"/>
  <c r="W5" i="17"/>
  <c r="W4" i="17"/>
  <c r="U29" i="17"/>
  <c r="U28" i="17"/>
  <c r="U27" i="17"/>
  <c r="U26" i="17"/>
  <c r="U25" i="17"/>
  <c r="U24" i="17"/>
  <c r="U23" i="17"/>
  <c r="U22" i="17"/>
  <c r="U21" i="17"/>
  <c r="U20" i="17"/>
  <c r="U19" i="17"/>
  <c r="U18" i="17"/>
  <c r="U17" i="17"/>
  <c r="U16" i="17"/>
  <c r="U15" i="17"/>
  <c r="U14" i="17"/>
  <c r="U13" i="17"/>
  <c r="U12" i="17"/>
  <c r="U11" i="17"/>
  <c r="U10" i="17"/>
  <c r="U9" i="17"/>
  <c r="U8" i="17"/>
  <c r="U7" i="17"/>
  <c r="U6" i="17"/>
  <c r="U5" i="17"/>
  <c r="U4" i="17"/>
  <c r="T29" i="17"/>
  <c r="T28" i="17"/>
  <c r="T27" i="17"/>
  <c r="T26" i="17"/>
  <c r="T25" i="17"/>
  <c r="T24" i="17"/>
  <c r="T23" i="17"/>
  <c r="T22" i="17"/>
  <c r="T21" i="17"/>
  <c r="T20" i="17"/>
  <c r="T19" i="17"/>
  <c r="T18" i="17"/>
  <c r="T17" i="17"/>
  <c r="T16" i="17"/>
  <c r="T15" i="17"/>
  <c r="T14" i="17"/>
  <c r="T13" i="17"/>
  <c r="T12" i="17"/>
  <c r="T11" i="17"/>
  <c r="T10" i="17"/>
  <c r="T9" i="17"/>
  <c r="T8" i="17"/>
  <c r="T7" i="17"/>
  <c r="T6" i="17"/>
  <c r="T5" i="17"/>
  <c r="T4" i="17"/>
  <c r="T29" i="12"/>
  <c r="T28" i="12"/>
  <c r="T27" i="12"/>
  <c r="T26" i="12"/>
  <c r="T25" i="12"/>
  <c r="T24" i="12"/>
  <c r="T23" i="12"/>
  <c r="T22" i="12"/>
  <c r="T21" i="12"/>
  <c r="T20" i="12"/>
  <c r="T19" i="12"/>
  <c r="T18" i="12"/>
  <c r="T17" i="12"/>
  <c r="T16" i="12"/>
  <c r="T15" i="12"/>
  <c r="T14" i="12"/>
  <c r="T13" i="12"/>
  <c r="T12" i="12"/>
  <c r="T11" i="12"/>
  <c r="T10" i="12"/>
  <c r="T9" i="12"/>
  <c r="T8" i="12"/>
  <c r="T7" i="12"/>
  <c r="T6" i="12"/>
  <c r="T5" i="12"/>
  <c r="T4" i="12"/>
  <c r="W29" i="12"/>
  <c r="W28" i="12"/>
  <c r="W27" i="12"/>
  <c r="W26" i="12"/>
  <c r="W25" i="12"/>
  <c r="W24" i="12"/>
  <c r="W23" i="12"/>
  <c r="W22" i="12"/>
  <c r="W21" i="12"/>
  <c r="W20" i="12"/>
  <c r="W19" i="12"/>
  <c r="W18" i="12"/>
  <c r="W17" i="12"/>
  <c r="W16" i="12"/>
  <c r="W15" i="12"/>
  <c r="W14" i="12"/>
  <c r="W13" i="12"/>
  <c r="W12" i="12"/>
  <c r="W11" i="12"/>
  <c r="W10" i="12"/>
  <c r="W9" i="12"/>
  <c r="W8" i="12"/>
  <c r="W7" i="12"/>
  <c r="W6" i="12"/>
  <c r="W5" i="12"/>
  <c r="W4" i="12"/>
  <c r="U29" i="12"/>
  <c r="U28" i="12"/>
  <c r="U27" i="12"/>
  <c r="U26" i="12"/>
  <c r="U25" i="12"/>
  <c r="U24" i="12"/>
  <c r="U23" i="12"/>
  <c r="U22" i="12"/>
  <c r="U21" i="12"/>
  <c r="U20" i="12"/>
  <c r="U19" i="12"/>
  <c r="U18" i="12"/>
  <c r="U17" i="12"/>
  <c r="U16" i="12"/>
  <c r="U15" i="12"/>
  <c r="U14" i="12"/>
  <c r="U13" i="12"/>
  <c r="U12" i="12"/>
  <c r="U11" i="12"/>
  <c r="U10" i="12"/>
  <c r="U9" i="12"/>
  <c r="U8" i="12"/>
  <c r="U7" i="12"/>
  <c r="U6" i="12"/>
  <c r="U5" i="12"/>
  <c r="U4" i="12"/>
  <c r="DM29" i="18"/>
  <c r="DL29" i="18"/>
  <c r="DK29" i="18"/>
  <c r="DJ29" i="18"/>
  <c r="DI29" i="18"/>
  <c r="DH29" i="18"/>
  <c r="DG29" i="18"/>
  <c r="DF29" i="18"/>
  <c r="DE29" i="18"/>
  <c r="DD29" i="18"/>
  <c r="DB29" i="18"/>
  <c r="DA29" i="18"/>
  <c r="CZ29" i="18"/>
  <c r="CY29" i="18"/>
  <c r="CX29" i="18"/>
  <c r="CW29" i="18"/>
  <c r="CV29" i="18"/>
  <c r="CU29" i="18"/>
  <c r="CT29" i="18"/>
  <c r="CS29" i="18"/>
  <c r="CQ29" i="18"/>
  <c r="CP29" i="18"/>
  <c r="CO29" i="18"/>
  <c r="CN29" i="18"/>
  <c r="CM29" i="18"/>
  <c r="CL29" i="18"/>
  <c r="CK29" i="18"/>
  <c r="CJ29" i="18"/>
  <c r="CI29" i="18"/>
  <c r="CH29" i="18"/>
  <c r="CF29" i="18"/>
  <c r="CE29" i="18"/>
  <c r="CD29" i="18"/>
  <c r="CC29" i="18"/>
  <c r="CB29" i="18"/>
  <c r="CA29" i="18"/>
  <c r="BZ29" i="18"/>
  <c r="BY29" i="18"/>
  <c r="BX29" i="18"/>
  <c r="BW29" i="18"/>
  <c r="BU29" i="18"/>
  <c r="BT29" i="18"/>
  <c r="BS29" i="18"/>
  <c r="BR29" i="18"/>
  <c r="BQ29" i="18"/>
  <c r="BP29" i="18"/>
  <c r="BO29" i="18"/>
  <c r="BN29" i="18"/>
  <c r="BM29" i="18"/>
  <c r="BL29" i="18"/>
  <c r="BJ29" i="18"/>
  <c r="BI29" i="18"/>
  <c r="BH29" i="18"/>
  <c r="BG29" i="18"/>
  <c r="BF29" i="18"/>
  <c r="BE29" i="18"/>
  <c r="BD29" i="18"/>
  <c r="BC29" i="18"/>
  <c r="BB29" i="18"/>
  <c r="BA29" i="18"/>
  <c r="AY29" i="18"/>
  <c r="AX29" i="18"/>
  <c r="AW29" i="18"/>
  <c r="AV29" i="18"/>
  <c r="AU29" i="18"/>
  <c r="AT29" i="18"/>
  <c r="AS29" i="18"/>
  <c r="AR29" i="18"/>
  <c r="AQ29" i="18"/>
  <c r="AP29" i="18"/>
  <c r="AK29" i="18"/>
  <c r="AJ29" i="18"/>
  <c r="Z29" i="18"/>
  <c r="Y29" i="18"/>
  <c r="W29" i="18"/>
  <c r="U29" i="18"/>
  <c r="T29" i="18"/>
  <c r="P29" i="18"/>
  <c r="O29" i="18"/>
  <c r="J29" i="18"/>
  <c r="DM28" i="18"/>
  <c r="DL28" i="18"/>
  <c r="DK28" i="18"/>
  <c r="DJ28" i="18"/>
  <c r="DI28" i="18"/>
  <c r="DH28" i="18"/>
  <c r="DG28" i="18"/>
  <c r="DF28" i="18"/>
  <c r="DE28" i="18"/>
  <c r="DD28" i="18"/>
  <c r="DB28" i="18"/>
  <c r="DA28" i="18"/>
  <c r="CZ28" i="18"/>
  <c r="CY28" i="18"/>
  <c r="CX28" i="18"/>
  <c r="CW28" i="18"/>
  <c r="CV28" i="18"/>
  <c r="CU28" i="18"/>
  <c r="CT28" i="18"/>
  <c r="CS28" i="18"/>
  <c r="CQ28" i="18"/>
  <c r="CP28" i="18"/>
  <c r="CO28" i="18"/>
  <c r="CN28" i="18"/>
  <c r="CM28" i="18"/>
  <c r="CL28" i="18"/>
  <c r="CK28" i="18"/>
  <c r="CJ28" i="18"/>
  <c r="CI28" i="18"/>
  <c r="CH28" i="18"/>
  <c r="CF28" i="18"/>
  <c r="CE28" i="18"/>
  <c r="CD28" i="18"/>
  <c r="CC28" i="18"/>
  <c r="CB28" i="18"/>
  <c r="CA28" i="18"/>
  <c r="BZ28" i="18"/>
  <c r="BY28" i="18"/>
  <c r="BX28" i="18"/>
  <c r="BW28" i="18"/>
  <c r="BU28" i="18"/>
  <c r="BT28" i="18"/>
  <c r="BS28" i="18"/>
  <c r="BR28" i="18"/>
  <c r="BQ28" i="18"/>
  <c r="BP28" i="18"/>
  <c r="BO28" i="18"/>
  <c r="BN28" i="18"/>
  <c r="BM28" i="18"/>
  <c r="BL28" i="18"/>
  <c r="BJ28" i="18"/>
  <c r="BI28" i="18"/>
  <c r="BH28" i="18"/>
  <c r="BG28" i="18"/>
  <c r="BF28" i="18"/>
  <c r="BE28" i="18"/>
  <c r="BD28" i="18"/>
  <c r="BC28" i="18"/>
  <c r="BB28" i="18"/>
  <c r="BA28" i="18"/>
  <c r="AY28" i="18"/>
  <c r="AX28" i="18"/>
  <c r="AW28" i="18"/>
  <c r="AV28" i="18"/>
  <c r="AU28" i="18"/>
  <c r="AT28" i="18"/>
  <c r="AS28" i="18"/>
  <c r="AR28" i="18"/>
  <c r="AQ28" i="18"/>
  <c r="AP28" i="18"/>
  <c r="AK28" i="18"/>
  <c r="AJ28" i="18"/>
  <c r="Z28" i="18"/>
  <c r="Y28" i="18"/>
  <c r="W28" i="18"/>
  <c r="U28" i="18"/>
  <c r="T28" i="18"/>
  <c r="P28" i="18"/>
  <c r="O28" i="18"/>
  <c r="J28" i="18"/>
  <c r="DM27" i="18"/>
  <c r="DL27" i="18"/>
  <c r="DK27" i="18"/>
  <c r="DJ27" i="18"/>
  <c r="DI27" i="18"/>
  <c r="DH27" i="18"/>
  <c r="DG27" i="18"/>
  <c r="DF27" i="18"/>
  <c r="DE27" i="18"/>
  <c r="DD27" i="18"/>
  <c r="DB27" i="18"/>
  <c r="DA27" i="18"/>
  <c r="CZ27" i="18"/>
  <c r="CY27" i="18"/>
  <c r="CX27" i="18"/>
  <c r="CW27" i="18"/>
  <c r="CV27" i="18"/>
  <c r="CU27" i="18"/>
  <c r="CT27" i="18"/>
  <c r="CS27" i="18"/>
  <c r="CQ27" i="18"/>
  <c r="CP27" i="18"/>
  <c r="CO27" i="18"/>
  <c r="CN27" i="18"/>
  <c r="CM27" i="18"/>
  <c r="CL27" i="18"/>
  <c r="CK27" i="18"/>
  <c r="CJ27" i="18"/>
  <c r="CI27" i="18"/>
  <c r="CH27" i="18"/>
  <c r="CF27" i="18"/>
  <c r="CE27" i="18"/>
  <c r="CD27" i="18"/>
  <c r="CC27" i="18"/>
  <c r="CB27" i="18"/>
  <c r="CA27" i="18"/>
  <c r="BZ27" i="18"/>
  <c r="BY27" i="18"/>
  <c r="BX27" i="18"/>
  <c r="BW27" i="18"/>
  <c r="BU27" i="18"/>
  <c r="BT27" i="18"/>
  <c r="BS27" i="18"/>
  <c r="BR27" i="18"/>
  <c r="BQ27" i="18"/>
  <c r="BP27" i="18"/>
  <c r="BO27" i="18"/>
  <c r="BN27" i="18"/>
  <c r="BM27" i="18"/>
  <c r="BL27" i="18"/>
  <c r="BJ27" i="18"/>
  <c r="BI27" i="18"/>
  <c r="BH27" i="18"/>
  <c r="BG27" i="18"/>
  <c r="BF27" i="18"/>
  <c r="BE27" i="18"/>
  <c r="BD27" i="18"/>
  <c r="BC27" i="18"/>
  <c r="BB27" i="18"/>
  <c r="BA27" i="18"/>
  <c r="AY27" i="18"/>
  <c r="AX27" i="18"/>
  <c r="AW27" i="18"/>
  <c r="AV27" i="18"/>
  <c r="AU27" i="18"/>
  <c r="AT27" i="18"/>
  <c r="AS27" i="18"/>
  <c r="AR27" i="18"/>
  <c r="AQ27" i="18"/>
  <c r="AP27" i="18"/>
  <c r="AK27" i="18"/>
  <c r="AJ27" i="18"/>
  <c r="Z27" i="18"/>
  <c r="Y27" i="18"/>
  <c r="W27" i="18"/>
  <c r="U27" i="18"/>
  <c r="T27" i="18"/>
  <c r="P27" i="18"/>
  <c r="O27" i="18"/>
  <c r="J27" i="18"/>
  <c r="DM26" i="18"/>
  <c r="DL26" i="18"/>
  <c r="DK26" i="18"/>
  <c r="DJ26" i="18"/>
  <c r="DI26" i="18"/>
  <c r="DH26" i="18"/>
  <c r="DG26" i="18"/>
  <c r="DF26" i="18"/>
  <c r="DE26" i="18"/>
  <c r="DD26" i="18"/>
  <c r="DB26" i="18"/>
  <c r="DA26" i="18"/>
  <c r="CZ26" i="18"/>
  <c r="CY26" i="18"/>
  <c r="CX26" i="18"/>
  <c r="CW26" i="18"/>
  <c r="CV26" i="18"/>
  <c r="CU26" i="18"/>
  <c r="CT26" i="18"/>
  <c r="CS26" i="18"/>
  <c r="CQ26" i="18"/>
  <c r="CP26" i="18"/>
  <c r="CO26" i="18"/>
  <c r="CN26" i="18"/>
  <c r="CM26" i="18"/>
  <c r="CL26" i="18"/>
  <c r="CK26" i="18"/>
  <c r="CJ26" i="18"/>
  <c r="CI26" i="18"/>
  <c r="CH26" i="18"/>
  <c r="CF26" i="18"/>
  <c r="CE26" i="18"/>
  <c r="CD26" i="18"/>
  <c r="CC26" i="18"/>
  <c r="CB26" i="18"/>
  <c r="CA26" i="18"/>
  <c r="BZ26" i="18"/>
  <c r="BY26" i="18"/>
  <c r="BX26" i="18"/>
  <c r="BW26" i="18"/>
  <c r="BU26" i="18"/>
  <c r="BT26" i="18"/>
  <c r="BS26" i="18"/>
  <c r="BR26" i="18"/>
  <c r="BQ26" i="18"/>
  <c r="BP26" i="18"/>
  <c r="BO26" i="18"/>
  <c r="BN26" i="18"/>
  <c r="BM26" i="18"/>
  <c r="BL26" i="18"/>
  <c r="BJ26" i="18"/>
  <c r="BI26" i="18"/>
  <c r="BH26" i="18"/>
  <c r="BG26" i="18"/>
  <c r="BF26" i="18"/>
  <c r="BE26" i="18"/>
  <c r="BD26" i="18"/>
  <c r="BC26" i="18"/>
  <c r="BB26" i="18"/>
  <c r="BA26" i="18"/>
  <c r="AY26" i="18"/>
  <c r="AX26" i="18"/>
  <c r="AW26" i="18"/>
  <c r="AV26" i="18"/>
  <c r="AU26" i="18"/>
  <c r="AT26" i="18"/>
  <c r="AS26" i="18"/>
  <c r="AR26" i="18"/>
  <c r="AQ26" i="18"/>
  <c r="AP26" i="18"/>
  <c r="AK26" i="18"/>
  <c r="AJ26" i="18"/>
  <c r="Z26" i="18"/>
  <c r="Y26" i="18"/>
  <c r="W26" i="18"/>
  <c r="U26" i="18"/>
  <c r="T26" i="18"/>
  <c r="P26" i="18"/>
  <c r="O26" i="18"/>
  <c r="J26" i="18"/>
  <c r="DM25" i="18"/>
  <c r="DL25" i="18"/>
  <c r="DK25" i="18"/>
  <c r="DJ25" i="18"/>
  <c r="DI25" i="18"/>
  <c r="DH25" i="18"/>
  <c r="DG25" i="18"/>
  <c r="DF25" i="18"/>
  <c r="DE25" i="18"/>
  <c r="DD25" i="18"/>
  <c r="DB25" i="18"/>
  <c r="DA25" i="18"/>
  <c r="CZ25" i="18"/>
  <c r="CY25" i="18"/>
  <c r="CX25" i="18"/>
  <c r="CW25" i="18"/>
  <c r="CV25" i="18"/>
  <c r="CU25" i="18"/>
  <c r="CT25" i="18"/>
  <c r="CS25" i="18"/>
  <c r="CQ25" i="18"/>
  <c r="CP25" i="18"/>
  <c r="CO25" i="18"/>
  <c r="CN25" i="18"/>
  <c r="CM25" i="18"/>
  <c r="CL25" i="18"/>
  <c r="CK25" i="18"/>
  <c r="CJ25" i="18"/>
  <c r="CI25" i="18"/>
  <c r="CH25" i="18"/>
  <c r="CF25" i="18"/>
  <c r="CE25" i="18"/>
  <c r="CD25" i="18"/>
  <c r="CC25" i="18"/>
  <c r="CB25" i="18"/>
  <c r="CA25" i="18"/>
  <c r="BZ25" i="18"/>
  <c r="BY25" i="18"/>
  <c r="BX25" i="18"/>
  <c r="BW25" i="18"/>
  <c r="BU25" i="18"/>
  <c r="BT25" i="18"/>
  <c r="BS25" i="18"/>
  <c r="BR25" i="18"/>
  <c r="BQ25" i="18"/>
  <c r="BP25" i="18"/>
  <c r="BO25" i="18"/>
  <c r="BN25" i="18"/>
  <c r="BM25" i="18"/>
  <c r="BL25" i="18"/>
  <c r="BJ25" i="18"/>
  <c r="BI25" i="18"/>
  <c r="BH25" i="18"/>
  <c r="BG25" i="18"/>
  <c r="BF25" i="18"/>
  <c r="BE25" i="18"/>
  <c r="BD25" i="18"/>
  <c r="BC25" i="18"/>
  <c r="BB25" i="18"/>
  <c r="BA25" i="18"/>
  <c r="AY25" i="18"/>
  <c r="AX25" i="18"/>
  <c r="AW25" i="18"/>
  <c r="AV25" i="18"/>
  <c r="AU25" i="18"/>
  <c r="AT25" i="18"/>
  <c r="AS25" i="18"/>
  <c r="AR25" i="18"/>
  <c r="AQ25" i="18"/>
  <c r="AP25" i="18"/>
  <c r="AK25" i="18"/>
  <c r="AJ25" i="18"/>
  <c r="Z25" i="18"/>
  <c r="Y25" i="18"/>
  <c r="W25" i="18"/>
  <c r="U25" i="18"/>
  <c r="T25" i="18"/>
  <c r="P25" i="18"/>
  <c r="O25" i="18"/>
  <c r="J25" i="18"/>
  <c r="DM24" i="18"/>
  <c r="DL24" i="18"/>
  <c r="DK24" i="18"/>
  <c r="DJ24" i="18"/>
  <c r="DI24" i="18"/>
  <c r="DH24" i="18"/>
  <c r="DG24" i="18"/>
  <c r="DF24" i="18"/>
  <c r="DE24" i="18"/>
  <c r="DD24" i="18"/>
  <c r="DB24" i="18"/>
  <c r="DA24" i="18"/>
  <c r="CZ24" i="18"/>
  <c r="CY24" i="18"/>
  <c r="CX24" i="18"/>
  <c r="CW24" i="18"/>
  <c r="CV24" i="18"/>
  <c r="CU24" i="18"/>
  <c r="CT24" i="18"/>
  <c r="CS24" i="18"/>
  <c r="CQ24" i="18"/>
  <c r="CP24" i="18"/>
  <c r="CO24" i="18"/>
  <c r="CN24" i="18"/>
  <c r="CM24" i="18"/>
  <c r="CL24" i="18"/>
  <c r="CK24" i="18"/>
  <c r="CJ24" i="18"/>
  <c r="CI24" i="18"/>
  <c r="CH24" i="18"/>
  <c r="CF24" i="18"/>
  <c r="CE24" i="18"/>
  <c r="CD24" i="18"/>
  <c r="CC24" i="18"/>
  <c r="CB24" i="18"/>
  <c r="CA24" i="18"/>
  <c r="BZ24" i="18"/>
  <c r="BY24" i="18"/>
  <c r="BX24" i="18"/>
  <c r="BW24" i="18"/>
  <c r="BU24" i="18"/>
  <c r="BT24" i="18"/>
  <c r="BS24" i="18"/>
  <c r="BR24" i="18"/>
  <c r="BQ24" i="18"/>
  <c r="BP24" i="18"/>
  <c r="BO24" i="18"/>
  <c r="BN24" i="18"/>
  <c r="BM24" i="18"/>
  <c r="BL24" i="18"/>
  <c r="BJ24" i="18"/>
  <c r="BI24" i="18"/>
  <c r="BH24" i="18"/>
  <c r="BG24" i="18"/>
  <c r="BF24" i="18"/>
  <c r="BE24" i="18"/>
  <c r="BD24" i="18"/>
  <c r="BC24" i="18"/>
  <c r="BB24" i="18"/>
  <c r="BA24" i="18"/>
  <c r="AY24" i="18"/>
  <c r="AX24" i="18"/>
  <c r="AW24" i="18"/>
  <c r="AV24" i="18"/>
  <c r="AU24" i="18"/>
  <c r="AT24" i="18"/>
  <c r="AS24" i="18"/>
  <c r="AR24" i="18"/>
  <c r="AQ24" i="18"/>
  <c r="AP24" i="18"/>
  <c r="AK24" i="18"/>
  <c r="AJ24" i="18"/>
  <c r="Z24" i="18"/>
  <c r="Y24" i="18"/>
  <c r="W24" i="18"/>
  <c r="U24" i="18"/>
  <c r="T24" i="18"/>
  <c r="P24" i="18"/>
  <c r="O24" i="18"/>
  <c r="J24" i="18"/>
  <c r="DM23" i="18"/>
  <c r="DL23" i="18"/>
  <c r="DK23" i="18"/>
  <c r="DJ23" i="18"/>
  <c r="DI23" i="18"/>
  <c r="DH23" i="18"/>
  <c r="DG23" i="18"/>
  <c r="DF23" i="18"/>
  <c r="DE23" i="18"/>
  <c r="DD23" i="18"/>
  <c r="DB23" i="18"/>
  <c r="DA23" i="18"/>
  <c r="CZ23" i="18"/>
  <c r="CY23" i="18"/>
  <c r="CX23" i="18"/>
  <c r="CW23" i="18"/>
  <c r="CV23" i="18"/>
  <c r="CU23" i="18"/>
  <c r="CT23" i="18"/>
  <c r="CS23" i="18"/>
  <c r="CQ23" i="18"/>
  <c r="CP23" i="18"/>
  <c r="CO23" i="18"/>
  <c r="CN23" i="18"/>
  <c r="CM23" i="18"/>
  <c r="CL23" i="18"/>
  <c r="CK23" i="18"/>
  <c r="CJ23" i="18"/>
  <c r="CI23" i="18"/>
  <c r="CH23" i="18"/>
  <c r="CF23" i="18"/>
  <c r="CE23" i="18"/>
  <c r="CD23" i="18"/>
  <c r="CC23" i="18"/>
  <c r="CB23" i="18"/>
  <c r="CA23" i="18"/>
  <c r="BZ23" i="18"/>
  <c r="BY23" i="18"/>
  <c r="BX23" i="18"/>
  <c r="BW23" i="18"/>
  <c r="BU23" i="18"/>
  <c r="BT23" i="18"/>
  <c r="BS23" i="18"/>
  <c r="BR23" i="18"/>
  <c r="BQ23" i="18"/>
  <c r="BP23" i="18"/>
  <c r="BO23" i="18"/>
  <c r="BN23" i="18"/>
  <c r="BM23" i="18"/>
  <c r="BL23" i="18"/>
  <c r="BJ23" i="18"/>
  <c r="BI23" i="18"/>
  <c r="BH23" i="18"/>
  <c r="BG23" i="18"/>
  <c r="BF23" i="18"/>
  <c r="BE23" i="18"/>
  <c r="BD23" i="18"/>
  <c r="BC23" i="18"/>
  <c r="BB23" i="18"/>
  <c r="BA23" i="18"/>
  <c r="AY23" i="18"/>
  <c r="AX23" i="18"/>
  <c r="AW23" i="18"/>
  <c r="AV23" i="18"/>
  <c r="AU23" i="18"/>
  <c r="AT23" i="18"/>
  <c r="AS23" i="18"/>
  <c r="AR23" i="18"/>
  <c r="AQ23" i="18"/>
  <c r="AP23" i="18"/>
  <c r="AK23" i="18"/>
  <c r="AJ23" i="18"/>
  <c r="Z23" i="18"/>
  <c r="Y23" i="18"/>
  <c r="W23" i="18"/>
  <c r="U23" i="18"/>
  <c r="T23" i="18"/>
  <c r="P23" i="18"/>
  <c r="O23" i="18"/>
  <c r="J23" i="18"/>
  <c r="DM22" i="18"/>
  <c r="DL22" i="18"/>
  <c r="DK22" i="18"/>
  <c r="DJ22" i="18"/>
  <c r="DI22" i="18"/>
  <c r="DH22" i="18"/>
  <c r="DG22" i="18"/>
  <c r="DF22" i="18"/>
  <c r="DE22" i="18"/>
  <c r="DD22" i="18"/>
  <c r="DB22" i="18"/>
  <c r="DA22" i="18"/>
  <c r="CZ22" i="18"/>
  <c r="CY22" i="18"/>
  <c r="CX22" i="18"/>
  <c r="CW22" i="18"/>
  <c r="CV22" i="18"/>
  <c r="CU22" i="18"/>
  <c r="CT22" i="18"/>
  <c r="CS22" i="18"/>
  <c r="CQ22" i="18"/>
  <c r="CP22" i="18"/>
  <c r="CO22" i="18"/>
  <c r="CN22" i="18"/>
  <c r="CM22" i="18"/>
  <c r="CL22" i="18"/>
  <c r="CK22" i="18"/>
  <c r="CJ22" i="18"/>
  <c r="CI22" i="18"/>
  <c r="CH22" i="18"/>
  <c r="CF22" i="18"/>
  <c r="CE22" i="18"/>
  <c r="CD22" i="18"/>
  <c r="CC22" i="18"/>
  <c r="CB22" i="18"/>
  <c r="CA22" i="18"/>
  <c r="BZ22" i="18"/>
  <c r="BY22" i="18"/>
  <c r="BX22" i="18"/>
  <c r="BW22" i="18"/>
  <c r="BU22" i="18"/>
  <c r="BT22" i="18"/>
  <c r="BS22" i="18"/>
  <c r="BR22" i="18"/>
  <c r="BQ22" i="18"/>
  <c r="BP22" i="18"/>
  <c r="BO22" i="18"/>
  <c r="BN22" i="18"/>
  <c r="BM22" i="18"/>
  <c r="BL22" i="18"/>
  <c r="BJ22" i="18"/>
  <c r="BI22" i="18"/>
  <c r="BH22" i="18"/>
  <c r="BG22" i="18"/>
  <c r="BF22" i="18"/>
  <c r="BE22" i="18"/>
  <c r="BD22" i="18"/>
  <c r="BC22" i="18"/>
  <c r="BB22" i="18"/>
  <c r="BA22" i="18"/>
  <c r="AY22" i="18"/>
  <c r="AX22" i="18"/>
  <c r="AW22" i="18"/>
  <c r="AV22" i="18"/>
  <c r="AU22" i="18"/>
  <c r="AT22" i="18"/>
  <c r="AS22" i="18"/>
  <c r="AR22" i="18"/>
  <c r="AQ22" i="18"/>
  <c r="AP22" i="18"/>
  <c r="AK22" i="18"/>
  <c r="AJ22" i="18"/>
  <c r="Z22" i="18"/>
  <c r="Y22" i="18"/>
  <c r="W22" i="18"/>
  <c r="U22" i="18"/>
  <c r="T22" i="18"/>
  <c r="P22" i="18"/>
  <c r="O22" i="18"/>
  <c r="J22" i="18"/>
  <c r="DM21" i="18"/>
  <c r="DL21" i="18"/>
  <c r="DK21" i="18"/>
  <c r="DJ21" i="18"/>
  <c r="DI21" i="18"/>
  <c r="DH21" i="18"/>
  <c r="DG21" i="18"/>
  <c r="DF21" i="18"/>
  <c r="DE21" i="18"/>
  <c r="DD21" i="18"/>
  <c r="DB21" i="18"/>
  <c r="DA21" i="18"/>
  <c r="CZ21" i="18"/>
  <c r="CY21" i="18"/>
  <c r="CX21" i="18"/>
  <c r="CW21" i="18"/>
  <c r="CV21" i="18"/>
  <c r="CU21" i="18"/>
  <c r="CT21" i="18"/>
  <c r="CS21" i="18"/>
  <c r="CQ21" i="18"/>
  <c r="CP21" i="18"/>
  <c r="CO21" i="18"/>
  <c r="CN21" i="18"/>
  <c r="CM21" i="18"/>
  <c r="CL21" i="18"/>
  <c r="CK21" i="18"/>
  <c r="CJ21" i="18"/>
  <c r="CI21" i="18"/>
  <c r="CH21" i="18"/>
  <c r="CF21" i="18"/>
  <c r="CE21" i="18"/>
  <c r="CD21" i="18"/>
  <c r="CC21" i="18"/>
  <c r="CB21" i="18"/>
  <c r="CA21" i="18"/>
  <c r="BZ21" i="18"/>
  <c r="BY21" i="18"/>
  <c r="BX21" i="18"/>
  <c r="BW21" i="18"/>
  <c r="BU21" i="18"/>
  <c r="BT21" i="18"/>
  <c r="BS21" i="18"/>
  <c r="BR21" i="18"/>
  <c r="BQ21" i="18"/>
  <c r="BP21" i="18"/>
  <c r="BO21" i="18"/>
  <c r="BN21" i="18"/>
  <c r="BM21" i="18"/>
  <c r="BL21" i="18"/>
  <c r="BJ21" i="18"/>
  <c r="BI21" i="18"/>
  <c r="BH21" i="18"/>
  <c r="BG21" i="18"/>
  <c r="BF21" i="18"/>
  <c r="BE21" i="18"/>
  <c r="BD21" i="18"/>
  <c r="BC21" i="18"/>
  <c r="BB21" i="18"/>
  <c r="BA21" i="18"/>
  <c r="AY21" i="18"/>
  <c r="AX21" i="18"/>
  <c r="AW21" i="18"/>
  <c r="AV21" i="18"/>
  <c r="AU21" i="18"/>
  <c r="AT21" i="18"/>
  <c r="AS21" i="18"/>
  <c r="AR21" i="18"/>
  <c r="AQ21" i="18"/>
  <c r="AP21" i="18"/>
  <c r="AK21" i="18"/>
  <c r="AJ21" i="18"/>
  <c r="Z21" i="18"/>
  <c r="Y21" i="18"/>
  <c r="W21" i="18"/>
  <c r="U21" i="18"/>
  <c r="T21" i="18"/>
  <c r="P21" i="18"/>
  <c r="O21" i="18"/>
  <c r="J21" i="18"/>
  <c r="DM20" i="18"/>
  <c r="DL20" i="18"/>
  <c r="DK20" i="18"/>
  <c r="DJ20" i="18"/>
  <c r="DI20" i="18"/>
  <c r="DH20" i="18"/>
  <c r="DG20" i="18"/>
  <c r="DF20" i="18"/>
  <c r="DE20" i="18"/>
  <c r="DD20" i="18"/>
  <c r="DB20" i="18"/>
  <c r="DA20" i="18"/>
  <c r="CZ20" i="18"/>
  <c r="CY20" i="18"/>
  <c r="CX20" i="18"/>
  <c r="CW20" i="18"/>
  <c r="CV20" i="18"/>
  <c r="CU20" i="18"/>
  <c r="CT20" i="18"/>
  <c r="CS20" i="18"/>
  <c r="CQ20" i="18"/>
  <c r="CP20" i="18"/>
  <c r="CO20" i="18"/>
  <c r="CN20" i="18"/>
  <c r="CM20" i="18"/>
  <c r="CL20" i="18"/>
  <c r="CK20" i="18"/>
  <c r="CJ20" i="18"/>
  <c r="CI20" i="18"/>
  <c r="CH20" i="18"/>
  <c r="CF20" i="18"/>
  <c r="CE20" i="18"/>
  <c r="CD20" i="18"/>
  <c r="CC20" i="18"/>
  <c r="CB20" i="18"/>
  <c r="CA20" i="18"/>
  <c r="BZ20" i="18"/>
  <c r="BY20" i="18"/>
  <c r="BX20" i="18"/>
  <c r="BW20" i="18"/>
  <c r="BU20" i="18"/>
  <c r="BT20" i="18"/>
  <c r="BS20" i="18"/>
  <c r="BR20" i="18"/>
  <c r="BQ20" i="18"/>
  <c r="BP20" i="18"/>
  <c r="BO20" i="18"/>
  <c r="BN20" i="18"/>
  <c r="BM20" i="18"/>
  <c r="BL20" i="18"/>
  <c r="BJ20" i="18"/>
  <c r="BI20" i="18"/>
  <c r="BH20" i="18"/>
  <c r="BG20" i="18"/>
  <c r="BF20" i="18"/>
  <c r="BE20" i="18"/>
  <c r="BD20" i="18"/>
  <c r="BC20" i="18"/>
  <c r="BB20" i="18"/>
  <c r="BA20" i="18"/>
  <c r="AY20" i="18"/>
  <c r="AX20" i="18"/>
  <c r="AW20" i="18"/>
  <c r="AV20" i="18"/>
  <c r="AU20" i="18"/>
  <c r="AT20" i="18"/>
  <c r="AS20" i="18"/>
  <c r="AR20" i="18"/>
  <c r="AQ20" i="18"/>
  <c r="AP20" i="18"/>
  <c r="AK20" i="18"/>
  <c r="AJ20" i="18"/>
  <c r="Z20" i="18"/>
  <c r="Y20" i="18"/>
  <c r="W20" i="18"/>
  <c r="U20" i="18"/>
  <c r="T20" i="18"/>
  <c r="P20" i="18"/>
  <c r="O20" i="18"/>
  <c r="J20" i="18"/>
  <c r="DM19" i="18"/>
  <c r="DL19" i="18"/>
  <c r="DK19" i="18"/>
  <c r="DJ19" i="18"/>
  <c r="DI19" i="18"/>
  <c r="DH19" i="18"/>
  <c r="DG19" i="18"/>
  <c r="DF19" i="18"/>
  <c r="DE19" i="18"/>
  <c r="DD19" i="18"/>
  <c r="DB19" i="18"/>
  <c r="DA19" i="18"/>
  <c r="CZ19" i="18"/>
  <c r="CY19" i="18"/>
  <c r="CX19" i="18"/>
  <c r="CW19" i="18"/>
  <c r="CV19" i="18"/>
  <c r="CU19" i="18"/>
  <c r="CT19" i="18"/>
  <c r="CS19" i="18"/>
  <c r="CQ19" i="18"/>
  <c r="CP19" i="18"/>
  <c r="CO19" i="18"/>
  <c r="CN19" i="18"/>
  <c r="CM19" i="18"/>
  <c r="CL19" i="18"/>
  <c r="CK19" i="18"/>
  <c r="CJ19" i="18"/>
  <c r="CI19" i="18"/>
  <c r="CH19" i="18"/>
  <c r="CF19" i="18"/>
  <c r="CE19" i="18"/>
  <c r="CD19" i="18"/>
  <c r="CC19" i="18"/>
  <c r="CB19" i="18"/>
  <c r="CA19" i="18"/>
  <c r="BZ19" i="18"/>
  <c r="BY19" i="18"/>
  <c r="BX19" i="18"/>
  <c r="BW19" i="18"/>
  <c r="BU19" i="18"/>
  <c r="BT19" i="18"/>
  <c r="BS19" i="18"/>
  <c r="BR19" i="18"/>
  <c r="BQ19" i="18"/>
  <c r="BP19" i="18"/>
  <c r="BO19" i="18"/>
  <c r="BN19" i="18"/>
  <c r="BM19" i="18"/>
  <c r="BL19" i="18"/>
  <c r="BJ19" i="18"/>
  <c r="BI19" i="18"/>
  <c r="BH19" i="18"/>
  <c r="BG19" i="18"/>
  <c r="BF19" i="18"/>
  <c r="BE19" i="18"/>
  <c r="BD19" i="18"/>
  <c r="BC19" i="18"/>
  <c r="BB19" i="18"/>
  <c r="BA19" i="18"/>
  <c r="AY19" i="18"/>
  <c r="AX19" i="18"/>
  <c r="AW19" i="18"/>
  <c r="AV19" i="18"/>
  <c r="AU19" i="18"/>
  <c r="AT19" i="18"/>
  <c r="AS19" i="18"/>
  <c r="AR19" i="18"/>
  <c r="AQ19" i="18"/>
  <c r="AP19" i="18"/>
  <c r="AK19" i="18"/>
  <c r="AJ19" i="18"/>
  <c r="Z19" i="18"/>
  <c r="Y19" i="18"/>
  <c r="W19" i="18"/>
  <c r="U19" i="18"/>
  <c r="T19" i="18"/>
  <c r="P19" i="18"/>
  <c r="O19" i="18"/>
  <c r="J19" i="18"/>
  <c r="DM18" i="18"/>
  <c r="DL18" i="18"/>
  <c r="DK18" i="18"/>
  <c r="DJ18" i="18"/>
  <c r="DI18" i="18"/>
  <c r="DH18" i="18"/>
  <c r="DG18" i="18"/>
  <c r="DF18" i="18"/>
  <c r="DE18" i="18"/>
  <c r="DD18" i="18"/>
  <c r="DB18" i="18"/>
  <c r="DA18" i="18"/>
  <c r="CZ18" i="18"/>
  <c r="CY18" i="18"/>
  <c r="CX18" i="18"/>
  <c r="CW18" i="18"/>
  <c r="CV18" i="18"/>
  <c r="CU18" i="18"/>
  <c r="CT18" i="18"/>
  <c r="CS18" i="18"/>
  <c r="CQ18" i="18"/>
  <c r="CP18" i="18"/>
  <c r="CO18" i="18"/>
  <c r="CN18" i="18"/>
  <c r="CM18" i="18"/>
  <c r="CL18" i="18"/>
  <c r="CK18" i="18"/>
  <c r="CJ18" i="18"/>
  <c r="CI18" i="18"/>
  <c r="CH18" i="18"/>
  <c r="CF18" i="18"/>
  <c r="CE18" i="18"/>
  <c r="CD18" i="18"/>
  <c r="CC18" i="18"/>
  <c r="CB18" i="18"/>
  <c r="CA18" i="18"/>
  <c r="BZ18" i="18"/>
  <c r="BY18" i="18"/>
  <c r="BX18" i="18"/>
  <c r="BW18" i="18"/>
  <c r="BU18" i="18"/>
  <c r="BT18" i="18"/>
  <c r="BS18" i="18"/>
  <c r="BR18" i="18"/>
  <c r="BQ18" i="18"/>
  <c r="BP18" i="18"/>
  <c r="BO18" i="18"/>
  <c r="BN18" i="18"/>
  <c r="BM18" i="18"/>
  <c r="BL18" i="18"/>
  <c r="BJ18" i="18"/>
  <c r="BI18" i="18"/>
  <c r="BH18" i="18"/>
  <c r="BG18" i="18"/>
  <c r="BF18" i="18"/>
  <c r="BE18" i="18"/>
  <c r="BD18" i="18"/>
  <c r="BC18" i="18"/>
  <c r="BB18" i="18"/>
  <c r="BA18" i="18"/>
  <c r="AY18" i="18"/>
  <c r="AX18" i="18"/>
  <c r="AW18" i="18"/>
  <c r="AV18" i="18"/>
  <c r="AU18" i="18"/>
  <c r="AT18" i="18"/>
  <c r="AS18" i="18"/>
  <c r="AR18" i="18"/>
  <c r="AQ18" i="18"/>
  <c r="AP18" i="18"/>
  <c r="AK18" i="18"/>
  <c r="AJ18" i="18"/>
  <c r="Z18" i="18"/>
  <c r="Y18" i="18"/>
  <c r="W18" i="18"/>
  <c r="U18" i="18"/>
  <c r="T18" i="18"/>
  <c r="P18" i="18"/>
  <c r="O18" i="18"/>
  <c r="J18" i="18"/>
  <c r="DM17" i="18"/>
  <c r="DL17" i="18"/>
  <c r="DK17" i="18"/>
  <c r="DJ17" i="18"/>
  <c r="DI17" i="18"/>
  <c r="DH17" i="18"/>
  <c r="DG17" i="18"/>
  <c r="DF17" i="18"/>
  <c r="DE17" i="18"/>
  <c r="DD17" i="18"/>
  <c r="DB17" i="18"/>
  <c r="DA17" i="18"/>
  <c r="CZ17" i="18"/>
  <c r="CY17" i="18"/>
  <c r="CX17" i="18"/>
  <c r="CW17" i="18"/>
  <c r="CV17" i="18"/>
  <c r="CU17" i="18"/>
  <c r="CT17" i="18"/>
  <c r="CS17" i="18"/>
  <c r="CQ17" i="18"/>
  <c r="CP17" i="18"/>
  <c r="CO17" i="18"/>
  <c r="CN17" i="18"/>
  <c r="CM17" i="18"/>
  <c r="CL17" i="18"/>
  <c r="CK17" i="18"/>
  <c r="CJ17" i="18"/>
  <c r="CI17" i="18"/>
  <c r="CH17" i="18"/>
  <c r="CF17" i="18"/>
  <c r="CE17" i="18"/>
  <c r="CD17" i="18"/>
  <c r="CC17" i="18"/>
  <c r="CB17" i="18"/>
  <c r="CA17" i="18"/>
  <c r="BZ17" i="18"/>
  <c r="BY17" i="18"/>
  <c r="BX17" i="18"/>
  <c r="BW17" i="18"/>
  <c r="BU17" i="18"/>
  <c r="BT17" i="18"/>
  <c r="BS17" i="18"/>
  <c r="BR17" i="18"/>
  <c r="BQ17" i="18"/>
  <c r="BP17" i="18"/>
  <c r="BO17" i="18"/>
  <c r="BN17" i="18"/>
  <c r="BM17" i="18"/>
  <c r="BL17" i="18"/>
  <c r="BJ17" i="18"/>
  <c r="BI17" i="18"/>
  <c r="BH17" i="18"/>
  <c r="BG17" i="18"/>
  <c r="BF17" i="18"/>
  <c r="BE17" i="18"/>
  <c r="BD17" i="18"/>
  <c r="BC17" i="18"/>
  <c r="BB17" i="18"/>
  <c r="BA17" i="18"/>
  <c r="AY17" i="18"/>
  <c r="AX17" i="18"/>
  <c r="AW17" i="18"/>
  <c r="AV17" i="18"/>
  <c r="AU17" i="18"/>
  <c r="AT17" i="18"/>
  <c r="AS17" i="18"/>
  <c r="AR17" i="18"/>
  <c r="AQ17" i="18"/>
  <c r="AP17" i="18"/>
  <c r="AK17" i="18"/>
  <c r="AJ17" i="18"/>
  <c r="Z17" i="18"/>
  <c r="Y17" i="18"/>
  <c r="W17" i="18"/>
  <c r="U17" i="18"/>
  <c r="T17" i="18"/>
  <c r="DM16" i="18"/>
  <c r="DL16" i="18"/>
  <c r="DK16" i="18"/>
  <c r="DJ16" i="18"/>
  <c r="DI16" i="18"/>
  <c r="DH16" i="18"/>
  <c r="DG16" i="18"/>
  <c r="DF16" i="18"/>
  <c r="DE16" i="18"/>
  <c r="DD16" i="18"/>
  <c r="DB16" i="18"/>
  <c r="DA16" i="18"/>
  <c r="CZ16" i="18"/>
  <c r="CY16" i="18"/>
  <c r="CX16" i="18"/>
  <c r="CW16" i="18"/>
  <c r="CV16" i="18"/>
  <c r="CU16" i="18"/>
  <c r="CT16" i="18"/>
  <c r="CS16" i="18"/>
  <c r="CQ16" i="18"/>
  <c r="CP16" i="18"/>
  <c r="CO16" i="18"/>
  <c r="CN16" i="18"/>
  <c r="CM16" i="18"/>
  <c r="CL16" i="18"/>
  <c r="CK16" i="18"/>
  <c r="CJ16" i="18"/>
  <c r="CI16" i="18"/>
  <c r="CH16" i="18"/>
  <c r="CF16" i="18"/>
  <c r="CE16" i="18"/>
  <c r="CD16" i="18"/>
  <c r="CC16" i="18"/>
  <c r="CB16" i="18"/>
  <c r="CA16" i="18"/>
  <c r="BZ16" i="18"/>
  <c r="BY16" i="18"/>
  <c r="BX16" i="18"/>
  <c r="BW16" i="18"/>
  <c r="BU16" i="18"/>
  <c r="BT16" i="18"/>
  <c r="BS16" i="18"/>
  <c r="BR16" i="18"/>
  <c r="BQ16" i="18"/>
  <c r="BP16" i="18"/>
  <c r="BO16" i="18"/>
  <c r="BN16" i="18"/>
  <c r="BM16" i="18"/>
  <c r="BL16" i="18"/>
  <c r="BJ16" i="18"/>
  <c r="BI16" i="18"/>
  <c r="BH16" i="18"/>
  <c r="BG16" i="18"/>
  <c r="BF16" i="18"/>
  <c r="BE16" i="18"/>
  <c r="BD16" i="18"/>
  <c r="BC16" i="18"/>
  <c r="BB16" i="18"/>
  <c r="BA16" i="18"/>
  <c r="AY16" i="18"/>
  <c r="AX16" i="18"/>
  <c r="AW16" i="18"/>
  <c r="AV16" i="18"/>
  <c r="AU16" i="18"/>
  <c r="AT16" i="18"/>
  <c r="AS16" i="18"/>
  <c r="AR16" i="18"/>
  <c r="AQ16" i="18"/>
  <c r="AP16" i="18"/>
  <c r="AK16" i="18"/>
  <c r="AJ16" i="18"/>
  <c r="Z16" i="18"/>
  <c r="Y16" i="18"/>
  <c r="W16" i="18"/>
  <c r="U16" i="18"/>
  <c r="T16" i="18"/>
  <c r="DM15" i="18"/>
  <c r="DL15" i="18"/>
  <c r="DK15" i="18"/>
  <c r="DJ15" i="18"/>
  <c r="DI15" i="18"/>
  <c r="DH15" i="18"/>
  <c r="DG15" i="18"/>
  <c r="DF15" i="18"/>
  <c r="DE15" i="18"/>
  <c r="DD15" i="18"/>
  <c r="DB15" i="18"/>
  <c r="DA15" i="18"/>
  <c r="CZ15" i="18"/>
  <c r="CY15" i="18"/>
  <c r="CX15" i="18"/>
  <c r="CW15" i="18"/>
  <c r="CV15" i="18"/>
  <c r="CU15" i="18"/>
  <c r="CT15" i="18"/>
  <c r="CS15" i="18"/>
  <c r="CQ15" i="18"/>
  <c r="CP15" i="18"/>
  <c r="CO15" i="18"/>
  <c r="CN15" i="18"/>
  <c r="CM15" i="18"/>
  <c r="CL15" i="18"/>
  <c r="CK15" i="18"/>
  <c r="CJ15" i="18"/>
  <c r="CI15" i="18"/>
  <c r="CH15" i="18"/>
  <c r="CF15" i="18"/>
  <c r="CE15" i="18"/>
  <c r="CD15" i="18"/>
  <c r="CC15" i="18"/>
  <c r="CB15" i="18"/>
  <c r="CA15" i="18"/>
  <c r="BZ15" i="18"/>
  <c r="BY15" i="18"/>
  <c r="BX15" i="18"/>
  <c r="BW15" i="18"/>
  <c r="BU15" i="18"/>
  <c r="BT15" i="18"/>
  <c r="BS15" i="18"/>
  <c r="BR15" i="18"/>
  <c r="BQ15" i="18"/>
  <c r="BP15" i="18"/>
  <c r="BO15" i="18"/>
  <c r="BN15" i="18"/>
  <c r="BM15" i="18"/>
  <c r="BL15" i="18"/>
  <c r="BJ15" i="18"/>
  <c r="BI15" i="18"/>
  <c r="BH15" i="18"/>
  <c r="BG15" i="18"/>
  <c r="BF15" i="18"/>
  <c r="BE15" i="18"/>
  <c r="BD15" i="18"/>
  <c r="BC15" i="18"/>
  <c r="BB15" i="18"/>
  <c r="BA15" i="18"/>
  <c r="AY15" i="18"/>
  <c r="AX15" i="18"/>
  <c r="AW15" i="18"/>
  <c r="AV15" i="18"/>
  <c r="AU15" i="18"/>
  <c r="AT15" i="18"/>
  <c r="AS15" i="18"/>
  <c r="AR15" i="18"/>
  <c r="AQ15" i="18"/>
  <c r="AP15" i="18"/>
  <c r="AK15" i="18"/>
  <c r="AJ15" i="18"/>
  <c r="Z15" i="18"/>
  <c r="Y15" i="18"/>
  <c r="W15" i="18"/>
  <c r="U15" i="18"/>
  <c r="T15" i="18"/>
  <c r="DM14" i="18"/>
  <c r="DL14" i="18"/>
  <c r="DK14" i="18"/>
  <c r="DJ14" i="18"/>
  <c r="DI14" i="18"/>
  <c r="DH14" i="18"/>
  <c r="DG14" i="18"/>
  <c r="DF14" i="18"/>
  <c r="DE14" i="18"/>
  <c r="DD14" i="18"/>
  <c r="DB14" i="18"/>
  <c r="DA14" i="18"/>
  <c r="CZ14" i="18"/>
  <c r="CY14" i="18"/>
  <c r="CX14" i="18"/>
  <c r="CW14" i="18"/>
  <c r="CV14" i="18"/>
  <c r="CU14" i="18"/>
  <c r="CT14" i="18"/>
  <c r="CS14" i="18"/>
  <c r="CQ14" i="18"/>
  <c r="CP14" i="18"/>
  <c r="CO14" i="18"/>
  <c r="CN14" i="18"/>
  <c r="CM14" i="18"/>
  <c r="CL14" i="18"/>
  <c r="CK14" i="18"/>
  <c r="CJ14" i="18"/>
  <c r="CI14" i="18"/>
  <c r="CH14" i="18"/>
  <c r="CF14" i="18"/>
  <c r="CE14" i="18"/>
  <c r="CD14" i="18"/>
  <c r="CC14" i="18"/>
  <c r="CB14" i="18"/>
  <c r="CA14" i="18"/>
  <c r="BZ14" i="18"/>
  <c r="BY14" i="18"/>
  <c r="BX14" i="18"/>
  <c r="BW14" i="18"/>
  <c r="BU14" i="18"/>
  <c r="BT14" i="18"/>
  <c r="BS14" i="18"/>
  <c r="BR14" i="18"/>
  <c r="BQ14" i="18"/>
  <c r="BP14" i="18"/>
  <c r="BO14" i="18"/>
  <c r="BN14" i="18"/>
  <c r="BM14" i="18"/>
  <c r="BL14" i="18"/>
  <c r="BJ14" i="18"/>
  <c r="BI14" i="18"/>
  <c r="BH14" i="18"/>
  <c r="BG14" i="18"/>
  <c r="BF14" i="18"/>
  <c r="BE14" i="18"/>
  <c r="BD14" i="18"/>
  <c r="BC14" i="18"/>
  <c r="BB14" i="18"/>
  <c r="BA14" i="18"/>
  <c r="AY14" i="18"/>
  <c r="AX14" i="18"/>
  <c r="AW14" i="18"/>
  <c r="AV14" i="18"/>
  <c r="AU14" i="18"/>
  <c r="AT14" i="18"/>
  <c r="AS14" i="18"/>
  <c r="AR14" i="18"/>
  <c r="AQ14" i="18"/>
  <c r="AP14" i="18"/>
  <c r="AK14" i="18"/>
  <c r="AJ14" i="18"/>
  <c r="Z14" i="18"/>
  <c r="Y14" i="18"/>
  <c r="W14" i="18"/>
  <c r="U14" i="18"/>
  <c r="T14" i="18"/>
  <c r="DM13" i="18"/>
  <c r="DL13" i="18"/>
  <c r="DK13" i="18"/>
  <c r="DJ13" i="18"/>
  <c r="DI13" i="18"/>
  <c r="DH13" i="18"/>
  <c r="DG13" i="18"/>
  <c r="DF13" i="18"/>
  <c r="DE13" i="18"/>
  <c r="DD13" i="18"/>
  <c r="DB13" i="18"/>
  <c r="DA13" i="18"/>
  <c r="CZ13" i="18"/>
  <c r="CY13" i="18"/>
  <c r="CX13" i="18"/>
  <c r="CW13" i="18"/>
  <c r="CV13" i="18"/>
  <c r="CU13" i="18"/>
  <c r="CT13" i="18"/>
  <c r="CS13" i="18"/>
  <c r="CQ13" i="18"/>
  <c r="CP13" i="18"/>
  <c r="CO13" i="18"/>
  <c r="CN13" i="18"/>
  <c r="CM13" i="18"/>
  <c r="CL13" i="18"/>
  <c r="CK13" i="18"/>
  <c r="CJ13" i="18"/>
  <c r="CI13" i="18"/>
  <c r="CH13" i="18"/>
  <c r="CF13" i="18"/>
  <c r="CE13" i="18"/>
  <c r="CD13" i="18"/>
  <c r="CC13" i="18"/>
  <c r="CB13" i="18"/>
  <c r="CA13" i="18"/>
  <c r="BZ13" i="18"/>
  <c r="BY13" i="18"/>
  <c r="BX13" i="18"/>
  <c r="BW13" i="18"/>
  <c r="BU13" i="18"/>
  <c r="BT13" i="18"/>
  <c r="BS13" i="18"/>
  <c r="BR13" i="18"/>
  <c r="BQ13" i="18"/>
  <c r="BP13" i="18"/>
  <c r="BO13" i="18"/>
  <c r="BN13" i="18"/>
  <c r="BM13" i="18"/>
  <c r="BL13" i="18"/>
  <c r="BJ13" i="18"/>
  <c r="BI13" i="18"/>
  <c r="BH13" i="18"/>
  <c r="BG13" i="18"/>
  <c r="BF13" i="18"/>
  <c r="BE13" i="18"/>
  <c r="BD13" i="18"/>
  <c r="BC13" i="18"/>
  <c r="BB13" i="18"/>
  <c r="BA13" i="18"/>
  <c r="AY13" i="18"/>
  <c r="AX13" i="18"/>
  <c r="AW13" i="18"/>
  <c r="AV13" i="18"/>
  <c r="AU13" i="18"/>
  <c r="AT13" i="18"/>
  <c r="AS13" i="18"/>
  <c r="AR13" i="18"/>
  <c r="AQ13" i="18"/>
  <c r="AP13" i="18"/>
  <c r="AK13" i="18"/>
  <c r="AJ13" i="18"/>
  <c r="Z13" i="18"/>
  <c r="Y13" i="18"/>
  <c r="W13" i="18"/>
  <c r="U13" i="18"/>
  <c r="T13" i="18"/>
  <c r="FE12" i="18"/>
  <c r="FD12" i="18"/>
  <c r="FC12" i="18"/>
  <c r="FB12" i="18"/>
  <c r="FA12" i="18"/>
  <c r="EZ12" i="18"/>
  <c r="EY12" i="18"/>
  <c r="EX12" i="18"/>
  <c r="EW12" i="18"/>
  <c r="EV12" i="18"/>
  <c r="ET12" i="18"/>
  <c r="ES12" i="18"/>
  <c r="ER12" i="18"/>
  <c r="EQ12" i="18"/>
  <c r="EP12" i="18"/>
  <c r="EO12" i="18"/>
  <c r="EN12" i="18"/>
  <c r="EM12" i="18"/>
  <c r="EL12" i="18"/>
  <c r="EK12" i="18"/>
  <c r="EI12" i="18"/>
  <c r="EH12" i="18"/>
  <c r="EG12" i="18"/>
  <c r="EF12" i="18"/>
  <c r="EE12" i="18"/>
  <c r="ED12" i="18"/>
  <c r="EC12" i="18"/>
  <c r="EB12" i="18"/>
  <c r="EA12" i="18"/>
  <c r="DZ12" i="18"/>
  <c r="DM12" i="18"/>
  <c r="DL12" i="18"/>
  <c r="DK12" i="18"/>
  <c r="DJ12" i="18"/>
  <c r="DI12" i="18"/>
  <c r="DH12" i="18"/>
  <c r="DG12" i="18"/>
  <c r="DF12" i="18"/>
  <c r="DE12" i="18"/>
  <c r="DD12" i="18"/>
  <c r="DB12" i="18"/>
  <c r="DA12" i="18"/>
  <c r="CZ12" i="18"/>
  <c r="CY12" i="18"/>
  <c r="CX12" i="18"/>
  <c r="CW12" i="18"/>
  <c r="CV12" i="18"/>
  <c r="CU12" i="18"/>
  <c r="CT12" i="18"/>
  <c r="CS12" i="18"/>
  <c r="CQ12" i="18"/>
  <c r="CP12" i="18"/>
  <c r="CO12" i="18"/>
  <c r="CN12" i="18"/>
  <c r="CM12" i="18"/>
  <c r="CL12" i="18"/>
  <c r="CK12" i="18"/>
  <c r="CJ12" i="18"/>
  <c r="CI12" i="18"/>
  <c r="CH12" i="18"/>
  <c r="CF12" i="18"/>
  <c r="CE12" i="18"/>
  <c r="CD12" i="18"/>
  <c r="CC12" i="18"/>
  <c r="CB12" i="18"/>
  <c r="CA12" i="18"/>
  <c r="BZ12" i="18"/>
  <c r="BY12" i="18"/>
  <c r="BX12" i="18"/>
  <c r="BW12" i="18"/>
  <c r="BU12" i="18"/>
  <c r="BT12" i="18"/>
  <c r="BS12" i="18"/>
  <c r="BR12" i="18"/>
  <c r="BQ12" i="18"/>
  <c r="BP12" i="18"/>
  <c r="BO12" i="18"/>
  <c r="BN12" i="18"/>
  <c r="BM12" i="18"/>
  <c r="BL12" i="18"/>
  <c r="BJ12" i="18"/>
  <c r="BI12" i="18"/>
  <c r="BH12" i="18"/>
  <c r="BG12" i="18"/>
  <c r="BF12" i="18"/>
  <c r="BE12" i="18"/>
  <c r="BD12" i="18"/>
  <c r="BC12" i="18"/>
  <c r="BB12" i="18"/>
  <c r="BA12" i="18"/>
  <c r="AY12" i="18"/>
  <c r="AX12" i="18"/>
  <c r="AW12" i="18"/>
  <c r="AV12" i="18"/>
  <c r="AU12" i="18"/>
  <c r="AT12" i="18"/>
  <c r="AS12" i="18"/>
  <c r="AR12" i="18"/>
  <c r="AQ12" i="18"/>
  <c r="AP12" i="18"/>
  <c r="AK12" i="18"/>
  <c r="AJ12" i="18"/>
  <c r="Z12" i="18"/>
  <c r="Y12" i="18"/>
  <c r="W12" i="18"/>
  <c r="U12" i="18"/>
  <c r="T12" i="18"/>
  <c r="DM11" i="18"/>
  <c r="DL11" i="18"/>
  <c r="DK11" i="18"/>
  <c r="DJ11" i="18"/>
  <c r="DI11" i="18"/>
  <c r="DH11" i="18"/>
  <c r="DG11" i="18"/>
  <c r="DF11" i="18"/>
  <c r="DE11" i="18"/>
  <c r="DD11" i="18"/>
  <c r="DB11" i="18"/>
  <c r="DA11" i="18"/>
  <c r="CZ11" i="18"/>
  <c r="CY11" i="18"/>
  <c r="CX11" i="18"/>
  <c r="CW11" i="18"/>
  <c r="CV11" i="18"/>
  <c r="CU11" i="18"/>
  <c r="CT11" i="18"/>
  <c r="CS11" i="18"/>
  <c r="CQ11" i="18"/>
  <c r="CP11" i="18"/>
  <c r="CO11" i="18"/>
  <c r="CN11" i="18"/>
  <c r="CM11" i="18"/>
  <c r="CL11" i="18"/>
  <c r="CK11" i="18"/>
  <c r="CJ11" i="18"/>
  <c r="CI11" i="18"/>
  <c r="CH11" i="18"/>
  <c r="CF11" i="18"/>
  <c r="CE11" i="18"/>
  <c r="CD11" i="18"/>
  <c r="CC11" i="18"/>
  <c r="CB11" i="18"/>
  <c r="CA11" i="18"/>
  <c r="BZ11" i="18"/>
  <c r="BY11" i="18"/>
  <c r="BX11" i="18"/>
  <c r="BW11" i="18"/>
  <c r="BU11" i="18"/>
  <c r="BT11" i="18"/>
  <c r="BS11" i="18"/>
  <c r="BR11" i="18"/>
  <c r="BQ11" i="18"/>
  <c r="BP11" i="18"/>
  <c r="BO11" i="18"/>
  <c r="BN11" i="18"/>
  <c r="BM11" i="18"/>
  <c r="BL11" i="18"/>
  <c r="BJ11" i="18"/>
  <c r="BI11" i="18"/>
  <c r="BH11" i="18"/>
  <c r="BG11" i="18"/>
  <c r="BF11" i="18"/>
  <c r="BE11" i="18"/>
  <c r="BD11" i="18"/>
  <c r="BC11" i="18"/>
  <c r="BB11" i="18"/>
  <c r="BA11" i="18"/>
  <c r="AY11" i="18"/>
  <c r="AX11" i="18"/>
  <c r="AW11" i="18"/>
  <c r="AV11" i="18"/>
  <c r="AU11" i="18"/>
  <c r="AT11" i="18"/>
  <c r="AS11" i="18"/>
  <c r="AR11" i="18"/>
  <c r="AQ11" i="18"/>
  <c r="AP11" i="18"/>
  <c r="AK11" i="18"/>
  <c r="AJ11" i="18"/>
  <c r="Z11" i="18"/>
  <c r="Y11" i="18"/>
  <c r="W11" i="18"/>
  <c r="U11" i="18"/>
  <c r="T11" i="18"/>
  <c r="DM10" i="18"/>
  <c r="DL10" i="18"/>
  <c r="DK10" i="18"/>
  <c r="DJ10" i="18"/>
  <c r="DI10" i="18"/>
  <c r="DH10" i="18"/>
  <c r="DG10" i="18"/>
  <c r="DF10" i="18"/>
  <c r="DE10" i="18"/>
  <c r="DD10" i="18"/>
  <c r="DB10" i="18"/>
  <c r="DA10" i="18"/>
  <c r="CZ10" i="18"/>
  <c r="CY10" i="18"/>
  <c r="CX10" i="18"/>
  <c r="CW10" i="18"/>
  <c r="CV10" i="18"/>
  <c r="CU10" i="18"/>
  <c r="CT10" i="18"/>
  <c r="CS10" i="18"/>
  <c r="CQ10" i="18"/>
  <c r="CP10" i="18"/>
  <c r="CO10" i="18"/>
  <c r="CN10" i="18"/>
  <c r="CM10" i="18"/>
  <c r="CL10" i="18"/>
  <c r="CK10" i="18"/>
  <c r="CJ10" i="18"/>
  <c r="CI10" i="18"/>
  <c r="CH10" i="18"/>
  <c r="CF10" i="18"/>
  <c r="CE10" i="18"/>
  <c r="CD10" i="18"/>
  <c r="CC10" i="18"/>
  <c r="CB10" i="18"/>
  <c r="CA10" i="18"/>
  <c r="BZ10" i="18"/>
  <c r="BY10" i="18"/>
  <c r="BX10" i="18"/>
  <c r="BW10" i="18"/>
  <c r="BU10" i="18"/>
  <c r="BT10" i="18"/>
  <c r="BS10" i="18"/>
  <c r="BR10" i="18"/>
  <c r="BQ10" i="18"/>
  <c r="BP10" i="18"/>
  <c r="BO10" i="18"/>
  <c r="BN10" i="18"/>
  <c r="BM10" i="18"/>
  <c r="BL10" i="18"/>
  <c r="BJ10" i="18"/>
  <c r="BI10" i="18"/>
  <c r="BH10" i="18"/>
  <c r="BG10" i="18"/>
  <c r="BF10" i="18"/>
  <c r="BE10" i="18"/>
  <c r="BD10" i="18"/>
  <c r="BC10" i="18"/>
  <c r="BB10" i="18"/>
  <c r="BA10" i="18"/>
  <c r="AY10" i="18"/>
  <c r="AX10" i="18"/>
  <c r="AW10" i="18"/>
  <c r="AV10" i="18"/>
  <c r="AU10" i="18"/>
  <c r="AT10" i="18"/>
  <c r="AS10" i="18"/>
  <c r="AR10" i="18"/>
  <c r="AQ10" i="18"/>
  <c r="AP10" i="18"/>
  <c r="AK10" i="18"/>
  <c r="AJ10" i="18"/>
  <c r="Z10" i="18"/>
  <c r="Y10" i="18"/>
  <c r="W10" i="18"/>
  <c r="U10" i="18"/>
  <c r="T10" i="18"/>
  <c r="DM9" i="18"/>
  <c r="DL9" i="18"/>
  <c r="DK9" i="18"/>
  <c r="DJ9" i="18"/>
  <c r="DI9" i="18"/>
  <c r="DH9" i="18"/>
  <c r="DG9" i="18"/>
  <c r="DF9" i="18"/>
  <c r="DE9" i="18"/>
  <c r="DD9" i="18"/>
  <c r="DB9" i="18"/>
  <c r="DA9" i="18"/>
  <c r="CZ9" i="18"/>
  <c r="CY9" i="18"/>
  <c r="CX9" i="18"/>
  <c r="CW9" i="18"/>
  <c r="CV9" i="18"/>
  <c r="CU9" i="18"/>
  <c r="CT9" i="18"/>
  <c r="CS9" i="18"/>
  <c r="CQ9" i="18"/>
  <c r="CP9" i="18"/>
  <c r="CO9" i="18"/>
  <c r="CN9" i="18"/>
  <c r="CM9" i="18"/>
  <c r="CL9" i="18"/>
  <c r="CK9" i="18"/>
  <c r="CJ9" i="18"/>
  <c r="CI9" i="18"/>
  <c r="CH9" i="18"/>
  <c r="CF9" i="18"/>
  <c r="CE9" i="18"/>
  <c r="CD9" i="18"/>
  <c r="CC9" i="18"/>
  <c r="CB9" i="18"/>
  <c r="CA9" i="18"/>
  <c r="BZ9" i="18"/>
  <c r="BY9" i="18"/>
  <c r="BX9" i="18"/>
  <c r="BW9" i="18"/>
  <c r="BU9" i="18"/>
  <c r="BT9" i="18"/>
  <c r="BS9" i="18"/>
  <c r="BR9" i="18"/>
  <c r="BQ9" i="18"/>
  <c r="BP9" i="18"/>
  <c r="BO9" i="18"/>
  <c r="BN9" i="18"/>
  <c r="BM9" i="18"/>
  <c r="BL9" i="18"/>
  <c r="BJ9" i="18"/>
  <c r="BI9" i="18"/>
  <c r="BH9" i="18"/>
  <c r="BG9" i="18"/>
  <c r="BF9" i="18"/>
  <c r="BE9" i="18"/>
  <c r="BD9" i="18"/>
  <c r="BC9" i="18"/>
  <c r="BB9" i="18"/>
  <c r="BA9" i="18"/>
  <c r="AY9" i="18"/>
  <c r="AX9" i="18"/>
  <c r="AW9" i="18"/>
  <c r="AV9" i="18"/>
  <c r="AU9" i="18"/>
  <c r="AT9" i="18"/>
  <c r="AS9" i="18"/>
  <c r="AR9" i="18"/>
  <c r="AQ9" i="18"/>
  <c r="AP9" i="18"/>
  <c r="AK9" i="18"/>
  <c r="AJ9" i="18"/>
  <c r="Z9" i="18"/>
  <c r="Y9" i="18"/>
  <c r="W9" i="18"/>
  <c r="U9" i="18"/>
  <c r="T9" i="18"/>
  <c r="DM8" i="18"/>
  <c r="DL8" i="18"/>
  <c r="DK8" i="18"/>
  <c r="DJ8" i="18"/>
  <c r="DI8" i="18"/>
  <c r="DH8" i="18"/>
  <c r="DG8" i="18"/>
  <c r="DF8" i="18"/>
  <c r="DE8" i="18"/>
  <c r="DD8" i="18"/>
  <c r="DB8" i="18"/>
  <c r="DA8" i="18"/>
  <c r="CZ8" i="18"/>
  <c r="CY8" i="18"/>
  <c r="CX8" i="18"/>
  <c r="CW8" i="18"/>
  <c r="CV8" i="18"/>
  <c r="CU8" i="18"/>
  <c r="CT8" i="18"/>
  <c r="CS8" i="18"/>
  <c r="CQ8" i="18"/>
  <c r="CP8" i="18"/>
  <c r="CO8" i="18"/>
  <c r="CN8" i="18"/>
  <c r="CM8" i="18"/>
  <c r="CL8" i="18"/>
  <c r="CK8" i="18"/>
  <c r="CJ8" i="18"/>
  <c r="CI8" i="18"/>
  <c r="CH8" i="18"/>
  <c r="CF8" i="18"/>
  <c r="CE8" i="18"/>
  <c r="CD8" i="18"/>
  <c r="CC8" i="18"/>
  <c r="CB8" i="18"/>
  <c r="CA8" i="18"/>
  <c r="BZ8" i="18"/>
  <c r="BY8" i="18"/>
  <c r="BX8" i="18"/>
  <c r="BW8" i="18"/>
  <c r="BU8" i="18"/>
  <c r="BT8" i="18"/>
  <c r="BS8" i="18"/>
  <c r="BR8" i="18"/>
  <c r="BQ8" i="18"/>
  <c r="BP8" i="18"/>
  <c r="BO8" i="18"/>
  <c r="BN8" i="18"/>
  <c r="BM8" i="18"/>
  <c r="BL8" i="18"/>
  <c r="BJ8" i="18"/>
  <c r="BI8" i="18"/>
  <c r="BH8" i="18"/>
  <c r="BG8" i="18"/>
  <c r="BF8" i="18"/>
  <c r="BE8" i="18"/>
  <c r="BD8" i="18"/>
  <c r="BC8" i="18"/>
  <c r="BB8" i="18"/>
  <c r="BA8" i="18"/>
  <c r="AY8" i="18"/>
  <c r="AX8" i="18"/>
  <c r="AW8" i="18"/>
  <c r="AV8" i="18"/>
  <c r="AU8" i="18"/>
  <c r="AT8" i="18"/>
  <c r="AS8" i="18"/>
  <c r="AR8" i="18"/>
  <c r="AQ8" i="18"/>
  <c r="AP8" i="18"/>
  <c r="AK8" i="18"/>
  <c r="AJ8" i="18"/>
  <c r="Z8" i="18"/>
  <c r="Y8" i="18"/>
  <c r="W8" i="18"/>
  <c r="U8" i="18"/>
  <c r="T8" i="18"/>
  <c r="FP7" i="18"/>
  <c r="FO7" i="18"/>
  <c r="FN7" i="18"/>
  <c r="FM7" i="18"/>
  <c r="FL7" i="18"/>
  <c r="FK7" i="18"/>
  <c r="FJ7" i="18"/>
  <c r="FI7" i="18"/>
  <c r="FH7" i="18"/>
  <c r="FG7" i="18"/>
  <c r="FE7" i="18"/>
  <c r="FD7" i="18"/>
  <c r="FC7" i="18"/>
  <c r="FB7" i="18"/>
  <c r="FA7" i="18"/>
  <c r="EZ7" i="18"/>
  <c r="EY7" i="18"/>
  <c r="EX7" i="18"/>
  <c r="EW7" i="18"/>
  <c r="EV7" i="18"/>
  <c r="ET7" i="18"/>
  <c r="ES7" i="18"/>
  <c r="ER7" i="18"/>
  <c r="EQ7" i="18"/>
  <c r="EP7" i="18"/>
  <c r="EO7" i="18"/>
  <c r="EN7" i="18"/>
  <c r="EM7" i="18"/>
  <c r="EL7" i="18"/>
  <c r="EK7" i="18"/>
  <c r="EI7" i="18"/>
  <c r="EH7" i="18"/>
  <c r="EG7" i="18"/>
  <c r="EF7" i="18"/>
  <c r="EE7" i="18"/>
  <c r="ED7" i="18"/>
  <c r="EC7" i="18"/>
  <c r="EB7" i="18"/>
  <c r="EA7" i="18"/>
  <c r="DZ7" i="18"/>
  <c r="DM7" i="18"/>
  <c r="DL7" i="18"/>
  <c r="DK7" i="18"/>
  <c r="DJ7" i="18"/>
  <c r="DI7" i="18"/>
  <c r="DH7" i="18"/>
  <c r="DG7" i="18"/>
  <c r="DF7" i="18"/>
  <c r="DE7" i="18"/>
  <c r="DD7" i="18"/>
  <c r="DB7" i="18"/>
  <c r="DA7" i="18"/>
  <c r="CZ7" i="18"/>
  <c r="CY7" i="18"/>
  <c r="CX7" i="18"/>
  <c r="CW7" i="18"/>
  <c r="CV7" i="18"/>
  <c r="CU7" i="18"/>
  <c r="CT7" i="18"/>
  <c r="CS7" i="18"/>
  <c r="CQ7" i="18"/>
  <c r="CP7" i="18"/>
  <c r="CO7" i="18"/>
  <c r="CN7" i="18"/>
  <c r="CM7" i="18"/>
  <c r="CL7" i="18"/>
  <c r="CK7" i="18"/>
  <c r="CJ7" i="18"/>
  <c r="CI7" i="18"/>
  <c r="CH7" i="18"/>
  <c r="CF7" i="18"/>
  <c r="CE7" i="18"/>
  <c r="CD7" i="18"/>
  <c r="CC7" i="18"/>
  <c r="CB7" i="18"/>
  <c r="CA7" i="18"/>
  <c r="BZ7" i="18"/>
  <c r="BY7" i="18"/>
  <c r="BX7" i="18"/>
  <c r="BW7" i="18"/>
  <c r="BJ7" i="18"/>
  <c r="BI7" i="18"/>
  <c r="BH7" i="18"/>
  <c r="BG7" i="18"/>
  <c r="BF7" i="18"/>
  <c r="BE7" i="18"/>
  <c r="BD7" i="18"/>
  <c r="BC7" i="18"/>
  <c r="BB7" i="18"/>
  <c r="BA7" i="18"/>
  <c r="AY7" i="18"/>
  <c r="AX7" i="18"/>
  <c r="AW7" i="18"/>
  <c r="AV7" i="18"/>
  <c r="AU7" i="18"/>
  <c r="AT7" i="18"/>
  <c r="AS7" i="18"/>
  <c r="AR7" i="18"/>
  <c r="AQ7" i="18"/>
  <c r="AP7" i="18"/>
  <c r="AK7" i="18"/>
  <c r="AJ7" i="18"/>
  <c r="Z7" i="18"/>
  <c r="Y7" i="18"/>
  <c r="W7" i="18"/>
  <c r="U7" i="18"/>
  <c r="T7" i="18"/>
  <c r="FP6" i="18"/>
  <c r="FO6" i="18"/>
  <c r="FN6" i="18"/>
  <c r="FM6" i="18"/>
  <c r="FL6" i="18"/>
  <c r="FK6" i="18"/>
  <c r="FJ6" i="18"/>
  <c r="FI6" i="18"/>
  <c r="FH6" i="18"/>
  <c r="FG6" i="18"/>
  <c r="FE6" i="18"/>
  <c r="FD6" i="18"/>
  <c r="FC6" i="18"/>
  <c r="FB6" i="18"/>
  <c r="FA6" i="18"/>
  <c r="EZ6" i="18"/>
  <c r="EY6" i="18"/>
  <c r="EX6" i="18"/>
  <c r="EW6" i="18"/>
  <c r="EV6" i="18"/>
  <c r="ET6" i="18"/>
  <c r="ES6" i="18"/>
  <c r="ER6" i="18"/>
  <c r="EQ6" i="18"/>
  <c r="EP6" i="18"/>
  <c r="EO6" i="18"/>
  <c r="EN6" i="18"/>
  <c r="EM6" i="18"/>
  <c r="EL6" i="18"/>
  <c r="EK6" i="18"/>
  <c r="EI6" i="18"/>
  <c r="EH6" i="18"/>
  <c r="EG6" i="18"/>
  <c r="EF6" i="18"/>
  <c r="EE6" i="18"/>
  <c r="ED6" i="18"/>
  <c r="EC6" i="18"/>
  <c r="EB6" i="18"/>
  <c r="EA6" i="18"/>
  <c r="DZ6" i="18"/>
  <c r="DM6" i="18"/>
  <c r="DL6" i="18"/>
  <c r="DK6" i="18"/>
  <c r="DJ6" i="18"/>
  <c r="DI6" i="18"/>
  <c r="DH6" i="18"/>
  <c r="DG6" i="18"/>
  <c r="DF6" i="18"/>
  <c r="DE6" i="18"/>
  <c r="DD6" i="18"/>
  <c r="DB6" i="18"/>
  <c r="DA6" i="18"/>
  <c r="CZ6" i="18"/>
  <c r="CY6" i="18"/>
  <c r="CX6" i="18"/>
  <c r="CW6" i="18"/>
  <c r="CV6" i="18"/>
  <c r="CU6" i="18"/>
  <c r="CT6" i="18"/>
  <c r="CS6" i="18"/>
  <c r="CQ6" i="18"/>
  <c r="CP6" i="18"/>
  <c r="CO6" i="18"/>
  <c r="CN6" i="18"/>
  <c r="CM6" i="18"/>
  <c r="CL6" i="18"/>
  <c r="CK6" i="18"/>
  <c r="CJ6" i="18"/>
  <c r="CI6" i="18"/>
  <c r="CH6" i="18"/>
  <c r="CF6" i="18"/>
  <c r="CE6" i="18"/>
  <c r="CD6" i="18"/>
  <c r="CC6" i="18"/>
  <c r="CB6" i="18"/>
  <c r="CA6" i="18"/>
  <c r="BZ6" i="18"/>
  <c r="BY6" i="18"/>
  <c r="BX6" i="18"/>
  <c r="BW6" i="18"/>
  <c r="BU6" i="18"/>
  <c r="BT6" i="18"/>
  <c r="BS6" i="18"/>
  <c r="BR6" i="18"/>
  <c r="BQ6" i="18"/>
  <c r="BP6" i="18"/>
  <c r="BO6" i="18"/>
  <c r="BN6" i="18"/>
  <c r="BM6" i="18"/>
  <c r="BL6" i="18"/>
  <c r="BJ6" i="18"/>
  <c r="BI6" i="18"/>
  <c r="BH6" i="18"/>
  <c r="BG6" i="18"/>
  <c r="BF6" i="18"/>
  <c r="BE6" i="18"/>
  <c r="BD6" i="18"/>
  <c r="BC6" i="18"/>
  <c r="BB6" i="18"/>
  <c r="BA6" i="18"/>
  <c r="AY6" i="18"/>
  <c r="AX6" i="18"/>
  <c r="AW6" i="18"/>
  <c r="AV6" i="18"/>
  <c r="AU6" i="18"/>
  <c r="AT6" i="18"/>
  <c r="AS6" i="18"/>
  <c r="AR6" i="18"/>
  <c r="AQ6" i="18"/>
  <c r="AP6" i="18"/>
  <c r="AK6" i="18"/>
  <c r="AJ6" i="18"/>
  <c r="Z6" i="18"/>
  <c r="Y6" i="18"/>
  <c r="W6" i="18"/>
  <c r="U6" i="18"/>
  <c r="T6" i="18"/>
  <c r="CQ5" i="18"/>
  <c r="CP5" i="18"/>
  <c r="CO5" i="18"/>
  <c r="CN5" i="18"/>
  <c r="CM5" i="18"/>
  <c r="CL5" i="18"/>
  <c r="CK5" i="18"/>
  <c r="CJ5" i="18"/>
  <c r="CI5" i="18"/>
  <c r="CH5" i="18"/>
  <c r="CF5" i="18"/>
  <c r="CE5" i="18"/>
  <c r="CD5" i="18"/>
  <c r="CC5" i="18"/>
  <c r="CB5" i="18"/>
  <c r="CA5" i="18"/>
  <c r="BZ5" i="18"/>
  <c r="BY5" i="18"/>
  <c r="BX5" i="18"/>
  <c r="BW5" i="18"/>
  <c r="BU5" i="18"/>
  <c r="BT5" i="18"/>
  <c r="BS5" i="18"/>
  <c r="BR5" i="18"/>
  <c r="BQ5" i="18"/>
  <c r="BP5" i="18"/>
  <c r="BO5" i="18"/>
  <c r="BN5" i="18"/>
  <c r="BM5" i="18"/>
  <c r="BL5" i="18"/>
  <c r="BJ5" i="18"/>
  <c r="BI5" i="18"/>
  <c r="BH5" i="18"/>
  <c r="BG5" i="18"/>
  <c r="BF5" i="18"/>
  <c r="BE5" i="18"/>
  <c r="BD5" i="18"/>
  <c r="BC5" i="18"/>
  <c r="BB5" i="18"/>
  <c r="BA5" i="18"/>
  <c r="AY5" i="18"/>
  <c r="AX5" i="18"/>
  <c r="AW5" i="18"/>
  <c r="AV5" i="18"/>
  <c r="AU5" i="18"/>
  <c r="AT5" i="18"/>
  <c r="AS5" i="18"/>
  <c r="AR5" i="18"/>
  <c r="AQ5" i="18"/>
  <c r="AP5" i="18"/>
  <c r="AK5" i="18"/>
  <c r="AJ5" i="18"/>
  <c r="Z5" i="18"/>
  <c r="Y5" i="18"/>
  <c r="W5" i="18"/>
  <c r="U5" i="18"/>
  <c r="T5" i="18"/>
  <c r="FE4" i="18"/>
  <c r="FD4" i="18"/>
  <c r="FC4" i="18"/>
  <c r="FB4" i="18"/>
  <c r="FA4" i="18"/>
  <c r="EZ4" i="18"/>
  <c r="EY4" i="18"/>
  <c r="EX4" i="18"/>
  <c r="EW4" i="18"/>
  <c r="EV4" i="18"/>
  <c r="ET4" i="18"/>
  <c r="ES4" i="18"/>
  <c r="ER4" i="18"/>
  <c r="EQ4" i="18"/>
  <c r="EP4" i="18"/>
  <c r="EO4" i="18"/>
  <c r="EN4" i="18"/>
  <c r="EM4" i="18"/>
  <c r="EL4" i="18"/>
  <c r="EK4" i="18"/>
  <c r="EI4" i="18"/>
  <c r="EH4" i="18"/>
  <c r="EG4" i="18"/>
  <c r="EF4" i="18"/>
  <c r="EE4" i="18"/>
  <c r="ED4" i="18"/>
  <c r="EC4" i="18"/>
  <c r="EB4" i="18"/>
  <c r="EA4" i="18"/>
  <c r="DZ4" i="18"/>
  <c r="DX4" i="18"/>
  <c r="DW4" i="18"/>
  <c r="DV4" i="18"/>
  <c r="DU4" i="18"/>
  <c r="DT4" i="18"/>
  <c r="DS4" i="18"/>
  <c r="DR4" i="18"/>
  <c r="DQ4" i="18"/>
  <c r="DP4" i="18"/>
  <c r="DO4" i="18"/>
  <c r="DM4" i="18"/>
  <c r="DL4" i="18"/>
  <c r="DK4" i="18"/>
  <c r="DJ4" i="18"/>
  <c r="DI4" i="18"/>
  <c r="DH4" i="18"/>
  <c r="DG4" i="18"/>
  <c r="DF4" i="18"/>
  <c r="DE4" i="18"/>
  <c r="DD4" i="18"/>
  <c r="CQ4" i="18"/>
  <c r="CP4" i="18"/>
  <c r="CO4" i="18"/>
  <c r="CN4" i="18"/>
  <c r="CM4" i="18"/>
  <c r="CL4" i="18"/>
  <c r="CK4" i="18"/>
  <c r="CJ4" i="18"/>
  <c r="CI4" i="18"/>
  <c r="CH4" i="18"/>
  <c r="CF4" i="18"/>
  <c r="CE4" i="18"/>
  <c r="CD4" i="18"/>
  <c r="CC4" i="18"/>
  <c r="CB4" i="18"/>
  <c r="CA4" i="18"/>
  <c r="BZ4" i="18"/>
  <c r="BY4" i="18"/>
  <c r="BX4" i="18"/>
  <c r="BW4" i="18"/>
  <c r="BU4" i="18"/>
  <c r="BT4" i="18"/>
  <c r="BS4" i="18"/>
  <c r="BR4" i="18"/>
  <c r="BQ4" i="18"/>
  <c r="BP4" i="18"/>
  <c r="BO4" i="18"/>
  <c r="BN4" i="18"/>
  <c r="BM4" i="18"/>
  <c r="BL4" i="18"/>
  <c r="BJ4" i="18"/>
  <c r="BI4" i="18"/>
  <c r="BH4" i="18"/>
  <c r="BG4" i="18"/>
  <c r="BF4" i="18"/>
  <c r="BE4" i="18"/>
  <c r="BD4" i="18"/>
  <c r="BC4" i="18"/>
  <c r="BB4" i="18"/>
  <c r="BA4" i="18"/>
  <c r="AY4" i="18"/>
  <c r="AX4" i="18"/>
  <c r="AW4" i="18"/>
  <c r="AV4" i="18"/>
  <c r="AU4" i="18"/>
  <c r="AT4" i="18"/>
  <c r="AS4" i="18"/>
  <c r="AR4" i="18"/>
  <c r="AQ4" i="18"/>
  <c r="AP4" i="18"/>
  <c r="AK4" i="18"/>
  <c r="AJ4" i="18"/>
  <c r="Z4" i="18"/>
  <c r="Y4" i="18"/>
  <c r="W4" i="18"/>
  <c r="U4" i="18"/>
  <c r="T4" i="18"/>
  <c r="DM29" i="17"/>
  <c r="DL29" i="17"/>
  <c r="DK29" i="17"/>
  <c r="DJ29" i="17"/>
  <c r="DI29" i="17"/>
  <c r="DH29" i="17"/>
  <c r="DG29" i="17"/>
  <c r="DF29" i="17"/>
  <c r="DE29" i="17"/>
  <c r="DD29" i="17"/>
  <c r="DB29" i="17"/>
  <c r="DA29" i="17"/>
  <c r="CZ29" i="17"/>
  <c r="CY29" i="17"/>
  <c r="CX29" i="17"/>
  <c r="CW29" i="17"/>
  <c r="CV29" i="17"/>
  <c r="CU29" i="17"/>
  <c r="CT29" i="17"/>
  <c r="CS29" i="17"/>
  <c r="CQ29" i="17"/>
  <c r="CP29" i="17"/>
  <c r="CO29" i="17"/>
  <c r="CN29" i="17"/>
  <c r="CM29" i="17"/>
  <c r="CL29" i="17"/>
  <c r="CK29" i="17"/>
  <c r="CJ29" i="17"/>
  <c r="CI29" i="17"/>
  <c r="CH29" i="17"/>
  <c r="CF29" i="17"/>
  <c r="CE29" i="17"/>
  <c r="CD29" i="17"/>
  <c r="CC29" i="17"/>
  <c r="CB29" i="17"/>
  <c r="CA29" i="17"/>
  <c r="BZ29" i="17"/>
  <c r="BY29" i="17"/>
  <c r="BX29" i="17"/>
  <c r="BW29" i="17"/>
  <c r="BU29" i="17"/>
  <c r="BT29" i="17"/>
  <c r="BS29" i="17"/>
  <c r="BR29" i="17"/>
  <c r="BQ29" i="17"/>
  <c r="BP29" i="17"/>
  <c r="BO29" i="17"/>
  <c r="BN29" i="17"/>
  <c r="BM29" i="17"/>
  <c r="BL29" i="17"/>
  <c r="BJ29" i="17"/>
  <c r="BI29" i="17"/>
  <c r="BH29" i="17"/>
  <c r="BG29" i="17"/>
  <c r="BF29" i="17"/>
  <c r="BE29" i="17"/>
  <c r="BD29" i="17"/>
  <c r="BC29" i="17"/>
  <c r="BB29" i="17"/>
  <c r="BA29" i="17"/>
  <c r="AY29" i="17"/>
  <c r="AX29" i="17"/>
  <c r="AW29" i="17"/>
  <c r="AV29" i="17"/>
  <c r="AU29" i="17"/>
  <c r="AT29" i="17"/>
  <c r="AS29" i="17"/>
  <c r="AR29" i="17"/>
  <c r="AQ29" i="17"/>
  <c r="AP29" i="17"/>
  <c r="AK29" i="17"/>
  <c r="AJ29" i="17"/>
  <c r="Z29" i="17"/>
  <c r="Y29" i="17"/>
  <c r="P29" i="17"/>
  <c r="O29" i="17"/>
  <c r="J29" i="17"/>
  <c r="DM28" i="17"/>
  <c r="DL28" i="17"/>
  <c r="DK28" i="17"/>
  <c r="DJ28" i="17"/>
  <c r="DI28" i="17"/>
  <c r="DH28" i="17"/>
  <c r="DG28" i="17"/>
  <c r="DF28" i="17"/>
  <c r="DE28" i="17"/>
  <c r="DD28" i="17"/>
  <c r="DB28" i="17"/>
  <c r="DA28" i="17"/>
  <c r="CZ28" i="17"/>
  <c r="CY28" i="17"/>
  <c r="CX28" i="17"/>
  <c r="CW28" i="17"/>
  <c r="CV28" i="17"/>
  <c r="CU28" i="17"/>
  <c r="CT28" i="17"/>
  <c r="CS28" i="17"/>
  <c r="CQ28" i="17"/>
  <c r="CP28" i="17"/>
  <c r="CO28" i="17"/>
  <c r="CN28" i="17"/>
  <c r="CM28" i="17"/>
  <c r="CL28" i="17"/>
  <c r="CK28" i="17"/>
  <c r="CJ28" i="17"/>
  <c r="CI28" i="17"/>
  <c r="CH28" i="17"/>
  <c r="CF28" i="17"/>
  <c r="CE28" i="17"/>
  <c r="CD28" i="17"/>
  <c r="CC28" i="17"/>
  <c r="CB28" i="17"/>
  <c r="CA28" i="17"/>
  <c r="BZ28" i="17"/>
  <c r="BY28" i="17"/>
  <c r="BX28" i="17"/>
  <c r="BW28" i="17"/>
  <c r="BU28" i="17"/>
  <c r="BT28" i="17"/>
  <c r="BS28" i="17"/>
  <c r="BR28" i="17"/>
  <c r="BQ28" i="17"/>
  <c r="BP28" i="17"/>
  <c r="BO28" i="17"/>
  <c r="BN28" i="17"/>
  <c r="BM28" i="17"/>
  <c r="BL28" i="17"/>
  <c r="BJ28" i="17"/>
  <c r="BI28" i="17"/>
  <c r="BH28" i="17"/>
  <c r="BG28" i="17"/>
  <c r="BF28" i="17"/>
  <c r="BE28" i="17"/>
  <c r="BD28" i="17"/>
  <c r="BC28" i="17"/>
  <c r="BB28" i="17"/>
  <c r="BA28" i="17"/>
  <c r="AY28" i="17"/>
  <c r="AX28" i="17"/>
  <c r="AW28" i="17"/>
  <c r="AV28" i="17"/>
  <c r="AU28" i="17"/>
  <c r="AT28" i="17"/>
  <c r="AS28" i="17"/>
  <c r="AR28" i="17"/>
  <c r="AQ28" i="17"/>
  <c r="AP28" i="17"/>
  <c r="AK28" i="17"/>
  <c r="AJ28" i="17"/>
  <c r="Z28" i="17"/>
  <c r="Y28" i="17"/>
  <c r="P28" i="17"/>
  <c r="O28" i="17"/>
  <c r="J28" i="17"/>
  <c r="DM27" i="17"/>
  <c r="DL27" i="17"/>
  <c r="DK27" i="17"/>
  <c r="DJ27" i="17"/>
  <c r="DI27" i="17"/>
  <c r="DH27" i="17"/>
  <c r="DG27" i="17"/>
  <c r="DF27" i="17"/>
  <c r="DE27" i="17"/>
  <c r="DD27" i="17"/>
  <c r="DB27" i="17"/>
  <c r="DA27" i="17"/>
  <c r="CZ27" i="17"/>
  <c r="CY27" i="17"/>
  <c r="CX27" i="17"/>
  <c r="CW27" i="17"/>
  <c r="CV27" i="17"/>
  <c r="CU27" i="17"/>
  <c r="CT27" i="17"/>
  <c r="CS27" i="17"/>
  <c r="CQ27" i="17"/>
  <c r="CP27" i="17"/>
  <c r="CO27" i="17"/>
  <c r="CN27" i="17"/>
  <c r="CM27" i="17"/>
  <c r="CL27" i="17"/>
  <c r="CK27" i="17"/>
  <c r="CJ27" i="17"/>
  <c r="CI27" i="17"/>
  <c r="CH27" i="17"/>
  <c r="CF27" i="17"/>
  <c r="CE27" i="17"/>
  <c r="CD27" i="17"/>
  <c r="CC27" i="17"/>
  <c r="CB27" i="17"/>
  <c r="CA27" i="17"/>
  <c r="BZ27" i="17"/>
  <c r="BY27" i="17"/>
  <c r="BX27" i="17"/>
  <c r="BW27" i="17"/>
  <c r="BU27" i="17"/>
  <c r="BT27" i="17"/>
  <c r="BS27" i="17"/>
  <c r="BR27" i="17"/>
  <c r="BQ27" i="17"/>
  <c r="BP27" i="17"/>
  <c r="BO27" i="17"/>
  <c r="BN27" i="17"/>
  <c r="BM27" i="17"/>
  <c r="BL27" i="17"/>
  <c r="BJ27" i="17"/>
  <c r="BI27" i="17"/>
  <c r="BH27" i="17"/>
  <c r="BG27" i="17"/>
  <c r="BF27" i="17"/>
  <c r="BE27" i="17"/>
  <c r="BD27" i="17"/>
  <c r="BC27" i="17"/>
  <c r="BB27" i="17"/>
  <c r="BA27" i="17"/>
  <c r="AY27" i="17"/>
  <c r="AX27" i="17"/>
  <c r="AW27" i="17"/>
  <c r="AV27" i="17"/>
  <c r="AU27" i="17"/>
  <c r="AT27" i="17"/>
  <c r="AS27" i="17"/>
  <c r="AR27" i="17"/>
  <c r="AQ27" i="17"/>
  <c r="AP27" i="17"/>
  <c r="AK27" i="17"/>
  <c r="AJ27" i="17"/>
  <c r="Z27" i="17"/>
  <c r="Y27" i="17"/>
  <c r="P27" i="17"/>
  <c r="O27" i="17"/>
  <c r="J27" i="17"/>
  <c r="DM26" i="17"/>
  <c r="DL26" i="17"/>
  <c r="DK26" i="17"/>
  <c r="DJ26" i="17"/>
  <c r="DI26" i="17"/>
  <c r="DH26" i="17"/>
  <c r="DG26" i="17"/>
  <c r="DF26" i="17"/>
  <c r="DE26" i="17"/>
  <c r="DD26" i="17"/>
  <c r="DB26" i="17"/>
  <c r="DA26" i="17"/>
  <c r="CZ26" i="17"/>
  <c r="CY26" i="17"/>
  <c r="CX26" i="17"/>
  <c r="CW26" i="17"/>
  <c r="CV26" i="17"/>
  <c r="CU26" i="17"/>
  <c r="CT26" i="17"/>
  <c r="CS26" i="17"/>
  <c r="CQ26" i="17"/>
  <c r="CP26" i="17"/>
  <c r="CO26" i="17"/>
  <c r="CN26" i="17"/>
  <c r="CM26" i="17"/>
  <c r="CL26" i="17"/>
  <c r="CK26" i="17"/>
  <c r="CJ26" i="17"/>
  <c r="CI26" i="17"/>
  <c r="CH26" i="17"/>
  <c r="CF26" i="17"/>
  <c r="CE26" i="17"/>
  <c r="CD26" i="17"/>
  <c r="CC26" i="17"/>
  <c r="CB26" i="17"/>
  <c r="CA26" i="17"/>
  <c r="BZ26" i="17"/>
  <c r="BY26" i="17"/>
  <c r="BX26" i="17"/>
  <c r="BW26" i="17"/>
  <c r="BU26" i="17"/>
  <c r="BT26" i="17"/>
  <c r="BS26" i="17"/>
  <c r="BR26" i="17"/>
  <c r="BQ26" i="17"/>
  <c r="BP26" i="17"/>
  <c r="BO26" i="17"/>
  <c r="BN26" i="17"/>
  <c r="BM26" i="17"/>
  <c r="BL26" i="17"/>
  <c r="BJ26" i="17"/>
  <c r="BI26" i="17"/>
  <c r="BH26" i="17"/>
  <c r="BG26" i="17"/>
  <c r="BF26" i="17"/>
  <c r="BE26" i="17"/>
  <c r="BD26" i="17"/>
  <c r="BC26" i="17"/>
  <c r="BB26" i="17"/>
  <c r="BA26" i="17"/>
  <c r="AY26" i="17"/>
  <c r="AX26" i="17"/>
  <c r="AW26" i="17"/>
  <c r="AV26" i="17"/>
  <c r="AU26" i="17"/>
  <c r="AT26" i="17"/>
  <c r="AS26" i="17"/>
  <c r="AR26" i="17"/>
  <c r="AQ26" i="17"/>
  <c r="AP26" i="17"/>
  <c r="AK26" i="17"/>
  <c r="AJ26" i="17"/>
  <c r="Z26" i="17"/>
  <c r="Y26" i="17"/>
  <c r="P26" i="17"/>
  <c r="O26" i="17"/>
  <c r="J26" i="17"/>
  <c r="DM25" i="17"/>
  <c r="DL25" i="17"/>
  <c r="DK25" i="17"/>
  <c r="DJ25" i="17"/>
  <c r="DI25" i="17"/>
  <c r="DH25" i="17"/>
  <c r="DG25" i="17"/>
  <c r="DF25" i="17"/>
  <c r="DE25" i="17"/>
  <c r="DD25" i="17"/>
  <c r="DB25" i="17"/>
  <c r="DA25" i="17"/>
  <c r="CZ25" i="17"/>
  <c r="CY25" i="17"/>
  <c r="CX25" i="17"/>
  <c r="CW25" i="17"/>
  <c r="CV25" i="17"/>
  <c r="CU25" i="17"/>
  <c r="CT25" i="17"/>
  <c r="CS25" i="17"/>
  <c r="CQ25" i="17"/>
  <c r="CP25" i="17"/>
  <c r="CO25" i="17"/>
  <c r="CN25" i="17"/>
  <c r="CM25" i="17"/>
  <c r="CL25" i="17"/>
  <c r="CK25" i="17"/>
  <c r="CJ25" i="17"/>
  <c r="CI25" i="17"/>
  <c r="CH25" i="17"/>
  <c r="CF25" i="17"/>
  <c r="CE25" i="17"/>
  <c r="CD25" i="17"/>
  <c r="CC25" i="17"/>
  <c r="CB25" i="17"/>
  <c r="CA25" i="17"/>
  <c r="BZ25" i="17"/>
  <c r="BY25" i="17"/>
  <c r="BX25" i="17"/>
  <c r="BW25" i="17"/>
  <c r="BU25" i="17"/>
  <c r="BT25" i="17"/>
  <c r="BS25" i="17"/>
  <c r="BR25" i="17"/>
  <c r="BQ25" i="17"/>
  <c r="BP25" i="17"/>
  <c r="BO25" i="17"/>
  <c r="BN25" i="17"/>
  <c r="BM25" i="17"/>
  <c r="BL25" i="17"/>
  <c r="BJ25" i="17"/>
  <c r="BI25" i="17"/>
  <c r="BH25" i="17"/>
  <c r="BG25" i="17"/>
  <c r="BF25" i="17"/>
  <c r="BE25" i="17"/>
  <c r="BD25" i="17"/>
  <c r="BC25" i="17"/>
  <c r="BB25" i="17"/>
  <c r="BA25" i="17"/>
  <c r="AY25" i="17"/>
  <c r="AX25" i="17"/>
  <c r="AW25" i="17"/>
  <c r="AV25" i="17"/>
  <c r="AU25" i="17"/>
  <c r="AT25" i="17"/>
  <c r="AS25" i="17"/>
  <c r="AR25" i="17"/>
  <c r="AQ25" i="17"/>
  <c r="AP25" i="17"/>
  <c r="AK25" i="17"/>
  <c r="AJ25" i="17"/>
  <c r="Z25" i="17"/>
  <c r="Y25" i="17"/>
  <c r="P25" i="17"/>
  <c r="O25" i="17"/>
  <c r="J25" i="17"/>
  <c r="DM24" i="17"/>
  <c r="DL24" i="17"/>
  <c r="DK24" i="17"/>
  <c r="DJ24" i="17"/>
  <c r="DI24" i="17"/>
  <c r="DH24" i="17"/>
  <c r="DG24" i="17"/>
  <c r="DF24" i="17"/>
  <c r="DE24" i="17"/>
  <c r="DD24" i="17"/>
  <c r="DB24" i="17"/>
  <c r="DA24" i="17"/>
  <c r="CZ24" i="17"/>
  <c r="CY24" i="17"/>
  <c r="CX24" i="17"/>
  <c r="CW24" i="17"/>
  <c r="CV24" i="17"/>
  <c r="CU24" i="17"/>
  <c r="CT24" i="17"/>
  <c r="CS24" i="17"/>
  <c r="CQ24" i="17"/>
  <c r="CP24" i="17"/>
  <c r="CO24" i="17"/>
  <c r="CN24" i="17"/>
  <c r="CM24" i="17"/>
  <c r="CL24" i="17"/>
  <c r="CK24" i="17"/>
  <c r="CJ24" i="17"/>
  <c r="CI24" i="17"/>
  <c r="CH24" i="17"/>
  <c r="CF24" i="17"/>
  <c r="CE24" i="17"/>
  <c r="CD24" i="17"/>
  <c r="CC24" i="17"/>
  <c r="CB24" i="17"/>
  <c r="CA24" i="17"/>
  <c r="BZ24" i="17"/>
  <c r="BY24" i="17"/>
  <c r="BX24" i="17"/>
  <c r="BW24" i="17"/>
  <c r="BU24" i="17"/>
  <c r="BT24" i="17"/>
  <c r="BS24" i="17"/>
  <c r="BR24" i="17"/>
  <c r="BQ24" i="17"/>
  <c r="BP24" i="17"/>
  <c r="BO24" i="17"/>
  <c r="BN24" i="17"/>
  <c r="BM24" i="17"/>
  <c r="BL24" i="17"/>
  <c r="BJ24" i="17"/>
  <c r="BI24" i="17"/>
  <c r="BH24" i="17"/>
  <c r="BG24" i="17"/>
  <c r="BF24" i="17"/>
  <c r="BE24" i="17"/>
  <c r="BD24" i="17"/>
  <c r="BC24" i="17"/>
  <c r="BB24" i="17"/>
  <c r="BA24" i="17"/>
  <c r="AY24" i="17"/>
  <c r="AX24" i="17"/>
  <c r="AW24" i="17"/>
  <c r="AV24" i="17"/>
  <c r="AU24" i="17"/>
  <c r="AT24" i="17"/>
  <c r="AS24" i="17"/>
  <c r="AR24" i="17"/>
  <c r="AQ24" i="17"/>
  <c r="AP24" i="17"/>
  <c r="AK24" i="17"/>
  <c r="AJ24" i="17"/>
  <c r="Z24" i="17"/>
  <c r="Y24" i="17"/>
  <c r="P24" i="17"/>
  <c r="O24" i="17"/>
  <c r="J24" i="17"/>
  <c r="DM23" i="17"/>
  <c r="DL23" i="17"/>
  <c r="DK23" i="17"/>
  <c r="DJ23" i="17"/>
  <c r="DI23" i="17"/>
  <c r="DH23" i="17"/>
  <c r="DG23" i="17"/>
  <c r="DF23" i="17"/>
  <c r="DE23" i="17"/>
  <c r="DD23" i="17"/>
  <c r="DB23" i="17"/>
  <c r="DA23" i="17"/>
  <c r="CZ23" i="17"/>
  <c r="CY23" i="17"/>
  <c r="CX23" i="17"/>
  <c r="CW23" i="17"/>
  <c r="CV23" i="17"/>
  <c r="CU23" i="17"/>
  <c r="CT23" i="17"/>
  <c r="CS23" i="17"/>
  <c r="CQ23" i="17"/>
  <c r="CP23" i="17"/>
  <c r="CO23" i="17"/>
  <c r="CN23" i="17"/>
  <c r="CM23" i="17"/>
  <c r="CL23" i="17"/>
  <c r="CK23" i="17"/>
  <c r="CJ23" i="17"/>
  <c r="CI23" i="17"/>
  <c r="CH23" i="17"/>
  <c r="CF23" i="17"/>
  <c r="CE23" i="17"/>
  <c r="CD23" i="17"/>
  <c r="CC23" i="17"/>
  <c r="CB23" i="17"/>
  <c r="CA23" i="17"/>
  <c r="BZ23" i="17"/>
  <c r="BY23" i="17"/>
  <c r="BX23" i="17"/>
  <c r="BW23" i="17"/>
  <c r="BU23" i="17"/>
  <c r="BT23" i="17"/>
  <c r="BS23" i="17"/>
  <c r="BR23" i="17"/>
  <c r="BQ23" i="17"/>
  <c r="BP23" i="17"/>
  <c r="BO23" i="17"/>
  <c r="BN23" i="17"/>
  <c r="BM23" i="17"/>
  <c r="BL23" i="17"/>
  <c r="BJ23" i="17"/>
  <c r="BI23" i="17"/>
  <c r="BH23" i="17"/>
  <c r="BG23" i="17"/>
  <c r="BF23" i="17"/>
  <c r="BE23" i="17"/>
  <c r="BD23" i="17"/>
  <c r="BC23" i="17"/>
  <c r="BB23" i="17"/>
  <c r="BA23" i="17"/>
  <c r="AY23" i="17"/>
  <c r="AX23" i="17"/>
  <c r="AW23" i="17"/>
  <c r="AV23" i="17"/>
  <c r="AU23" i="17"/>
  <c r="AT23" i="17"/>
  <c r="AS23" i="17"/>
  <c r="AR23" i="17"/>
  <c r="AQ23" i="17"/>
  <c r="AP23" i="17"/>
  <c r="AK23" i="17"/>
  <c r="AJ23" i="17"/>
  <c r="Z23" i="17"/>
  <c r="Y23" i="17"/>
  <c r="P23" i="17"/>
  <c r="O23" i="17"/>
  <c r="J23" i="17"/>
  <c r="DM22" i="17"/>
  <c r="DL22" i="17"/>
  <c r="DK22" i="17"/>
  <c r="DJ22" i="17"/>
  <c r="DI22" i="17"/>
  <c r="DH22" i="17"/>
  <c r="DG22" i="17"/>
  <c r="DF22" i="17"/>
  <c r="DE22" i="17"/>
  <c r="DD22" i="17"/>
  <c r="DB22" i="17"/>
  <c r="DA22" i="17"/>
  <c r="CZ22" i="17"/>
  <c r="CY22" i="17"/>
  <c r="CX22" i="17"/>
  <c r="CW22" i="17"/>
  <c r="CV22" i="17"/>
  <c r="CU22" i="17"/>
  <c r="CT22" i="17"/>
  <c r="CS22" i="17"/>
  <c r="CQ22" i="17"/>
  <c r="CP22" i="17"/>
  <c r="CO22" i="17"/>
  <c r="CN22" i="17"/>
  <c r="CM22" i="17"/>
  <c r="CL22" i="17"/>
  <c r="CK22" i="17"/>
  <c r="CJ22" i="17"/>
  <c r="CI22" i="17"/>
  <c r="CH22" i="17"/>
  <c r="CF22" i="17"/>
  <c r="CE22" i="17"/>
  <c r="CD22" i="17"/>
  <c r="CC22" i="17"/>
  <c r="CB22" i="17"/>
  <c r="CA22" i="17"/>
  <c r="BZ22" i="17"/>
  <c r="BY22" i="17"/>
  <c r="BX22" i="17"/>
  <c r="BW22" i="17"/>
  <c r="BU22" i="17"/>
  <c r="BT22" i="17"/>
  <c r="BS22" i="17"/>
  <c r="BR22" i="17"/>
  <c r="BQ22" i="17"/>
  <c r="BP22" i="17"/>
  <c r="BO22" i="17"/>
  <c r="BN22" i="17"/>
  <c r="BM22" i="17"/>
  <c r="BL22" i="17"/>
  <c r="BJ22" i="17"/>
  <c r="BI22" i="17"/>
  <c r="BH22" i="17"/>
  <c r="BG22" i="17"/>
  <c r="BF22" i="17"/>
  <c r="BE22" i="17"/>
  <c r="BD22" i="17"/>
  <c r="BC22" i="17"/>
  <c r="BB22" i="17"/>
  <c r="BA22" i="17"/>
  <c r="AY22" i="17"/>
  <c r="AX22" i="17"/>
  <c r="AW22" i="17"/>
  <c r="AV22" i="17"/>
  <c r="AU22" i="17"/>
  <c r="AT22" i="17"/>
  <c r="AS22" i="17"/>
  <c r="AR22" i="17"/>
  <c r="AQ22" i="17"/>
  <c r="AP22" i="17"/>
  <c r="AK22" i="17"/>
  <c r="AJ22" i="17"/>
  <c r="Z22" i="17"/>
  <c r="Y22" i="17"/>
  <c r="P22" i="17"/>
  <c r="O22" i="17"/>
  <c r="J22" i="17"/>
  <c r="DM21" i="17"/>
  <c r="DL21" i="17"/>
  <c r="DK21" i="17"/>
  <c r="DJ21" i="17"/>
  <c r="DI21" i="17"/>
  <c r="DH21" i="17"/>
  <c r="DG21" i="17"/>
  <c r="DF21" i="17"/>
  <c r="DE21" i="17"/>
  <c r="DD21" i="17"/>
  <c r="DB21" i="17"/>
  <c r="DA21" i="17"/>
  <c r="CZ21" i="17"/>
  <c r="CY21" i="17"/>
  <c r="CX21" i="17"/>
  <c r="CW21" i="17"/>
  <c r="CV21" i="17"/>
  <c r="CU21" i="17"/>
  <c r="CT21" i="17"/>
  <c r="CS21" i="17"/>
  <c r="CQ21" i="17"/>
  <c r="CP21" i="17"/>
  <c r="CO21" i="17"/>
  <c r="CN21" i="17"/>
  <c r="CM21" i="17"/>
  <c r="CL21" i="17"/>
  <c r="CK21" i="17"/>
  <c r="CJ21" i="17"/>
  <c r="CI21" i="17"/>
  <c r="CH21" i="17"/>
  <c r="CF21" i="17"/>
  <c r="CE21" i="17"/>
  <c r="CD21" i="17"/>
  <c r="CC21" i="17"/>
  <c r="CB21" i="17"/>
  <c r="CA21" i="17"/>
  <c r="BZ21" i="17"/>
  <c r="BY21" i="17"/>
  <c r="BX21" i="17"/>
  <c r="BW21" i="17"/>
  <c r="BU21" i="17"/>
  <c r="BT21" i="17"/>
  <c r="BS21" i="17"/>
  <c r="BR21" i="17"/>
  <c r="BQ21" i="17"/>
  <c r="BP21" i="17"/>
  <c r="BO21" i="17"/>
  <c r="BN21" i="17"/>
  <c r="BM21" i="17"/>
  <c r="BL21" i="17"/>
  <c r="BJ21" i="17"/>
  <c r="BI21" i="17"/>
  <c r="BH21" i="17"/>
  <c r="BG21" i="17"/>
  <c r="BF21" i="17"/>
  <c r="BE21" i="17"/>
  <c r="BD21" i="17"/>
  <c r="BC21" i="17"/>
  <c r="BB21" i="17"/>
  <c r="BA21" i="17"/>
  <c r="AY21" i="17"/>
  <c r="AX21" i="17"/>
  <c r="AW21" i="17"/>
  <c r="AV21" i="17"/>
  <c r="AU21" i="17"/>
  <c r="AT21" i="17"/>
  <c r="AS21" i="17"/>
  <c r="AR21" i="17"/>
  <c r="AQ21" i="17"/>
  <c r="AP21" i="17"/>
  <c r="AK21" i="17"/>
  <c r="AJ21" i="17"/>
  <c r="Z21" i="17"/>
  <c r="Y21" i="17"/>
  <c r="P21" i="17"/>
  <c r="O21" i="17"/>
  <c r="J21" i="17"/>
  <c r="DM20" i="17"/>
  <c r="DL20" i="17"/>
  <c r="DK20" i="17"/>
  <c r="DJ20" i="17"/>
  <c r="DI20" i="17"/>
  <c r="DH20" i="17"/>
  <c r="DG20" i="17"/>
  <c r="DF20" i="17"/>
  <c r="DE20" i="17"/>
  <c r="DD20" i="17"/>
  <c r="DB20" i="17"/>
  <c r="DA20" i="17"/>
  <c r="CZ20" i="17"/>
  <c r="CY20" i="17"/>
  <c r="CX20" i="17"/>
  <c r="CW20" i="17"/>
  <c r="CV20" i="17"/>
  <c r="CU20" i="17"/>
  <c r="CT20" i="17"/>
  <c r="CS20" i="17"/>
  <c r="CQ20" i="17"/>
  <c r="CP20" i="17"/>
  <c r="CO20" i="17"/>
  <c r="CN20" i="17"/>
  <c r="CM20" i="17"/>
  <c r="CL20" i="17"/>
  <c r="CK20" i="17"/>
  <c r="CJ20" i="17"/>
  <c r="CI20" i="17"/>
  <c r="CH20" i="17"/>
  <c r="CF20" i="17"/>
  <c r="CE20" i="17"/>
  <c r="CD20" i="17"/>
  <c r="CC20" i="17"/>
  <c r="CB20" i="17"/>
  <c r="CA20" i="17"/>
  <c r="BZ20" i="17"/>
  <c r="BY20" i="17"/>
  <c r="BX20" i="17"/>
  <c r="BW20" i="17"/>
  <c r="BU20" i="17"/>
  <c r="BT20" i="17"/>
  <c r="BS20" i="17"/>
  <c r="BR20" i="17"/>
  <c r="BQ20" i="17"/>
  <c r="BP20" i="17"/>
  <c r="BO20" i="17"/>
  <c r="BN20" i="17"/>
  <c r="BM20" i="17"/>
  <c r="BL20" i="17"/>
  <c r="BJ20" i="17"/>
  <c r="BI20" i="17"/>
  <c r="BH20" i="17"/>
  <c r="BG20" i="17"/>
  <c r="BF20" i="17"/>
  <c r="BE20" i="17"/>
  <c r="BD20" i="17"/>
  <c r="BC20" i="17"/>
  <c r="BB20" i="17"/>
  <c r="BA20" i="17"/>
  <c r="AY20" i="17"/>
  <c r="AX20" i="17"/>
  <c r="AW20" i="17"/>
  <c r="AV20" i="17"/>
  <c r="AU20" i="17"/>
  <c r="AT20" i="17"/>
  <c r="AS20" i="17"/>
  <c r="AR20" i="17"/>
  <c r="AQ20" i="17"/>
  <c r="AP20" i="17"/>
  <c r="AK20" i="17"/>
  <c r="AJ20" i="17"/>
  <c r="Z20" i="17"/>
  <c r="Y20" i="17"/>
  <c r="P20" i="17"/>
  <c r="O20" i="17"/>
  <c r="J20" i="17"/>
  <c r="DM19" i="17"/>
  <c r="DL19" i="17"/>
  <c r="DK19" i="17"/>
  <c r="DJ19" i="17"/>
  <c r="DI19" i="17"/>
  <c r="DH19" i="17"/>
  <c r="DG19" i="17"/>
  <c r="DF19" i="17"/>
  <c r="DE19" i="17"/>
  <c r="DD19" i="17"/>
  <c r="DB19" i="17"/>
  <c r="DA19" i="17"/>
  <c r="CZ19" i="17"/>
  <c r="CY19" i="17"/>
  <c r="CX19" i="17"/>
  <c r="CW19" i="17"/>
  <c r="CV19" i="17"/>
  <c r="CU19" i="17"/>
  <c r="CT19" i="17"/>
  <c r="CS19" i="17"/>
  <c r="CQ19" i="17"/>
  <c r="CP19" i="17"/>
  <c r="CO19" i="17"/>
  <c r="CN19" i="17"/>
  <c r="CM19" i="17"/>
  <c r="CL19" i="17"/>
  <c r="CK19" i="17"/>
  <c r="CJ19" i="17"/>
  <c r="CI19" i="17"/>
  <c r="CH19" i="17"/>
  <c r="CF19" i="17"/>
  <c r="CE19" i="17"/>
  <c r="CD19" i="17"/>
  <c r="CC19" i="17"/>
  <c r="CB19" i="17"/>
  <c r="CA19" i="17"/>
  <c r="BZ19" i="17"/>
  <c r="BY19" i="17"/>
  <c r="BX19" i="17"/>
  <c r="BW19" i="17"/>
  <c r="BU19" i="17"/>
  <c r="BT19" i="17"/>
  <c r="BS19" i="17"/>
  <c r="BR19" i="17"/>
  <c r="BQ19" i="17"/>
  <c r="BP19" i="17"/>
  <c r="BO19" i="17"/>
  <c r="BN19" i="17"/>
  <c r="BM19" i="17"/>
  <c r="BL19" i="17"/>
  <c r="BJ19" i="17"/>
  <c r="BI19" i="17"/>
  <c r="BH19" i="17"/>
  <c r="BG19" i="17"/>
  <c r="BF19" i="17"/>
  <c r="BE19" i="17"/>
  <c r="BD19" i="17"/>
  <c r="BC19" i="17"/>
  <c r="BB19" i="17"/>
  <c r="BA19" i="17"/>
  <c r="AY19" i="17"/>
  <c r="AX19" i="17"/>
  <c r="AW19" i="17"/>
  <c r="AV19" i="17"/>
  <c r="AU19" i="17"/>
  <c r="AT19" i="17"/>
  <c r="AS19" i="17"/>
  <c r="AR19" i="17"/>
  <c r="AQ19" i="17"/>
  <c r="AP19" i="17"/>
  <c r="AK19" i="17"/>
  <c r="AJ19" i="17"/>
  <c r="Z19" i="17"/>
  <c r="Y19" i="17"/>
  <c r="P19" i="17"/>
  <c r="O19" i="17"/>
  <c r="J19" i="17"/>
  <c r="DM18" i="17"/>
  <c r="DL18" i="17"/>
  <c r="DK18" i="17"/>
  <c r="DJ18" i="17"/>
  <c r="DI18" i="17"/>
  <c r="DH18" i="17"/>
  <c r="DG18" i="17"/>
  <c r="DF18" i="17"/>
  <c r="DE18" i="17"/>
  <c r="DD18" i="17"/>
  <c r="DB18" i="17"/>
  <c r="DA18" i="17"/>
  <c r="CZ18" i="17"/>
  <c r="CY18" i="17"/>
  <c r="CX18" i="17"/>
  <c r="CW18" i="17"/>
  <c r="CV18" i="17"/>
  <c r="CU18" i="17"/>
  <c r="CT18" i="17"/>
  <c r="CS18" i="17"/>
  <c r="CQ18" i="17"/>
  <c r="CP18" i="17"/>
  <c r="CO18" i="17"/>
  <c r="CN18" i="17"/>
  <c r="CM18" i="17"/>
  <c r="CL18" i="17"/>
  <c r="CK18" i="17"/>
  <c r="CJ18" i="17"/>
  <c r="CI18" i="17"/>
  <c r="CH18" i="17"/>
  <c r="CF18" i="17"/>
  <c r="CE18" i="17"/>
  <c r="CD18" i="17"/>
  <c r="CC18" i="17"/>
  <c r="CB18" i="17"/>
  <c r="CA18" i="17"/>
  <c r="BZ18" i="17"/>
  <c r="BY18" i="17"/>
  <c r="BX18" i="17"/>
  <c r="BW18" i="17"/>
  <c r="BU18" i="17"/>
  <c r="BT18" i="17"/>
  <c r="BS18" i="17"/>
  <c r="BR18" i="17"/>
  <c r="BQ18" i="17"/>
  <c r="BP18" i="17"/>
  <c r="BO18" i="17"/>
  <c r="BN18" i="17"/>
  <c r="BM18" i="17"/>
  <c r="BL18" i="17"/>
  <c r="BJ18" i="17"/>
  <c r="BI18" i="17"/>
  <c r="BH18" i="17"/>
  <c r="BG18" i="17"/>
  <c r="BF18" i="17"/>
  <c r="BE18" i="17"/>
  <c r="BD18" i="17"/>
  <c r="BC18" i="17"/>
  <c r="BB18" i="17"/>
  <c r="BA18" i="17"/>
  <c r="AY18" i="17"/>
  <c r="AX18" i="17"/>
  <c r="AW18" i="17"/>
  <c r="AV18" i="17"/>
  <c r="AU18" i="17"/>
  <c r="AT18" i="17"/>
  <c r="AS18" i="17"/>
  <c r="AR18" i="17"/>
  <c r="AQ18" i="17"/>
  <c r="AP18" i="17"/>
  <c r="AK18" i="17"/>
  <c r="AJ18" i="17"/>
  <c r="Z18" i="17"/>
  <c r="Y18" i="17"/>
  <c r="P18" i="17"/>
  <c r="O18" i="17"/>
  <c r="J18" i="17"/>
  <c r="DM17" i="17"/>
  <c r="DL17" i="17"/>
  <c r="DK17" i="17"/>
  <c r="DJ17" i="17"/>
  <c r="DI17" i="17"/>
  <c r="DH17" i="17"/>
  <c r="DG17" i="17"/>
  <c r="DF17" i="17"/>
  <c r="DE17" i="17"/>
  <c r="DD17" i="17"/>
  <c r="DB17" i="17"/>
  <c r="DA17" i="17"/>
  <c r="CZ17" i="17"/>
  <c r="CY17" i="17"/>
  <c r="CX17" i="17"/>
  <c r="CW17" i="17"/>
  <c r="CV17" i="17"/>
  <c r="CU17" i="17"/>
  <c r="CT17" i="17"/>
  <c r="CS17" i="17"/>
  <c r="CQ17" i="17"/>
  <c r="CP17" i="17"/>
  <c r="CO17" i="17"/>
  <c r="CN17" i="17"/>
  <c r="CM17" i="17"/>
  <c r="CL17" i="17"/>
  <c r="CK17" i="17"/>
  <c r="CJ17" i="17"/>
  <c r="CI17" i="17"/>
  <c r="CH17" i="17"/>
  <c r="CF17" i="17"/>
  <c r="CE17" i="17"/>
  <c r="CD17" i="17"/>
  <c r="CC17" i="17"/>
  <c r="CB17" i="17"/>
  <c r="CA17" i="17"/>
  <c r="BZ17" i="17"/>
  <c r="BY17" i="17"/>
  <c r="BX17" i="17"/>
  <c r="BW17" i="17"/>
  <c r="BU17" i="17"/>
  <c r="BT17" i="17"/>
  <c r="BS17" i="17"/>
  <c r="BR17" i="17"/>
  <c r="BQ17" i="17"/>
  <c r="BP17" i="17"/>
  <c r="BO17" i="17"/>
  <c r="BN17" i="17"/>
  <c r="BM17" i="17"/>
  <c r="BL17" i="17"/>
  <c r="BJ17" i="17"/>
  <c r="BI17" i="17"/>
  <c r="BH17" i="17"/>
  <c r="BG17" i="17"/>
  <c r="BF17" i="17"/>
  <c r="BE17" i="17"/>
  <c r="BD17" i="17"/>
  <c r="BC17" i="17"/>
  <c r="BB17" i="17"/>
  <c r="BA17" i="17"/>
  <c r="AY17" i="17"/>
  <c r="AX17" i="17"/>
  <c r="AW17" i="17"/>
  <c r="AV17" i="17"/>
  <c r="AU17" i="17"/>
  <c r="AT17" i="17"/>
  <c r="AS17" i="17"/>
  <c r="AR17" i="17"/>
  <c r="AQ17" i="17"/>
  <c r="AP17" i="17"/>
  <c r="AK17" i="17"/>
  <c r="AJ17" i="17"/>
  <c r="Z17" i="17"/>
  <c r="Y17" i="17"/>
  <c r="DM16" i="17"/>
  <c r="DL16" i="17"/>
  <c r="DK16" i="17"/>
  <c r="DJ16" i="17"/>
  <c r="DI16" i="17"/>
  <c r="DH16" i="17"/>
  <c r="DG16" i="17"/>
  <c r="DF16" i="17"/>
  <c r="DE16" i="17"/>
  <c r="DD16" i="17"/>
  <c r="DB16" i="17"/>
  <c r="DA16" i="17"/>
  <c r="CZ16" i="17"/>
  <c r="CY16" i="17"/>
  <c r="CX16" i="17"/>
  <c r="CW16" i="17"/>
  <c r="CV16" i="17"/>
  <c r="CU16" i="17"/>
  <c r="CT16" i="17"/>
  <c r="CS16" i="17"/>
  <c r="CQ16" i="17"/>
  <c r="CP16" i="17"/>
  <c r="CO16" i="17"/>
  <c r="CN16" i="17"/>
  <c r="CM16" i="17"/>
  <c r="CL16" i="17"/>
  <c r="CK16" i="17"/>
  <c r="CJ16" i="17"/>
  <c r="CI16" i="17"/>
  <c r="CH16" i="17"/>
  <c r="CF16" i="17"/>
  <c r="CE16" i="17"/>
  <c r="CD16" i="17"/>
  <c r="CC16" i="17"/>
  <c r="CB16" i="17"/>
  <c r="CA16" i="17"/>
  <c r="BZ16" i="17"/>
  <c r="BY16" i="17"/>
  <c r="BX16" i="17"/>
  <c r="BW16" i="17"/>
  <c r="BU16" i="17"/>
  <c r="BT16" i="17"/>
  <c r="BS16" i="17"/>
  <c r="BR16" i="17"/>
  <c r="BQ16" i="17"/>
  <c r="BP16" i="17"/>
  <c r="BO16" i="17"/>
  <c r="BN16" i="17"/>
  <c r="BM16" i="17"/>
  <c r="BL16" i="17"/>
  <c r="BJ16" i="17"/>
  <c r="BI16" i="17"/>
  <c r="BH16" i="17"/>
  <c r="BG16" i="17"/>
  <c r="BF16" i="17"/>
  <c r="BE16" i="17"/>
  <c r="BD16" i="17"/>
  <c r="BC16" i="17"/>
  <c r="BB16" i="17"/>
  <c r="BA16" i="17"/>
  <c r="AY16" i="17"/>
  <c r="AX16" i="17"/>
  <c r="AW16" i="17"/>
  <c r="AV16" i="17"/>
  <c r="AU16" i="17"/>
  <c r="AT16" i="17"/>
  <c r="AS16" i="17"/>
  <c r="AR16" i="17"/>
  <c r="AQ16" i="17"/>
  <c r="AP16" i="17"/>
  <c r="AK16" i="17"/>
  <c r="AJ16" i="17"/>
  <c r="Z16" i="17"/>
  <c r="Y16" i="17"/>
  <c r="DM15" i="17"/>
  <c r="DL15" i="17"/>
  <c r="DK15" i="17"/>
  <c r="DJ15" i="17"/>
  <c r="DI15" i="17"/>
  <c r="DH15" i="17"/>
  <c r="DG15" i="17"/>
  <c r="DF15" i="17"/>
  <c r="DE15" i="17"/>
  <c r="DD15" i="17"/>
  <c r="DB15" i="17"/>
  <c r="DA15" i="17"/>
  <c r="CZ15" i="17"/>
  <c r="CY15" i="17"/>
  <c r="CX15" i="17"/>
  <c r="CW15" i="17"/>
  <c r="CV15" i="17"/>
  <c r="CU15" i="17"/>
  <c r="CT15" i="17"/>
  <c r="CS15" i="17"/>
  <c r="CQ15" i="17"/>
  <c r="CP15" i="17"/>
  <c r="CO15" i="17"/>
  <c r="CN15" i="17"/>
  <c r="CM15" i="17"/>
  <c r="CL15" i="17"/>
  <c r="CK15" i="17"/>
  <c r="CJ15" i="17"/>
  <c r="CI15" i="17"/>
  <c r="CH15" i="17"/>
  <c r="CF15" i="17"/>
  <c r="CE15" i="17"/>
  <c r="CD15" i="17"/>
  <c r="CC15" i="17"/>
  <c r="CB15" i="17"/>
  <c r="CA15" i="17"/>
  <c r="BZ15" i="17"/>
  <c r="BY15" i="17"/>
  <c r="BX15" i="17"/>
  <c r="BW15" i="17"/>
  <c r="BU15" i="17"/>
  <c r="BT15" i="17"/>
  <c r="BS15" i="17"/>
  <c r="BR15" i="17"/>
  <c r="BQ15" i="17"/>
  <c r="BP15" i="17"/>
  <c r="BO15" i="17"/>
  <c r="BN15" i="17"/>
  <c r="BM15" i="17"/>
  <c r="BL15" i="17"/>
  <c r="BJ15" i="17"/>
  <c r="BI15" i="17"/>
  <c r="BH15" i="17"/>
  <c r="BG15" i="17"/>
  <c r="BF15" i="17"/>
  <c r="BE15" i="17"/>
  <c r="BD15" i="17"/>
  <c r="BC15" i="17"/>
  <c r="BB15" i="17"/>
  <c r="BA15" i="17"/>
  <c r="AY15" i="17"/>
  <c r="AX15" i="17"/>
  <c r="AW15" i="17"/>
  <c r="AV15" i="17"/>
  <c r="AU15" i="17"/>
  <c r="AT15" i="17"/>
  <c r="AS15" i="17"/>
  <c r="AR15" i="17"/>
  <c r="AQ15" i="17"/>
  <c r="AP15" i="17"/>
  <c r="AK15" i="17"/>
  <c r="AJ15" i="17"/>
  <c r="Z15" i="17"/>
  <c r="Y15" i="17"/>
  <c r="DM14" i="17"/>
  <c r="DL14" i="17"/>
  <c r="DK14" i="17"/>
  <c r="DJ14" i="17"/>
  <c r="DI14" i="17"/>
  <c r="DH14" i="17"/>
  <c r="DG14" i="17"/>
  <c r="DF14" i="17"/>
  <c r="DE14" i="17"/>
  <c r="DD14" i="17"/>
  <c r="DB14" i="17"/>
  <c r="DA14" i="17"/>
  <c r="CZ14" i="17"/>
  <c r="CY14" i="17"/>
  <c r="CX14" i="17"/>
  <c r="CW14" i="17"/>
  <c r="CV14" i="17"/>
  <c r="CU14" i="17"/>
  <c r="CT14" i="17"/>
  <c r="CS14" i="17"/>
  <c r="CQ14" i="17"/>
  <c r="CP14" i="17"/>
  <c r="CO14" i="17"/>
  <c r="CN14" i="17"/>
  <c r="CM14" i="17"/>
  <c r="CL14" i="17"/>
  <c r="CK14" i="17"/>
  <c r="CJ14" i="17"/>
  <c r="CI14" i="17"/>
  <c r="CH14" i="17"/>
  <c r="CF14" i="17"/>
  <c r="CE14" i="17"/>
  <c r="CD14" i="17"/>
  <c r="CC14" i="17"/>
  <c r="CB14" i="17"/>
  <c r="CA14" i="17"/>
  <c r="BZ14" i="17"/>
  <c r="BY14" i="17"/>
  <c r="BX14" i="17"/>
  <c r="BW14" i="17"/>
  <c r="BU14" i="17"/>
  <c r="BT14" i="17"/>
  <c r="BS14" i="17"/>
  <c r="BR14" i="17"/>
  <c r="BQ14" i="17"/>
  <c r="BP14" i="17"/>
  <c r="BO14" i="17"/>
  <c r="BN14" i="17"/>
  <c r="BM14" i="17"/>
  <c r="BL14" i="17"/>
  <c r="BJ14" i="17"/>
  <c r="BI14" i="17"/>
  <c r="BH14" i="17"/>
  <c r="BG14" i="17"/>
  <c r="BF14" i="17"/>
  <c r="BE14" i="17"/>
  <c r="BD14" i="17"/>
  <c r="BC14" i="17"/>
  <c r="BB14" i="17"/>
  <c r="BA14" i="17"/>
  <c r="AY14" i="17"/>
  <c r="AX14" i="17"/>
  <c r="AW14" i="17"/>
  <c r="AV14" i="17"/>
  <c r="AU14" i="17"/>
  <c r="AT14" i="17"/>
  <c r="AS14" i="17"/>
  <c r="AR14" i="17"/>
  <c r="AQ14" i="17"/>
  <c r="AP14" i="17"/>
  <c r="AK14" i="17"/>
  <c r="AJ14" i="17"/>
  <c r="Z14" i="17"/>
  <c r="Y14" i="17"/>
  <c r="DM13" i="17"/>
  <c r="DL13" i="17"/>
  <c r="DK13" i="17"/>
  <c r="DJ13" i="17"/>
  <c r="DI13" i="17"/>
  <c r="DH13" i="17"/>
  <c r="DG13" i="17"/>
  <c r="DF13" i="17"/>
  <c r="DE13" i="17"/>
  <c r="DD13" i="17"/>
  <c r="DB13" i="17"/>
  <c r="DA13" i="17"/>
  <c r="CZ13" i="17"/>
  <c r="CY13" i="17"/>
  <c r="CX13" i="17"/>
  <c r="CW13" i="17"/>
  <c r="CV13" i="17"/>
  <c r="CU13" i="17"/>
  <c r="CT13" i="17"/>
  <c r="CS13" i="17"/>
  <c r="CQ13" i="17"/>
  <c r="CP13" i="17"/>
  <c r="CO13" i="17"/>
  <c r="CN13" i="17"/>
  <c r="CM13" i="17"/>
  <c r="CL13" i="17"/>
  <c r="CK13" i="17"/>
  <c r="CJ13" i="17"/>
  <c r="CI13" i="17"/>
  <c r="CH13" i="17"/>
  <c r="CF13" i="17"/>
  <c r="CE13" i="17"/>
  <c r="CD13" i="17"/>
  <c r="CC13" i="17"/>
  <c r="CB13" i="17"/>
  <c r="CA13" i="17"/>
  <c r="BZ13" i="17"/>
  <c r="BY13" i="17"/>
  <c r="BX13" i="17"/>
  <c r="BW13" i="17"/>
  <c r="BU13" i="17"/>
  <c r="BT13" i="17"/>
  <c r="BS13" i="17"/>
  <c r="BR13" i="17"/>
  <c r="BQ13" i="17"/>
  <c r="BP13" i="17"/>
  <c r="BO13" i="17"/>
  <c r="BN13" i="17"/>
  <c r="BM13" i="17"/>
  <c r="BL13" i="17"/>
  <c r="BJ13" i="17"/>
  <c r="BI13" i="17"/>
  <c r="BH13" i="17"/>
  <c r="BG13" i="17"/>
  <c r="BF13" i="17"/>
  <c r="BE13" i="17"/>
  <c r="BD13" i="17"/>
  <c r="BC13" i="17"/>
  <c r="BB13" i="17"/>
  <c r="BA13" i="17"/>
  <c r="AY13" i="17"/>
  <c r="AX13" i="17"/>
  <c r="AW13" i="17"/>
  <c r="AV13" i="17"/>
  <c r="AU13" i="17"/>
  <c r="AT13" i="17"/>
  <c r="AS13" i="17"/>
  <c r="AR13" i="17"/>
  <c r="AQ13" i="17"/>
  <c r="AP13" i="17"/>
  <c r="AK13" i="17"/>
  <c r="AJ13" i="17"/>
  <c r="Z13" i="17"/>
  <c r="Y13" i="17"/>
  <c r="FE12" i="17"/>
  <c r="FD12" i="17"/>
  <c r="FC12" i="17"/>
  <c r="FB12" i="17"/>
  <c r="FA12" i="17"/>
  <c r="EZ12" i="17"/>
  <c r="EY12" i="17"/>
  <c r="EX12" i="17"/>
  <c r="EW12" i="17"/>
  <c r="EV12" i="17"/>
  <c r="ET12" i="17"/>
  <c r="ES12" i="17"/>
  <c r="ER12" i="17"/>
  <c r="EQ12" i="17"/>
  <c r="EP12" i="17"/>
  <c r="EO12" i="17"/>
  <c r="EN12" i="17"/>
  <c r="EM12" i="17"/>
  <c r="EL12" i="17"/>
  <c r="EK12" i="17"/>
  <c r="EI12" i="17"/>
  <c r="EH12" i="17"/>
  <c r="EG12" i="17"/>
  <c r="EF12" i="17"/>
  <c r="EE12" i="17"/>
  <c r="ED12" i="17"/>
  <c r="EC12" i="17"/>
  <c r="EB12" i="17"/>
  <c r="EA12" i="17"/>
  <c r="DZ12" i="17"/>
  <c r="DM12" i="17"/>
  <c r="DL12" i="17"/>
  <c r="DK12" i="17"/>
  <c r="DJ12" i="17"/>
  <c r="DI12" i="17"/>
  <c r="DH12" i="17"/>
  <c r="DG12" i="17"/>
  <c r="DF12" i="17"/>
  <c r="DE12" i="17"/>
  <c r="DD12" i="17"/>
  <c r="DB12" i="17"/>
  <c r="DA12" i="17"/>
  <c r="CZ12" i="17"/>
  <c r="CY12" i="17"/>
  <c r="CX12" i="17"/>
  <c r="CW12" i="17"/>
  <c r="CV12" i="17"/>
  <c r="CU12" i="17"/>
  <c r="CT12" i="17"/>
  <c r="CS12" i="17"/>
  <c r="CQ12" i="17"/>
  <c r="CP12" i="17"/>
  <c r="CO12" i="17"/>
  <c r="CN12" i="17"/>
  <c r="CM12" i="17"/>
  <c r="CL12" i="17"/>
  <c r="CK12" i="17"/>
  <c r="CJ12" i="17"/>
  <c r="CI12" i="17"/>
  <c r="CH12" i="17"/>
  <c r="CF12" i="17"/>
  <c r="CE12" i="17"/>
  <c r="CD12" i="17"/>
  <c r="CC12" i="17"/>
  <c r="CB12" i="17"/>
  <c r="CA12" i="17"/>
  <c r="BZ12" i="17"/>
  <c r="BY12" i="17"/>
  <c r="BX12" i="17"/>
  <c r="BW12" i="17"/>
  <c r="BU12" i="17"/>
  <c r="BT12" i="17"/>
  <c r="BS12" i="17"/>
  <c r="BR12" i="17"/>
  <c r="BQ12" i="17"/>
  <c r="BP12" i="17"/>
  <c r="BO12" i="17"/>
  <c r="BN12" i="17"/>
  <c r="BM12" i="17"/>
  <c r="BL12" i="17"/>
  <c r="BJ12" i="17"/>
  <c r="BI12" i="17"/>
  <c r="BH12" i="17"/>
  <c r="BG12" i="17"/>
  <c r="BF12" i="17"/>
  <c r="BE12" i="17"/>
  <c r="BD12" i="17"/>
  <c r="BC12" i="17"/>
  <c r="BB12" i="17"/>
  <c r="BA12" i="17"/>
  <c r="AY12" i="17"/>
  <c r="AX12" i="17"/>
  <c r="AW12" i="17"/>
  <c r="AV12" i="17"/>
  <c r="AU12" i="17"/>
  <c r="AT12" i="17"/>
  <c r="AS12" i="17"/>
  <c r="AR12" i="17"/>
  <c r="AQ12" i="17"/>
  <c r="AP12" i="17"/>
  <c r="AK12" i="17"/>
  <c r="AJ12" i="17"/>
  <c r="Z12" i="17"/>
  <c r="Y12" i="17"/>
  <c r="DM11" i="17"/>
  <c r="DL11" i="17"/>
  <c r="DK11" i="17"/>
  <c r="DJ11" i="17"/>
  <c r="DI11" i="17"/>
  <c r="DH11" i="17"/>
  <c r="DG11" i="17"/>
  <c r="DF11" i="17"/>
  <c r="DE11" i="17"/>
  <c r="DD11" i="17"/>
  <c r="DB11" i="17"/>
  <c r="DA11" i="17"/>
  <c r="CZ11" i="17"/>
  <c r="CY11" i="17"/>
  <c r="CX11" i="17"/>
  <c r="CW11" i="17"/>
  <c r="CV11" i="17"/>
  <c r="CU11" i="17"/>
  <c r="CT11" i="17"/>
  <c r="CS11" i="17"/>
  <c r="CQ11" i="17"/>
  <c r="CP11" i="17"/>
  <c r="CO11" i="17"/>
  <c r="CN11" i="17"/>
  <c r="CM11" i="17"/>
  <c r="CL11" i="17"/>
  <c r="CK11" i="17"/>
  <c r="CJ11" i="17"/>
  <c r="CI11" i="17"/>
  <c r="CH11" i="17"/>
  <c r="CF11" i="17"/>
  <c r="CE11" i="17"/>
  <c r="CD11" i="17"/>
  <c r="CC11" i="17"/>
  <c r="CB11" i="17"/>
  <c r="CA11" i="17"/>
  <c r="BZ11" i="17"/>
  <c r="BY11" i="17"/>
  <c r="BX11" i="17"/>
  <c r="BW11" i="17"/>
  <c r="BU11" i="17"/>
  <c r="BT11" i="17"/>
  <c r="BS11" i="17"/>
  <c r="BR11" i="17"/>
  <c r="BQ11" i="17"/>
  <c r="BP11" i="17"/>
  <c r="BO11" i="17"/>
  <c r="BN11" i="17"/>
  <c r="BM11" i="17"/>
  <c r="BL11" i="17"/>
  <c r="BJ11" i="17"/>
  <c r="BI11" i="17"/>
  <c r="BH11" i="17"/>
  <c r="BG11" i="17"/>
  <c r="BF11" i="17"/>
  <c r="BE11" i="17"/>
  <c r="BD11" i="17"/>
  <c r="BC11" i="17"/>
  <c r="BB11" i="17"/>
  <c r="BA11" i="17"/>
  <c r="AY11" i="17"/>
  <c r="AX11" i="17"/>
  <c r="AW11" i="17"/>
  <c r="AV11" i="17"/>
  <c r="AU11" i="17"/>
  <c r="AT11" i="17"/>
  <c r="AS11" i="17"/>
  <c r="AR11" i="17"/>
  <c r="AQ11" i="17"/>
  <c r="AP11" i="17"/>
  <c r="AK11" i="17"/>
  <c r="AJ11" i="17"/>
  <c r="Z11" i="17"/>
  <c r="Y11" i="17"/>
  <c r="DM10" i="17"/>
  <c r="DL10" i="17"/>
  <c r="DK10" i="17"/>
  <c r="DJ10" i="17"/>
  <c r="DI10" i="17"/>
  <c r="DH10" i="17"/>
  <c r="DG10" i="17"/>
  <c r="DF10" i="17"/>
  <c r="DE10" i="17"/>
  <c r="DD10" i="17"/>
  <c r="DB10" i="17"/>
  <c r="DA10" i="17"/>
  <c r="CZ10" i="17"/>
  <c r="CY10" i="17"/>
  <c r="CX10" i="17"/>
  <c r="CW10" i="17"/>
  <c r="CV10" i="17"/>
  <c r="CU10" i="17"/>
  <c r="CT10" i="17"/>
  <c r="CS10" i="17"/>
  <c r="CQ10" i="17"/>
  <c r="CP10" i="17"/>
  <c r="CO10" i="17"/>
  <c r="CN10" i="17"/>
  <c r="CM10" i="17"/>
  <c r="CL10" i="17"/>
  <c r="CK10" i="17"/>
  <c r="CJ10" i="17"/>
  <c r="CI10" i="17"/>
  <c r="CH10" i="17"/>
  <c r="CF10" i="17"/>
  <c r="CE10" i="17"/>
  <c r="CD10" i="17"/>
  <c r="CC10" i="17"/>
  <c r="CB10" i="17"/>
  <c r="CA10" i="17"/>
  <c r="BZ10" i="17"/>
  <c r="BY10" i="17"/>
  <c r="BX10" i="17"/>
  <c r="BW10" i="17"/>
  <c r="BU10" i="17"/>
  <c r="BT10" i="17"/>
  <c r="BS10" i="17"/>
  <c r="BR10" i="17"/>
  <c r="BQ10" i="17"/>
  <c r="BP10" i="17"/>
  <c r="BO10" i="17"/>
  <c r="BN10" i="17"/>
  <c r="BM10" i="17"/>
  <c r="BL10" i="17"/>
  <c r="BJ10" i="17"/>
  <c r="BI10" i="17"/>
  <c r="BH10" i="17"/>
  <c r="BG10" i="17"/>
  <c r="BF10" i="17"/>
  <c r="BE10" i="17"/>
  <c r="BD10" i="17"/>
  <c r="BC10" i="17"/>
  <c r="BB10" i="17"/>
  <c r="BA10" i="17"/>
  <c r="AY10" i="17"/>
  <c r="AX10" i="17"/>
  <c r="AW10" i="17"/>
  <c r="AV10" i="17"/>
  <c r="AU10" i="17"/>
  <c r="AT10" i="17"/>
  <c r="AS10" i="17"/>
  <c r="AR10" i="17"/>
  <c r="AQ10" i="17"/>
  <c r="AP10" i="17"/>
  <c r="AK10" i="17"/>
  <c r="AJ10" i="17"/>
  <c r="Z10" i="17"/>
  <c r="Y10" i="17"/>
  <c r="DM9" i="17"/>
  <c r="DL9" i="17"/>
  <c r="DK9" i="17"/>
  <c r="DJ9" i="17"/>
  <c r="DI9" i="17"/>
  <c r="DH9" i="17"/>
  <c r="DG9" i="17"/>
  <c r="DF9" i="17"/>
  <c r="DE9" i="17"/>
  <c r="DD9" i="17"/>
  <c r="DB9" i="17"/>
  <c r="DA9" i="17"/>
  <c r="CZ9" i="17"/>
  <c r="CY9" i="17"/>
  <c r="CX9" i="17"/>
  <c r="CW9" i="17"/>
  <c r="CV9" i="17"/>
  <c r="CU9" i="17"/>
  <c r="CT9" i="17"/>
  <c r="CS9" i="17"/>
  <c r="CQ9" i="17"/>
  <c r="CP9" i="17"/>
  <c r="CO9" i="17"/>
  <c r="CN9" i="17"/>
  <c r="CM9" i="17"/>
  <c r="CL9" i="17"/>
  <c r="CK9" i="17"/>
  <c r="CJ9" i="17"/>
  <c r="CI9" i="17"/>
  <c r="CH9" i="17"/>
  <c r="CF9" i="17"/>
  <c r="CE9" i="17"/>
  <c r="CD9" i="17"/>
  <c r="CC9" i="17"/>
  <c r="CB9" i="17"/>
  <c r="CA9" i="17"/>
  <c r="BZ9" i="17"/>
  <c r="BY9" i="17"/>
  <c r="BX9" i="17"/>
  <c r="BW9" i="17"/>
  <c r="BU9" i="17"/>
  <c r="BT9" i="17"/>
  <c r="BS9" i="17"/>
  <c r="BR9" i="17"/>
  <c r="BQ9" i="17"/>
  <c r="BP9" i="17"/>
  <c r="BO9" i="17"/>
  <c r="BN9" i="17"/>
  <c r="BM9" i="17"/>
  <c r="BL9" i="17"/>
  <c r="BJ9" i="17"/>
  <c r="BI9" i="17"/>
  <c r="BH9" i="17"/>
  <c r="BG9" i="17"/>
  <c r="BF9" i="17"/>
  <c r="BE9" i="17"/>
  <c r="BD9" i="17"/>
  <c r="BC9" i="17"/>
  <c r="BB9" i="17"/>
  <c r="BA9" i="17"/>
  <c r="AY9" i="17"/>
  <c r="AX9" i="17"/>
  <c r="AW9" i="17"/>
  <c r="AV9" i="17"/>
  <c r="AU9" i="17"/>
  <c r="AT9" i="17"/>
  <c r="AS9" i="17"/>
  <c r="AR9" i="17"/>
  <c r="AQ9" i="17"/>
  <c r="AP9" i="17"/>
  <c r="AK9" i="17"/>
  <c r="AJ9" i="17"/>
  <c r="Z9" i="17"/>
  <c r="Y9" i="17"/>
  <c r="DM8" i="17"/>
  <c r="DL8" i="17"/>
  <c r="DK8" i="17"/>
  <c r="DJ8" i="17"/>
  <c r="DI8" i="17"/>
  <c r="DH8" i="17"/>
  <c r="DG8" i="17"/>
  <c r="DF8" i="17"/>
  <c r="DE8" i="17"/>
  <c r="DD8" i="17"/>
  <c r="DB8" i="17"/>
  <c r="DA8" i="17"/>
  <c r="CZ8" i="17"/>
  <c r="CY8" i="17"/>
  <c r="CX8" i="17"/>
  <c r="CW8" i="17"/>
  <c r="CV8" i="17"/>
  <c r="CU8" i="17"/>
  <c r="CT8" i="17"/>
  <c r="CS8" i="17"/>
  <c r="CQ8" i="17"/>
  <c r="CP8" i="17"/>
  <c r="CO8" i="17"/>
  <c r="CN8" i="17"/>
  <c r="CM8" i="17"/>
  <c r="CL8" i="17"/>
  <c r="CK8" i="17"/>
  <c r="CJ8" i="17"/>
  <c r="CI8" i="17"/>
  <c r="CH8" i="17"/>
  <c r="CF8" i="17"/>
  <c r="CE8" i="17"/>
  <c r="CD8" i="17"/>
  <c r="CC8" i="17"/>
  <c r="CB8" i="17"/>
  <c r="CA8" i="17"/>
  <c r="BZ8" i="17"/>
  <c r="BY8" i="17"/>
  <c r="BX8" i="17"/>
  <c r="BW8" i="17"/>
  <c r="BU8" i="17"/>
  <c r="BT8" i="17"/>
  <c r="BS8" i="17"/>
  <c r="BR8" i="17"/>
  <c r="BQ8" i="17"/>
  <c r="BP8" i="17"/>
  <c r="BO8" i="17"/>
  <c r="BN8" i="17"/>
  <c r="BM8" i="17"/>
  <c r="BL8" i="17"/>
  <c r="BJ8" i="17"/>
  <c r="BI8" i="17"/>
  <c r="BH8" i="17"/>
  <c r="BG8" i="17"/>
  <c r="BF8" i="17"/>
  <c r="BE8" i="17"/>
  <c r="BD8" i="17"/>
  <c r="BC8" i="17"/>
  <c r="BB8" i="17"/>
  <c r="BA8" i="17"/>
  <c r="AY8" i="17"/>
  <c r="AX8" i="17"/>
  <c r="AW8" i="17"/>
  <c r="AV8" i="17"/>
  <c r="AU8" i="17"/>
  <c r="AT8" i="17"/>
  <c r="AS8" i="17"/>
  <c r="AR8" i="17"/>
  <c r="AQ8" i="17"/>
  <c r="AP8" i="17"/>
  <c r="AK8" i="17"/>
  <c r="AJ8" i="17"/>
  <c r="Z8" i="17"/>
  <c r="Y8" i="17"/>
  <c r="FP7" i="17"/>
  <c r="FO7" i="17"/>
  <c r="FN7" i="17"/>
  <c r="FM7" i="17"/>
  <c r="FL7" i="17"/>
  <c r="FK7" i="17"/>
  <c r="FJ7" i="17"/>
  <c r="FI7" i="17"/>
  <c r="FH7" i="17"/>
  <c r="FG7" i="17"/>
  <c r="FE7" i="17"/>
  <c r="FD7" i="17"/>
  <c r="FC7" i="17"/>
  <c r="FB7" i="17"/>
  <c r="FA7" i="17"/>
  <c r="EZ7" i="17"/>
  <c r="EY7" i="17"/>
  <c r="EX7" i="17"/>
  <c r="EW7" i="17"/>
  <c r="EV7" i="17"/>
  <c r="ET7" i="17"/>
  <c r="ES7" i="17"/>
  <c r="ER7" i="17"/>
  <c r="EQ7" i="17"/>
  <c r="EP7" i="17"/>
  <c r="EO7" i="17"/>
  <c r="EN7" i="17"/>
  <c r="EM7" i="17"/>
  <c r="EL7" i="17"/>
  <c r="EK7" i="17"/>
  <c r="EI7" i="17"/>
  <c r="EH7" i="17"/>
  <c r="EG7" i="17"/>
  <c r="EF7" i="17"/>
  <c r="EE7" i="17"/>
  <c r="ED7" i="17"/>
  <c r="EC7" i="17"/>
  <c r="EB7" i="17"/>
  <c r="EA7" i="17"/>
  <c r="DZ7" i="17"/>
  <c r="DM7" i="17"/>
  <c r="DL7" i="17"/>
  <c r="DK7" i="17"/>
  <c r="DJ7" i="17"/>
  <c r="DI7" i="17"/>
  <c r="DH7" i="17"/>
  <c r="DG7" i="17"/>
  <c r="DF7" i="17"/>
  <c r="DE7" i="17"/>
  <c r="DD7" i="17"/>
  <c r="DB7" i="17"/>
  <c r="DA7" i="17"/>
  <c r="CZ7" i="17"/>
  <c r="CY7" i="17"/>
  <c r="CX7" i="17"/>
  <c r="CW7" i="17"/>
  <c r="CV7" i="17"/>
  <c r="CU7" i="17"/>
  <c r="CT7" i="17"/>
  <c r="CS7" i="17"/>
  <c r="CQ7" i="17"/>
  <c r="CP7" i="17"/>
  <c r="CO7" i="17"/>
  <c r="CN7" i="17"/>
  <c r="CM7" i="17"/>
  <c r="CL7" i="17"/>
  <c r="CK7" i="17"/>
  <c r="CJ7" i="17"/>
  <c r="CI7" i="17"/>
  <c r="CH7" i="17"/>
  <c r="CF7" i="17"/>
  <c r="CE7" i="17"/>
  <c r="CD7" i="17"/>
  <c r="CC7" i="17"/>
  <c r="CB7" i="17"/>
  <c r="CA7" i="17"/>
  <c r="BZ7" i="17"/>
  <c r="BY7" i="17"/>
  <c r="BX7" i="17"/>
  <c r="BW7" i="17"/>
  <c r="BJ7" i="17"/>
  <c r="BI7" i="17"/>
  <c r="BH7" i="17"/>
  <c r="BG7" i="17"/>
  <c r="BF7" i="17"/>
  <c r="BE7" i="17"/>
  <c r="BD7" i="17"/>
  <c r="BC7" i="17"/>
  <c r="BB7" i="17"/>
  <c r="BA7" i="17"/>
  <c r="AY7" i="17"/>
  <c r="AX7" i="17"/>
  <c r="AW7" i="17"/>
  <c r="AV7" i="17"/>
  <c r="AU7" i="17"/>
  <c r="AT7" i="17"/>
  <c r="AS7" i="17"/>
  <c r="AR7" i="17"/>
  <c r="AQ7" i="17"/>
  <c r="AP7" i="17"/>
  <c r="AK7" i="17"/>
  <c r="AJ7" i="17"/>
  <c r="Z7" i="17"/>
  <c r="Y7" i="17"/>
  <c r="FP6" i="17"/>
  <c r="FO6" i="17"/>
  <c r="FN6" i="17"/>
  <c r="FM6" i="17"/>
  <c r="FL6" i="17"/>
  <c r="FK6" i="17"/>
  <c r="FJ6" i="17"/>
  <c r="FI6" i="17"/>
  <c r="FH6" i="17"/>
  <c r="FG6" i="17"/>
  <c r="FE6" i="17"/>
  <c r="FD6" i="17"/>
  <c r="FC6" i="17"/>
  <c r="FB6" i="17"/>
  <c r="FA6" i="17"/>
  <c r="EZ6" i="17"/>
  <c r="EY6" i="17"/>
  <c r="EX6" i="17"/>
  <c r="EW6" i="17"/>
  <c r="EV6" i="17"/>
  <c r="ET6" i="17"/>
  <c r="ES6" i="17"/>
  <c r="ER6" i="17"/>
  <c r="EQ6" i="17"/>
  <c r="EP6" i="17"/>
  <c r="EO6" i="17"/>
  <c r="EN6" i="17"/>
  <c r="EM6" i="17"/>
  <c r="EL6" i="17"/>
  <c r="EK6" i="17"/>
  <c r="EI6" i="17"/>
  <c r="EH6" i="17"/>
  <c r="EG6" i="17"/>
  <c r="EF6" i="17"/>
  <c r="EE6" i="17"/>
  <c r="ED6" i="17"/>
  <c r="EC6" i="17"/>
  <c r="EB6" i="17"/>
  <c r="EA6" i="17"/>
  <c r="DZ6" i="17"/>
  <c r="DM6" i="17"/>
  <c r="DL6" i="17"/>
  <c r="DK6" i="17"/>
  <c r="DJ6" i="17"/>
  <c r="DI6" i="17"/>
  <c r="DH6" i="17"/>
  <c r="DG6" i="17"/>
  <c r="DF6" i="17"/>
  <c r="DE6" i="17"/>
  <c r="DD6" i="17"/>
  <c r="DB6" i="17"/>
  <c r="DA6" i="17"/>
  <c r="CZ6" i="17"/>
  <c r="CY6" i="17"/>
  <c r="CX6" i="17"/>
  <c r="CW6" i="17"/>
  <c r="CV6" i="17"/>
  <c r="CU6" i="17"/>
  <c r="CT6" i="17"/>
  <c r="CS6" i="17"/>
  <c r="CQ6" i="17"/>
  <c r="CP6" i="17"/>
  <c r="CO6" i="17"/>
  <c r="CN6" i="17"/>
  <c r="CM6" i="17"/>
  <c r="CL6" i="17"/>
  <c r="CK6" i="17"/>
  <c r="CJ6" i="17"/>
  <c r="CI6" i="17"/>
  <c r="CH6" i="17"/>
  <c r="CF6" i="17"/>
  <c r="CE6" i="17"/>
  <c r="CD6" i="17"/>
  <c r="CC6" i="17"/>
  <c r="CB6" i="17"/>
  <c r="CA6" i="17"/>
  <c r="BZ6" i="17"/>
  <c r="BY6" i="17"/>
  <c r="BX6" i="17"/>
  <c r="BW6" i="17"/>
  <c r="BU6" i="17"/>
  <c r="BT6" i="17"/>
  <c r="BS6" i="17"/>
  <c r="BR6" i="17"/>
  <c r="BQ6" i="17"/>
  <c r="BP6" i="17"/>
  <c r="BO6" i="17"/>
  <c r="BN6" i="17"/>
  <c r="BM6" i="17"/>
  <c r="BL6" i="17"/>
  <c r="BJ6" i="17"/>
  <c r="BI6" i="17"/>
  <c r="BH6" i="17"/>
  <c r="BG6" i="17"/>
  <c r="BF6" i="17"/>
  <c r="BE6" i="17"/>
  <c r="BD6" i="17"/>
  <c r="BC6" i="17"/>
  <c r="BB6" i="17"/>
  <c r="BA6" i="17"/>
  <c r="AY6" i="17"/>
  <c r="AX6" i="17"/>
  <c r="AW6" i="17"/>
  <c r="AV6" i="17"/>
  <c r="AU6" i="17"/>
  <c r="AT6" i="17"/>
  <c r="AS6" i="17"/>
  <c r="AR6" i="17"/>
  <c r="AQ6" i="17"/>
  <c r="AP6" i="17"/>
  <c r="AK6" i="17"/>
  <c r="AJ6" i="17"/>
  <c r="Z6" i="17"/>
  <c r="Y6" i="17"/>
  <c r="CQ5" i="17"/>
  <c r="CP5" i="17"/>
  <c r="CO5" i="17"/>
  <c r="CN5" i="17"/>
  <c r="CM5" i="17"/>
  <c r="CL5" i="17"/>
  <c r="CK5" i="17"/>
  <c r="CJ5" i="17"/>
  <c r="CI5" i="17"/>
  <c r="CH5" i="17"/>
  <c r="CF5" i="17"/>
  <c r="CE5" i="17"/>
  <c r="CD5" i="17"/>
  <c r="CC5" i="17"/>
  <c r="CB5" i="17"/>
  <c r="CA5" i="17"/>
  <c r="BZ5" i="17"/>
  <c r="BY5" i="17"/>
  <c r="BX5" i="17"/>
  <c r="BW5" i="17"/>
  <c r="BU5" i="17"/>
  <c r="BT5" i="17"/>
  <c r="BS5" i="17"/>
  <c r="BR5" i="17"/>
  <c r="BQ5" i="17"/>
  <c r="BP5" i="17"/>
  <c r="BO5" i="17"/>
  <c r="BN5" i="17"/>
  <c r="BM5" i="17"/>
  <c r="BL5" i="17"/>
  <c r="BJ5" i="17"/>
  <c r="BI5" i="17"/>
  <c r="BH5" i="17"/>
  <c r="BG5" i="17"/>
  <c r="BF5" i="17"/>
  <c r="BE5" i="17"/>
  <c r="BD5" i="17"/>
  <c r="BC5" i="17"/>
  <c r="BB5" i="17"/>
  <c r="BA5" i="17"/>
  <c r="AY5" i="17"/>
  <c r="AX5" i="17"/>
  <c r="AW5" i="17"/>
  <c r="AV5" i="17"/>
  <c r="AU5" i="17"/>
  <c r="AT5" i="17"/>
  <c r="AS5" i="17"/>
  <c r="AR5" i="17"/>
  <c r="AQ5" i="17"/>
  <c r="AP5" i="17"/>
  <c r="AK5" i="17"/>
  <c r="AJ5" i="17"/>
  <c r="Z5" i="17"/>
  <c r="Y5" i="17"/>
  <c r="FE4" i="17"/>
  <c r="FD4" i="17"/>
  <c r="FC4" i="17"/>
  <c r="FB4" i="17"/>
  <c r="FA4" i="17"/>
  <c r="EZ4" i="17"/>
  <c r="EY4" i="17"/>
  <c r="EX4" i="17"/>
  <c r="EW4" i="17"/>
  <c r="EV4" i="17"/>
  <c r="ET4" i="17"/>
  <c r="ES4" i="17"/>
  <c r="ER4" i="17"/>
  <c r="EQ4" i="17"/>
  <c r="EP4" i="17"/>
  <c r="EO4" i="17"/>
  <c r="EN4" i="17"/>
  <c r="EM4" i="17"/>
  <c r="EL4" i="17"/>
  <c r="EK4" i="17"/>
  <c r="EI4" i="17"/>
  <c r="EH4" i="17"/>
  <c r="EG4" i="17"/>
  <c r="EF4" i="17"/>
  <c r="EE4" i="17"/>
  <c r="ED4" i="17"/>
  <c r="EC4" i="17"/>
  <c r="EB4" i="17"/>
  <c r="EA4" i="17"/>
  <c r="DZ4" i="17"/>
  <c r="DX4" i="17"/>
  <c r="DW4" i="17"/>
  <c r="DV4" i="17"/>
  <c r="DU4" i="17"/>
  <c r="DT4" i="17"/>
  <c r="DS4" i="17"/>
  <c r="DR4" i="17"/>
  <c r="DQ4" i="17"/>
  <c r="DP4" i="17"/>
  <c r="DO4" i="17"/>
  <c r="DM4" i="17"/>
  <c r="DL4" i="17"/>
  <c r="DK4" i="17"/>
  <c r="DJ4" i="17"/>
  <c r="DI4" i="17"/>
  <c r="DH4" i="17"/>
  <c r="DG4" i="17"/>
  <c r="DF4" i="17"/>
  <c r="DE4" i="17"/>
  <c r="DD4" i="17"/>
  <c r="CQ4" i="17"/>
  <c r="CP4" i="17"/>
  <c r="CO4" i="17"/>
  <c r="CN4" i="17"/>
  <c r="CM4" i="17"/>
  <c r="CL4" i="17"/>
  <c r="CK4" i="17"/>
  <c r="CJ4" i="17"/>
  <c r="CI4" i="17"/>
  <c r="CH4" i="17"/>
  <c r="CF4" i="17"/>
  <c r="CE4" i="17"/>
  <c r="CD4" i="17"/>
  <c r="CC4" i="17"/>
  <c r="CB4" i="17"/>
  <c r="CA4" i="17"/>
  <c r="BZ4" i="17"/>
  <c r="BY4" i="17"/>
  <c r="BX4" i="17"/>
  <c r="BW4" i="17"/>
  <c r="BU4" i="17"/>
  <c r="BT4" i="17"/>
  <c r="BS4" i="17"/>
  <c r="BR4" i="17"/>
  <c r="BQ4" i="17"/>
  <c r="BP4" i="17"/>
  <c r="BO4" i="17"/>
  <c r="BN4" i="17"/>
  <c r="BM4" i="17"/>
  <c r="BL4" i="17"/>
  <c r="BJ4" i="17"/>
  <c r="BI4" i="17"/>
  <c r="BH4" i="17"/>
  <c r="BG4" i="17"/>
  <c r="BF4" i="17"/>
  <c r="BE4" i="17"/>
  <c r="BD4" i="17"/>
  <c r="BC4" i="17"/>
  <c r="BB4" i="17"/>
  <c r="BA4" i="17"/>
  <c r="AY4" i="17"/>
  <c r="AX4" i="17"/>
  <c r="AW4" i="17"/>
  <c r="AV4" i="17"/>
  <c r="AU4" i="17"/>
  <c r="AT4" i="17"/>
  <c r="AS4" i="17"/>
  <c r="AR4" i="17"/>
  <c r="AQ4" i="17"/>
  <c r="AP4" i="17"/>
  <c r="AJ4" i="17"/>
  <c r="Z4" i="17"/>
  <c r="Y4" i="17"/>
  <c r="P29" i="12" l="1"/>
  <c r="P28" i="12"/>
  <c r="P27" i="12"/>
  <c r="P26" i="12"/>
  <c r="P25" i="12"/>
  <c r="P24" i="12"/>
  <c r="P23" i="12"/>
  <c r="P22" i="12"/>
  <c r="P21" i="12"/>
  <c r="P20" i="12"/>
  <c r="P19" i="12"/>
  <c r="P18" i="12"/>
  <c r="O29" i="12"/>
  <c r="J29" i="12"/>
  <c r="O28" i="12"/>
  <c r="J28" i="12"/>
  <c r="O27" i="12"/>
  <c r="J27" i="12"/>
  <c r="O26" i="12"/>
  <c r="J26" i="12"/>
  <c r="O25" i="12"/>
  <c r="J25" i="12"/>
  <c r="O24" i="12"/>
  <c r="J24" i="12"/>
  <c r="O23" i="12"/>
  <c r="J23" i="12"/>
  <c r="O22" i="12"/>
  <c r="J22" i="12"/>
  <c r="O21" i="12"/>
  <c r="J21" i="12"/>
  <c r="O20" i="12"/>
  <c r="J20" i="12"/>
  <c r="O19" i="12"/>
  <c r="J19" i="12"/>
  <c r="O18" i="12"/>
  <c r="J18" i="12"/>
  <c r="AK7" i="12"/>
  <c r="AJ7" i="12"/>
  <c r="AK6" i="12"/>
  <c r="AJ6" i="12"/>
  <c r="AK5" i="12"/>
  <c r="AJ5" i="12"/>
  <c r="AK4" i="12"/>
  <c r="AJ4" i="12"/>
  <c r="Z29" i="12"/>
  <c r="Y29" i="12"/>
  <c r="Z28" i="12"/>
  <c r="Y28" i="12"/>
  <c r="Z27" i="12"/>
  <c r="Y27" i="12"/>
  <c r="Z26" i="12"/>
  <c r="Y26" i="12"/>
  <c r="Z25" i="12"/>
  <c r="Y25" i="12"/>
  <c r="Z24" i="12"/>
  <c r="Y24" i="12"/>
  <c r="Z23" i="12"/>
  <c r="Y23" i="12"/>
  <c r="Z22" i="12"/>
  <c r="Y22" i="12"/>
  <c r="Z21" i="12"/>
  <c r="Y21" i="12"/>
  <c r="Z20" i="12"/>
  <c r="Y20" i="12"/>
  <c r="Z19" i="12"/>
  <c r="Y19" i="12"/>
  <c r="Z18" i="12"/>
  <c r="Y18" i="12"/>
  <c r="Z17" i="12"/>
  <c r="Y17" i="12"/>
  <c r="Z16" i="12"/>
  <c r="Y16" i="12"/>
  <c r="Z15" i="12"/>
  <c r="Y15" i="12"/>
  <c r="Z14" i="12"/>
  <c r="Y14" i="12"/>
  <c r="Z13" i="12"/>
  <c r="Y13" i="12"/>
  <c r="Z12" i="12"/>
  <c r="Y12" i="12"/>
  <c r="Z11" i="12"/>
  <c r="Y11" i="12"/>
  <c r="Z10" i="12"/>
  <c r="Y10" i="12"/>
  <c r="Z9" i="12"/>
  <c r="Y9" i="12"/>
  <c r="Z8" i="12"/>
  <c r="Y8" i="12"/>
  <c r="Z7" i="12"/>
  <c r="Y7" i="12"/>
  <c r="Z6" i="12"/>
  <c r="Y6" i="12"/>
  <c r="Z5" i="12"/>
  <c r="Y5" i="12"/>
  <c r="Z4" i="12"/>
  <c r="Y4" i="12"/>
  <c r="AK29" i="12"/>
  <c r="AJ29" i="12"/>
  <c r="AK28" i="12"/>
  <c r="AJ28" i="12"/>
  <c r="AK27" i="12"/>
  <c r="AJ27" i="12"/>
  <c r="AK26" i="12"/>
  <c r="AJ26" i="12"/>
  <c r="AK25" i="12"/>
  <c r="AJ25" i="12"/>
  <c r="AK24" i="12"/>
  <c r="AJ24" i="12"/>
  <c r="AK23" i="12"/>
  <c r="AJ23" i="12"/>
  <c r="AK22" i="12"/>
  <c r="AJ22" i="12"/>
  <c r="AK21" i="12"/>
  <c r="AJ21" i="12"/>
  <c r="AK20" i="12"/>
  <c r="AJ20" i="12"/>
  <c r="AK19" i="12"/>
  <c r="AJ19" i="12"/>
  <c r="AK18" i="12"/>
  <c r="AJ18" i="12"/>
  <c r="AK17" i="12"/>
  <c r="AJ17" i="12"/>
  <c r="AK16" i="12"/>
  <c r="AJ16" i="12"/>
  <c r="AK15" i="12"/>
  <c r="AJ15" i="12"/>
  <c r="AK14" i="12"/>
  <c r="AJ14" i="12"/>
  <c r="AK13" i="12"/>
  <c r="AJ13" i="12"/>
  <c r="AK12" i="12"/>
  <c r="AJ12" i="12"/>
  <c r="AK11" i="12"/>
  <c r="AJ11" i="12"/>
  <c r="AK10" i="12"/>
  <c r="AJ10" i="12"/>
  <c r="AK9" i="12"/>
  <c r="AJ9" i="12"/>
  <c r="AK8" i="12"/>
  <c r="AJ8" i="12"/>
  <c r="DJ29" i="12" l="1"/>
  <c r="DJ28" i="12"/>
  <c r="DJ27" i="12"/>
  <c r="DJ26" i="12"/>
  <c r="DJ25" i="12"/>
  <c r="DJ24" i="12"/>
  <c r="DJ17" i="12"/>
  <c r="DJ16" i="12"/>
  <c r="DJ15" i="12"/>
  <c r="DJ14" i="12"/>
  <c r="DJ13" i="12"/>
  <c r="DJ12" i="12"/>
  <c r="DM29" i="12"/>
  <c r="DL29" i="12"/>
  <c r="DK29" i="12"/>
  <c r="DI29" i="12"/>
  <c r="DH29" i="12"/>
  <c r="DG29" i="12"/>
  <c r="DF29" i="12"/>
  <c r="DE29" i="12"/>
  <c r="DD29" i="12"/>
  <c r="DM28" i="12"/>
  <c r="DL28" i="12"/>
  <c r="DK28" i="12"/>
  <c r="DI28" i="12"/>
  <c r="DH28" i="12"/>
  <c r="DG28" i="12"/>
  <c r="DF28" i="12"/>
  <c r="DE28" i="12"/>
  <c r="DD28" i="12"/>
  <c r="DM27" i="12"/>
  <c r="DL27" i="12"/>
  <c r="DK27" i="12"/>
  <c r="DI27" i="12"/>
  <c r="DH27" i="12"/>
  <c r="DG27" i="12"/>
  <c r="DF27" i="12"/>
  <c r="DE27" i="12"/>
  <c r="DD27" i="12"/>
  <c r="DM26" i="12"/>
  <c r="DL26" i="12"/>
  <c r="DK26" i="12"/>
  <c r="DI26" i="12"/>
  <c r="DH26" i="12"/>
  <c r="DG26" i="12"/>
  <c r="DF26" i="12"/>
  <c r="DE26" i="12"/>
  <c r="DD26" i="12"/>
  <c r="DM25" i="12"/>
  <c r="DL25" i="12"/>
  <c r="DK25" i="12"/>
  <c r="DI25" i="12"/>
  <c r="DH25" i="12"/>
  <c r="DG25" i="12"/>
  <c r="DF25" i="12"/>
  <c r="DE25" i="12"/>
  <c r="DD25" i="12"/>
  <c r="DM24" i="12"/>
  <c r="DL24" i="12"/>
  <c r="DK24" i="12"/>
  <c r="DI24" i="12"/>
  <c r="DH24" i="12"/>
  <c r="DG24" i="12"/>
  <c r="DF24" i="12"/>
  <c r="DE24" i="12"/>
  <c r="DD24" i="12"/>
  <c r="DM23" i="12"/>
  <c r="DL23" i="12"/>
  <c r="DK23" i="12"/>
  <c r="DJ23" i="12"/>
  <c r="DI23" i="12"/>
  <c r="DH23" i="12"/>
  <c r="DG23" i="12"/>
  <c r="DF23" i="12"/>
  <c r="DE23" i="12"/>
  <c r="DD23" i="12"/>
  <c r="DM22" i="12"/>
  <c r="DL22" i="12"/>
  <c r="DK22" i="12"/>
  <c r="DJ22" i="12"/>
  <c r="DI22" i="12"/>
  <c r="DH22" i="12"/>
  <c r="DG22" i="12"/>
  <c r="DF22" i="12"/>
  <c r="DE22" i="12"/>
  <c r="DD22" i="12"/>
  <c r="DM21" i="12"/>
  <c r="DL21" i="12"/>
  <c r="DK21" i="12"/>
  <c r="DJ21" i="12"/>
  <c r="DI21" i="12"/>
  <c r="DH21" i="12"/>
  <c r="DG21" i="12"/>
  <c r="DF21" i="12"/>
  <c r="DE21" i="12"/>
  <c r="DD21" i="12"/>
  <c r="DM20" i="12"/>
  <c r="DL20" i="12"/>
  <c r="DK20" i="12"/>
  <c r="DJ20" i="12"/>
  <c r="DI20" i="12"/>
  <c r="DH20" i="12"/>
  <c r="DG20" i="12"/>
  <c r="DF20" i="12"/>
  <c r="DE20" i="12"/>
  <c r="DD20" i="12"/>
  <c r="DM19" i="12"/>
  <c r="DL19" i="12"/>
  <c r="DK19" i="12"/>
  <c r="DJ19" i="12"/>
  <c r="DI19" i="12"/>
  <c r="DH19" i="12"/>
  <c r="DG19" i="12"/>
  <c r="DF19" i="12"/>
  <c r="DE19" i="12"/>
  <c r="DD19" i="12"/>
  <c r="DM18" i="12"/>
  <c r="DL18" i="12"/>
  <c r="DK18" i="12"/>
  <c r="DJ18" i="12"/>
  <c r="DI18" i="12"/>
  <c r="DH18" i="12"/>
  <c r="DG18" i="12"/>
  <c r="DF18" i="12"/>
  <c r="DE18" i="12"/>
  <c r="DD18" i="12"/>
  <c r="DM17" i="12"/>
  <c r="DL17" i="12"/>
  <c r="DK17" i="12"/>
  <c r="DI17" i="12"/>
  <c r="DH17" i="12"/>
  <c r="DG17" i="12"/>
  <c r="DF17" i="12"/>
  <c r="DE17" i="12"/>
  <c r="DD17" i="12"/>
  <c r="DM16" i="12"/>
  <c r="DL16" i="12"/>
  <c r="DK16" i="12"/>
  <c r="DI16" i="12"/>
  <c r="DH16" i="12"/>
  <c r="DG16" i="12"/>
  <c r="DF16" i="12"/>
  <c r="DE16" i="12"/>
  <c r="DD16" i="12"/>
  <c r="DM15" i="12"/>
  <c r="DL15" i="12"/>
  <c r="DK15" i="12"/>
  <c r="DI15" i="12"/>
  <c r="DH15" i="12"/>
  <c r="DG15" i="12"/>
  <c r="DF15" i="12"/>
  <c r="DE15" i="12"/>
  <c r="DD15" i="12"/>
  <c r="DM14" i="12"/>
  <c r="DL14" i="12"/>
  <c r="DK14" i="12"/>
  <c r="DI14" i="12"/>
  <c r="DH14" i="12"/>
  <c r="DG14" i="12"/>
  <c r="DF14" i="12"/>
  <c r="DE14" i="12"/>
  <c r="DD14" i="12"/>
  <c r="DM13" i="12"/>
  <c r="DL13" i="12"/>
  <c r="DK13" i="12"/>
  <c r="DI13" i="12"/>
  <c r="DH13" i="12"/>
  <c r="DG13" i="12"/>
  <c r="DF13" i="12"/>
  <c r="DE13" i="12"/>
  <c r="DD13" i="12"/>
  <c r="DM12" i="12"/>
  <c r="DL12" i="12"/>
  <c r="DK12" i="12"/>
  <c r="DI12" i="12"/>
  <c r="DH12" i="12"/>
  <c r="DG12" i="12"/>
  <c r="DF12" i="12"/>
  <c r="DE12" i="12"/>
  <c r="DD12" i="12"/>
  <c r="DM11" i="12"/>
  <c r="DL11" i="12"/>
  <c r="DK11" i="12"/>
  <c r="DJ11" i="12"/>
  <c r="DI11" i="12"/>
  <c r="DH11" i="12"/>
  <c r="DG11" i="12"/>
  <c r="DF11" i="12"/>
  <c r="DE11" i="12"/>
  <c r="DD11" i="12"/>
  <c r="DM10" i="12"/>
  <c r="DL10" i="12"/>
  <c r="DK10" i="12"/>
  <c r="DJ10" i="12"/>
  <c r="DI10" i="12"/>
  <c r="DH10" i="12"/>
  <c r="DG10" i="12"/>
  <c r="DF10" i="12"/>
  <c r="DE10" i="12"/>
  <c r="DD10" i="12"/>
  <c r="DM9" i="12"/>
  <c r="DL9" i="12"/>
  <c r="DK9" i="12"/>
  <c r="DJ9" i="12"/>
  <c r="DI9" i="12"/>
  <c r="DH9" i="12"/>
  <c r="DG9" i="12"/>
  <c r="DF9" i="12"/>
  <c r="DE9" i="12"/>
  <c r="DD9" i="12"/>
  <c r="DM8" i="12"/>
  <c r="DL8" i="12"/>
  <c r="DK8" i="12"/>
  <c r="DJ8" i="12"/>
  <c r="DI8" i="12"/>
  <c r="DH8" i="12"/>
  <c r="DG8" i="12"/>
  <c r="DF8" i="12"/>
  <c r="DE8" i="12"/>
  <c r="DD8" i="12"/>
  <c r="DM7" i="12"/>
  <c r="DL7" i="12"/>
  <c r="DK7" i="12"/>
  <c r="DJ7" i="12"/>
  <c r="DI7" i="12"/>
  <c r="DH7" i="12"/>
  <c r="DG7" i="12"/>
  <c r="DF7" i="12"/>
  <c r="DE7" i="12"/>
  <c r="DD7" i="12"/>
  <c r="DM6" i="12"/>
  <c r="DL6" i="12"/>
  <c r="DK6" i="12"/>
  <c r="DJ6" i="12"/>
  <c r="DI6" i="12"/>
  <c r="DH6" i="12"/>
  <c r="DG6" i="12"/>
  <c r="DF6" i="12"/>
  <c r="DE6" i="12"/>
  <c r="DD6" i="12"/>
  <c r="CQ5" i="12"/>
  <c r="CP5" i="12"/>
  <c r="CO5" i="12"/>
  <c r="CN5" i="12"/>
  <c r="CM5" i="12"/>
  <c r="CL5" i="12"/>
  <c r="CK5" i="12"/>
  <c r="CJ5" i="12"/>
  <c r="CI5" i="12"/>
  <c r="CH5" i="12"/>
  <c r="CQ4" i="12"/>
  <c r="CP4" i="12"/>
  <c r="CO4" i="12"/>
  <c r="CN4" i="12"/>
  <c r="CM4" i="12"/>
  <c r="CL4" i="12"/>
  <c r="CK4" i="12"/>
  <c r="CJ4" i="12"/>
  <c r="CI4" i="12"/>
  <c r="CH4" i="12"/>
  <c r="AV5" i="12"/>
  <c r="AY29" i="12"/>
  <c r="AX29" i="12"/>
  <c r="AW29" i="12"/>
  <c r="AV29" i="12"/>
  <c r="AU29" i="12"/>
  <c r="AT29" i="12"/>
  <c r="AS29" i="12"/>
  <c r="AR29" i="12"/>
  <c r="AQ29" i="12"/>
  <c r="AP29" i="12"/>
  <c r="DB28" i="12"/>
  <c r="DA28" i="12"/>
  <c r="CZ28" i="12"/>
  <c r="CY28" i="12"/>
  <c r="CX28" i="12"/>
  <c r="CW28" i="12"/>
  <c r="CV28" i="12"/>
  <c r="CU28" i="12"/>
  <c r="CT28" i="12"/>
  <c r="CS28" i="12"/>
  <c r="DB27" i="12"/>
  <c r="DA27" i="12"/>
  <c r="CZ27" i="12"/>
  <c r="CY27" i="12"/>
  <c r="CX27" i="12"/>
  <c r="CW27" i="12"/>
  <c r="CV27" i="12"/>
  <c r="CU27" i="12"/>
  <c r="CT27" i="12"/>
  <c r="CS27" i="12"/>
  <c r="DB26" i="12"/>
  <c r="DA26" i="12"/>
  <c r="CZ26" i="12"/>
  <c r="CY26" i="12"/>
  <c r="CX26" i="12"/>
  <c r="CW26" i="12"/>
  <c r="CV26" i="12"/>
  <c r="CU26" i="12"/>
  <c r="CT26" i="12"/>
  <c r="CS26" i="12"/>
  <c r="DB25" i="12"/>
  <c r="DA25" i="12"/>
  <c r="CZ25" i="12"/>
  <c r="CY25" i="12"/>
  <c r="CX25" i="12"/>
  <c r="CW25" i="12"/>
  <c r="CV25" i="12"/>
  <c r="CU25" i="12"/>
  <c r="CT25" i="12"/>
  <c r="CS25" i="12"/>
  <c r="DB24" i="12"/>
  <c r="DA24" i="12"/>
  <c r="CZ24" i="12"/>
  <c r="CY24" i="12"/>
  <c r="CX24" i="12"/>
  <c r="CW24" i="12"/>
  <c r="CV24" i="12"/>
  <c r="CU24" i="12"/>
  <c r="CT24" i="12"/>
  <c r="CS24" i="12"/>
  <c r="AY17" i="12"/>
  <c r="AX17" i="12"/>
  <c r="AW17" i="12"/>
  <c r="AV17" i="12"/>
  <c r="AU17" i="12"/>
  <c r="AT17" i="12"/>
  <c r="AS17" i="12"/>
  <c r="AR17" i="12"/>
  <c r="AQ17" i="12"/>
  <c r="AP17" i="12"/>
  <c r="AP18" i="12"/>
  <c r="AP19" i="12"/>
  <c r="AP20" i="12"/>
  <c r="AP21" i="12"/>
  <c r="AP22" i="12"/>
  <c r="AP23" i="12"/>
  <c r="AP24" i="12"/>
  <c r="AP25" i="12"/>
  <c r="AP26" i="12"/>
  <c r="DB16" i="12"/>
  <c r="DA16" i="12"/>
  <c r="CZ16" i="12"/>
  <c r="CY16" i="12"/>
  <c r="CX16" i="12"/>
  <c r="CW16" i="12"/>
  <c r="CV16" i="12"/>
  <c r="CU16" i="12"/>
  <c r="CT16" i="12"/>
  <c r="CS16" i="12"/>
  <c r="DB15" i="12"/>
  <c r="DA15" i="12"/>
  <c r="CZ15" i="12"/>
  <c r="CY15" i="12"/>
  <c r="CX15" i="12"/>
  <c r="CW15" i="12"/>
  <c r="CV15" i="12"/>
  <c r="CU15" i="12"/>
  <c r="CT15" i="12"/>
  <c r="CS15" i="12"/>
  <c r="DB14" i="12"/>
  <c r="DA14" i="12"/>
  <c r="CZ14" i="12"/>
  <c r="CY14" i="12"/>
  <c r="CX14" i="12"/>
  <c r="CW14" i="12"/>
  <c r="CV14" i="12"/>
  <c r="CU14" i="12"/>
  <c r="CT14" i="12"/>
  <c r="CS14" i="12"/>
  <c r="DB13" i="12"/>
  <c r="DA13" i="12"/>
  <c r="CZ13" i="12"/>
  <c r="CY13" i="12"/>
  <c r="CX13" i="12"/>
  <c r="CW13" i="12"/>
  <c r="CV13" i="12"/>
  <c r="CU13" i="12"/>
  <c r="CT13" i="12"/>
  <c r="CS13" i="12"/>
  <c r="DB12" i="12"/>
  <c r="DA12" i="12"/>
  <c r="CZ12" i="12"/>
  <c r="CY12" i="12"/>
  <c r="CX12" i="12"/>
  <c r="CW12" i="12"/>
  <c r="CV12" i="12"/>
  <c r="CU12" i="12"/>
  <c r="CT12" i="12"/>
  <c r="CS12" i="12"/>
  <c r="DB29" i="12"/>
  <c r="DA29" i="12"/>
  <c r="CZ29" i="12"/>
  <c r="CY29" i="12"/>
  <c r="CX29" i="12"/>
  <c r="CW29" i="12"/>
  <c r="CV29" i="12"/>
  <c r="CU29" i="12"/>
  <c r="CT29" i="12"/>
  <c r="CS29" i="12"/>
  <c r="AY28" i="12"/>
  <c r="AX28" i="12"/>
  <c r="AW28" i="12"/>
  <c r="AV28" i="12"/>
  <c r="AU28" i="12"/>
  <c r="AT28" i="12"/>
  <c r="AS28" i="12"/>
  <c r="AR28" i="12"/>
  <c r="AQ28" i="12"/>
  <c r="AP28" i="12"/>
  <c r="CQ27" i="12"/>
  <c r="CP27" i="12"/>
  <c r="CO27" i="12"/>
  <c r="CN27" i="12"/>
  <c r="CM27" i="12"/>
  <c r="CL27" i="12"/>
  <c r="CK27" i="12"/>
  <c r="CJ27" i="12"/>
  <c r="CI27" i="12"/>
  <c r="CH27" i="12"/>
  <c r="CQ26" i="12"/>
  <c r="CP26" i="12"/>
  <c r="CO26" i="12"/>
  <c r="CN26" i="12"/>
  <c r="CM26" i="12"/>
  <c r="CL26" i="12"/>
  <c r="CK26" i="12"/>
  <c r="CJ26" i="12"/>
  <c r="CI26" i="12"/>
  <c r="CH26" i="12"/>
  <c r="CQ25" i="12"/>
  <c r="CP25" i="12"/>
  <c r="CO25" i="12"/>
  <c r="CN25" i="12"/>
  <c r="CM25" i="12"/>
  <c r="CL25" i="12"/>
  <c r="CK25" i="12"/>
  <c r="CJ25" i="12"/>
  <c r="CI25" i="12"/>
  <c r="CH25" i="12"/>
  <c r="CQ24" i="12"/>
  <c r="CP24" i="12"/>
  <c r="CO24" i="12"/>
  <c r="CN24" i="12"/>
  <c r="CM24" i="12"/>
  <c r="CL24" i="12"/>
  <c r="CK24" i="12"/>
  <c r="CJ24" i="12"/>
  <c r="CI24" i="12"/>
  <c r="CH24" i="12"/>
  <c r="DB17" i="12"/>
  <c r="DA17" i="12"/>
  <c r="CZ17" i="12"/>
  <c r="CY17" i="12"/>
  <c r="CX17" i="12"/>
  <c r="CW17" i="12"/>
  <c r="CV17" i="12"/>
  <c r="CU17" i="12"/>
  <c r="CT17" i="12"/>
  <c r="CS17" i="12"/>
  <c r="AY16" i="12"/>
  <c r="AX16" i="12"/>
  <c r="AW16" i="12"/>
  <c r="AV16" i="12"/>
  <c r="AU16" i="12"/>
  <c r="AT16" i="12"/>
  <c r="AS16" i="12"/>
  <c r="AR16" i="12"/>
  <c r="AQ16" i="12"/>
  <c r="AP16" i="12"/>
  <c r="CQ15" i="12"/>
  <c r="CP15" i="12"/>
  <c r="CO15" i="12"/>
  <c r="CN15" i="12"/>
  <c r="CM15" i="12"/>
  <c r="CL15" i="12"/>
  <c r="CK15" i="12"/>
  <c r="CJ15" i="12"/>
  <c r="CI15" i="12"/>
  <c r="CH15" i="12"/>
  <c r="CQ14" i="12"/>
  <c r="CP14" i="12"/>
  <c r="CO14" i="12"/>
  <c r="CN14" i="12"/>
  <c r="CM14" i="12"/>
  <c r="CL14" i="12"/>
  <c r="CK14" i="12"/>
  <c r="CJ14" i="12"/>
  <c r="CI14" i="12"/>
  <c r="CH14" i="12"/>
  <c r="CQ13" i="12"/>
  <c r="CP13" i="12"/>
  <c r="CO13" i="12"/>
  <c r="CN13" i="12"/>
  <c r="CM13" i="12"/>
  <c r="CL13" i="12"/>
  <c r="CK13" i="12"/>
  <c r="CJ13" i="12"/>
  <c r="CI13" i="12"/>
  <c r="CH13" i="12"/>
  <c r="CQ12" i="12"/>
  <c r="CP12" i="12"/>
  <c r="CO12" i="12"/>
  <c r="CN12" i="12"/>
  <c r="CM12" i="12"/>
  <c r="CL12" i="12"/>
  <c r="CK12" i="12"/>
  <c r="CJ12" i="12"/>
  <c r="CI12" i="12"/>
  <c r="CH12" i="12"/>
  <c r="CQ29" i="12"/>
  <c r="CP29" i="12"/>
  <c r="CO29" i="12"/>
  <c r="CN29" i="12"/>
  <c r="CM29" i="12"/>
  <c r="CL29" i="12"/>
  <c r="CK29" i="12"/>
  <c r="CJ29" i="12"/>
  <c r="CI29" i="12"/>
  <c r="CH29" i="12"/>
  <c r="CQ28" i="12"/>
  <c r="CP28" i="12"/>
  <c r="CO28" i="12"/>
  <c r="CN28" i="12"/>
  <c r="CM28" i="12"/>
  <c r="CL28" i="12"/>
  <c r="CK28" i="12"/>
  <c r="CJ28" i="12"/>
  <c r="CI28" i="12"/>
  <c r="CH28" i="12"/>
  <c r="AY27" i="12"/>
  <c r="AX27" i="12"/>
  <c r="AW27" i="12"/>
  <c r="AV27" i="12"/>
  <c r="AU27" i="12"/>
  <c r="AT27" i="12"/>
  <c r="AS27" i="12"/>
  <c r="AR27" i="12"/>
  <c r="AQ27" i="12"/>
  <c r="AP27" i="12"/>
  <c r="CF26" i="12"/>
  <c r="CE26" i="12"/>
  <c r="CD26" i="12"/>
  <c r="CC26" i="12"/>
  <c r="CB26" i="12"/>
  <c r="CA26" i="12"/>
  <c r="BZ26" i="12"/>
  <c r="BY26" i="12"/>
  <c r="BX26" i="12"/>
  <c r="BW26" i="12"/>
  <c r="CF25" i="12"/>
  <c r="CE25" i="12"/>
  <c r="CD25" i="12"/>
  <c r="CC25" i="12"/>
  <c r="CB25" i="12"/>
  <c r="CA25" i="12"/>
  <c r="BZ25" i="12"/>
  <c r="BY25" i="12"/>
  <c r="BX25" i="12"/>
  <c r="BW25" i="12"/>
  <c r="CF24" i="12"/>
  <c r="CE24" i="12"/>
  <c r="CD24" i="12"/>
  <c r="CC24" i="12"/>
  <c r="CB24" i="12"/>
  <c r="CA24" i="12"/>
  <c r="BZ24" i="12"/>
  <c r="BY24" i="12"/>
  <c r="BX24" i="12"/>
  <c r="BW24" i="12"/>
  <c r="CQ17" i="12"/>
  <c r="CP17" i="12"/>
  <c r="CO17" i="12"/>
  <c r="CN17" i="12"/>
  <c r="CM17" i="12"/>
  <c r="CL17" i="12"/>
  <c r="CK17" i="12"/>
  <c r="CJ17" i="12"/>
  <c r="CI17" i="12"/>
  <c r="CH17" i="12"/>
  <c r="CQ16" i="12"/>
  <c r="CP16" i="12"/>
  <c r="CO16" i="12"/>
  <c r="CN16" i="12"/>
  <c r="CM16" i="12"/>
  <c r="CL16" i="12"/>
  <c r="CK16" i="12"/>
  <c r="CJ16" i="12"/>
  <c r="CI16" i="12"/>
  <c r="CH16" i="12"/>
  <c r="AY15" i="12"/>
  <c r="AX15" i="12"/>
  <c r="AW15" i="12"/>
  <c r="AV15" i="12"/>
  <c r="AU15" i="12"/>
  <c r="AT15" i="12"/>
  <c r="AS15" i="12"/>
  <c r="AR15" i="12"/>
  <c r="AQ15" i="12"/>
  <c r="AP15" i="12"/>
  <c r="CF14" i="12"/>
  <c r="CE14" i="12"/>
  <c r="CD14" i="12"/>
  <c r="CC14" i="12"/>
  <c r="CB14" i="12"/>
  <c r="CA14" i="12"/>
  <c r="BZ14" i="12"/>
  <c r="BY14" i="12"/>
  <c r="BX14" i="12"/>
  <c r="BW14" i="12"/>
  <c r="CF13" i="12"/>
  <c r="CE13" i="12"/>
  <c r="CD13" i="12"/>
  <c r="CC13" i="12"/>
  <c r="CB13" i="12"/>
  <c r="CA13" i="12"/>
  <c r="BZ13" i="12"/>
  <c r="BY13" i="12"/>
  <c r="BX13" i="12"/>
  <c r="BW13" i="12"/>
  <c r="CF12" i="12"/>
  <c r="CE12" i="12"/>
  <c r="CD12" i="12"/>
  <c r="CC12" i="12"/>
  <c r="CB12" i="12"/>
  <c r="CA12" i="12"/>
  <c r="BZ12" i="12"/>
  <c r="BY12" i="12"/>
  <c r="BX12" i="12"/>
  <c r="BW12" i="12"/>
  <c r="CF29" i="12"/>
  <c r="CE29" i="12"/>
  <c r="CD29" i="12"/>
  <c r="CC29" i="12"/>
  <c r="CB29" i="12"/>
  <c r="CA29" i="12"/>
  <c r="BZ29" i="12"/>
  <c r="BY29" i="12"/>
  <c r="BX29" i="12"/>
  <c r="BW29" i="12"/>
  <c r="CF28" i="12"/>
  <c r="CE28" i="12"/>
  <c r="CD28" i="12"/>
  <c r="CC28" i="12"/>
  <c r="CB28" i="12"/>
  <c r="CA28" i="12"/>
  <c r="BZ28" i="12"/>
  <c r="BY28" i="12"/>
  <c r="BX28" i="12"/>
  <c r="BW28" i="12"/>
  <c r="CF27" i="12"/>
  <c r="CE27" i="12"/>
  <c r="CD27" i="12"/>
  <c r="CC27" i="12"/>
  <c r="CB27" i="12"/>
  <c r="CA27" i="12"/>
  <c r="BZ27" i="12"/>
  <c r="BY27" i="12"/>
  <c r="BX27" i="12"/>
  <c r="BW27" i="12"/>
  <c r="AY26" i="12"/>
  <c r="AX26" i="12"/>
  <c r="AW26" i="12"/>
  <c r="AV26" i="12"/>
  <c r="AU26" i="12"/>
  <c r="AT26" i="12"/>
  <c r="AS26" i="12"/>
  <c r="AR26" i="12"/>
  <c r="AQ26" i="12"/>
  <c r="BU25" i="12"/>
  <c r="BT25" i="12"/>
  <c r="BS25" i="12"/>
  <c r="BR25" i="12"/>
  <c r="BQ25" i="12"/>
  <c r="BP25" i="12"/>
  <c r="BO25" i="12"/>
  <c r="BN25" i="12"/>
  <c r="BM25" i="12"/>
  <c r="BL25" i="12"/>
  <c r="BU24" i="12"/>
  <c r="BT24" i="12"/>
  <c r="BS24" i="12"/>
  <c r="BR24" i="12"/>
  <c r="BQ24" i="12"/>
  <c r="BP24" i="12"/>
  <c r="BO24" i="12"/>
  <c r="BN24" i="12"/>
  <c r="BM24" i="12"/>
  <c r="BL24" i="12"/>
  <c r="CF17" i="12"/>
  <c r="CE17" i="12"/>
  <c r="CD17" i="12"/>
  <c r="CC17" i="12"/>
  <c r="CB17" i="12"/>
  <c r="CA17" i="12"/>
  <c r="BZ17" i="12"/>
  <c r="BY17" i="12"/>
  <c r="BX17" i="12"/>
  <c r="BW17" i="12"/>
  <c r="CF16" i="12"/>
  <c r="CE16" i="12"/>
  <c r="CD16" i="12"/>
  <c r="CC16" i="12"/>
  <c r="CB16" i="12"/>
  <c r="CA16" i="12"/>
  <c r="BZ16" i="12"/>
  <c r="BY16" i="12"/>
  <c r="BX16" i="12"/>
  <c r="BW16" i="12"/>
  <c r="CF15" i="12"/>
  <c r="CE15" i="12"/>
  <c r="CD15" i="12"/>
  <c r="CC15" i="12"/>
  <c r="CB15" i="12"/>
  <c r="CA15" i="12"/>
  <c r="BZ15" i="12"/>
  <c r="BY15" i="12"/>
  <c r="BX15" i="12"/>
  <c r="BW15" i="12"/>
  <c r="AY14" i="12"/>
  <c r="AX14" i="12"/>
  <c r="AW14" i="12"/>
  <c r="AV14" i="12"/>
  <c r="AU14" i="12"/>
  <c r="AT14" i="12"/>
  <c r="AS14" i="12"/>
  <c r="AR14" i="12"/>
  <c r="AQ14" i="12"/>
  <c r="AP14" i="12"/>
  <c r="BU13" i="12"/>
  <c r="BT13" i="12"/>
  <c r="BS13" i="12"/>
  <c r="BR13" i="12"/>
  <c r="BQ13" i="12"/>
  <c r="BP13" i="12"/>
  <c r="BO13" i="12"/>
  <c r="BN13" i="12"/>
  <c r="BM13" i="12"/>
  <c r="BL13" i="12"/>
  <c r="BU12" i="12"/>
  <c r="BT12" i="12"/>
  <c r="BS12" i="12"/>
  <c r="BR12" i="12"/>
  <c r="BQ12" i="12"/>
  <c r="BP12" i="12"/>
  <c r="BO12" i="12"/>
  <c r="BN12" i="12"/>
  <c r="BM12" i="12"/>
  <c r="BL12" i="12"/>
  <c r="BU29" i="12"/>
  <c r="BT29" i="12"/>
  <c r="BS29" i="12"/>
  <c r="BR29" i="12"/>
  <c r="BQ29" i="12"/>
  <c r="BP29" i="12"/>
  <c r="BO29" i="12"/>
  <c r="BN29" i="12"/>
  <c r="BM29" i="12"/>
  <c r="BL29" i="12"/>
  <c r="BU28" i="12"/>
  <c r="BT28" i="12"/>
  <c r="BS28" i="12"/>
  <c r="BR28" i="12"/>
  <c r="BQ28" i="12"/>
  <c r="BP28" i="12"/>
  <c r="BO28" i="12"/>
  <c r="BN28" i="12"/>
  <c r="BM28" i="12"/>
  <c r="BL28" i="12"/>
  <c r="BU27" i="12"/>
  <c r="BT27" i="12"/>
  <c r="BS27" i="12"/>
  <c r="BR27" i="12"/>
  <c r="BQ27" i="12"/>
  <c r="BP27" i="12"/>
  <c r="BO27" i="12"/>
  <c r="BN27" i="12"/>
  <c r="BM27" i="12"/>
  <c r="BL27" i="12"/>
  <c r="BU26" i="12"/>
  <c r="BT26" i="12"/>
  <c r="BS26" i="12"/>
  <c r="BR26" i="12"/>
  <c r="BQ26" i="12"/>
  <c r="BP26" i="12"/>
  <c r="BO26" i="12"/>
  <c r="BN26" i="12"/>
  <c r="BM26" i="12"/>
  <c r="BL26" i="12"/>
  <c r="AY25" i="12"/>
  <c r="AX25" i="12"/>
  <c r="AW25" i="12"/>
  <c r="AV25" i="12"/>
  <c r="AU25" i="12"/>
  <c r="AT25" i="12"/>
  <c r="AS25" i="12"/>
  <c r="AR25" i="12"/>
  <c r="AQ25" i="12"/>
  <c r="BJ24" i="12"/>
  <c r="BI24" i="12"/>
  <c r="BH24" i="12"/>
  <c r="BG24" i="12"/>
  <c r="BF24" i="12"/>
  <c r="BE24" i="12"/>
  <c r="BD24" i="12"/>
  <c r="BC24" i="12"/>
  <c r="BB24" i="12"/>
  <c r="BA24" i="12"/>
  <c r="BU17" i="12"/>
  <c r="BT17" i="12"/>
  <c r="BS17" i="12"/>
  <c r="BR17" i="12"/>
  <c r="BQ17" i="12"/>
  <c r="BP17" i="12"/>
  <c r="BO17" i="12"/>
  <c r="BN17" i="12"/>
  <c r="BM17" i="12"/>
  <c r="BL17" i="12"/>
  <c r="BU16" i="12"/>
  <c r="BT16" i="12"/>
  <c r="BS16" i="12"/>
  <c r="BR16" i="12"/>
  <c r="BQ16" i="12"/>
  <c r="BP16" i="12"/>
  <c r="BO16" i="12"/>
  <c r="BN16" i="12"/>
  <c r="BM16" i="12"/>
  <c r="BL16" i="12"/>
  <c r="BU15" i="12"/>
  <c r="BT15" i="12"/>
  <c r="BS15" i="12"/>
  <c r="BR15" i="12"/>
  <c r="BQ15" i="12"/>
  <c r="BP15" i="12"/>
  <c r="BO15" i="12"/>
  <c r="BN15" i="12"/>
  <c r="BM15" i="12"/>
  <c r="BL15" i="12"/>
  <c r="BU14" i="12"/>
  <c r="BT14" i="12"/>
  <c r="BS14" i="12"/>
  <c r="BR14" i="12"/>
  <c r="BQ14" i="12"/>
  <c r="BP14" i="12"/>
  <c r="BO14" i="12"/>
  <c r="BN14" i="12"/>
  <c r="BM14" i="12"/>
  <c r="BL14" i="12"/>
  <c r="AY13" i="12"/>
  <c r="AX13" i="12"/>
  <c r="AW13" i="12"/>
  <c r="AV13" i="12"/>
  <c r="AU13" i="12"/>
  <c r="AT13" i="12"/>
  <c r="AS13" i="12"/>
  <c r="AR13" i="12"/>
  <c r="AQ13" i="12"/>
  <c r="AP13" i="12"/>
  <c r="BJ12" i="12"/>
  <c r="BI12" i="12"/>
  <c r="BH12" i="12"/>
  <c r="BG12" i="12"/>
  <c r="BF12" i="12"/>
  <c r="BE12" i="12"/>
  <c r="BD12" i="12"/>
  <c r="BC12" i="12"/>
  <c r="BB12" i="12"/>
  <c r="BA12" i="12"/>
  <c r="BJ29" i="12"/>
  <c r="BI29" i="12"/>
  <c r="BH29" i="12"/>
  <c r="BG29" i="12"/>
  <c r="BF29" i="12"/>
  <c r="BE29" i="12"/>
  <c r="BD29" i="12"/>
  <c r="BC29" i="12"/>
  <c r="BB29" i="12"/>
  <c r="BA29" i="12"/>
  <c r="BJ28" i="12"/>
  <c r="BI28" i="12"/>
  <c r="BH28" i="12"/>
  <c r="BG28" i="12"/>
  <c r="BF28" i="12"/>
  <c r="BE28" i="12"/>
  <c r="BD28" i="12"/>
  <c r="BC28" i="12"/>
  <c r="BB28" i="12"/>
  <c r="BA28" i="12"/>
  <c r="BJ27" i="12"/>
  <c r="BI27" i="12"/>
  <c r="BH27" i="12"/>
  <c r="BG27" i="12"/>
  <c r="BF27" i="12"/>
  <c r="BE27" i="12"/>
  <c r="BD27" i="12"/>
  <c r="BC27" i="12"/>
  <c r="BB27" i="12"/>
  <c r="BA27" i="12"/>
  <c r="BJ26" i="12"/>
  <c r="BI26" i="12"/>
  <c r="BH26" i="12"/>
  <c r="BG26" i="12"/>
  <c r="BF26" i="12"/>
  <c r="BE26" i="12"/>
  <c r="BD26" i="12"/>
  <c r="BC26" i="12"/>
  <c r="BB26" i="12"/>
  <c r="BA26" i="12"/>
  <c r="BJ25" i="12"/>
  <c r="BI25" i="12"/>
  <c r="BH25" i="12"/>
  <c r="BG25" i="12"/>
  <c r="BF25" i="12"/>
  <c r="BE25" i="12"/>
  <c r="BD25" i="12"/>
  <c r="BC25" i="12"/>
  <c r="BB25" i="12"/>
  <c r="BA25" i="12"/>
  <c r="AY24" i="12"/>
  <c r="AX24" i="12"/>
  <c r="AW24" i="12"/>
  <c r="AV24" i="12"/>
  <c r="AU24" i="12"/>
  <c r="AT24" i="12"/>
  <c r="AS24" i="12"/>
  <c r="AR24" i="12"/>
  <c r="AQ24" i="12"/>
  <c r="BJ17" i="12"/>
  <c r="BI17" i="12"/>
  <c r="BH17" i="12"/>
  <c r="BG17" i="12"/>
  <c r="BF17" i="12"/>
  <c r="BE17" i="12"/>
  <c r="BD17" i="12"/>
  <c r="BC17" i="12"/>
  <c r="BB17" i="12"/>
  <c r="BA17" i="12"/>
  <c r="BJ16" i="12"/>
  <c r="BI16" i="12"/>
  <c r="BH16" i="12"/>
  <c r="BG16" i="12"/>
  <c r="BF16" i="12"/>
  <c r="BE16" i="12"/>
  <c r="BD16" i="12"/>
  <c r="BC16" i="12"/>
  <c r="BB16" i="12"/>
  <c r="BA16" i="12"/>
  <c r="BJ15" i="12"/>
  <c r="BI15" i="12"/>
  <c r="BH15" i="12"/>
  <c r="BG15" i="12"/>
  <c r="BF15" i="12"/>
  <c r="BE15" i="12"/>
  <c r="BD15" i="12"/>
  <c r="BC15" i="12"/>
  <c r="BB15" i="12"/>
  <c r="BA15" i="12"/>
  <c r="BJ14" i="12"/>
  <c r="BI14" i="12"/>
  <c r="BH14" i="12"/>
  <c r="BG14" i="12"/>
  <c r="BF14" i="12"/>
  <c r="BE14" i="12"/>
  <c r="BD14" i="12"/>
  <c r="BC14" i="12"/>
  <c r="BB14" i="12"/>
  <c r="BA14" i="12"/>
  <c r="BJ13" i="12"/>
  <c r="BI13" i="12"/>
  <c r="BH13" i="12"/>
  <c r="BG13" i="12"/>
  <c r="BF13" i="12"/>
  <c r="BE13" i="12"/>
  <c r="BD13" i="12"/>
  <c r="BC13" i="12"/>
  <c r="BB13" i="12"/>
  <c r="BA13" i="12"/>
  <c r="AY12" i="12"/>
  <c r="AX12" i="12"/>
  <c r="AW12" i="12"/>
  <c r="AV12" i="12"/>
  <c r="AU12" i="12"/>
  <c r="AT12" i="12"/>
  <c r="AS12" i="12"/>
  <c r="AR12" i="12"/>
  <c r="AQ12" i="12"/>
  <c r="AP12" i="12"/>
  <c r="AY23" i="12"/>
  <c r="AX23" i="12"/>
  <c r="AW23" i="12"/>
  <c r="AV23" i="12"/>
  <c r="AU23" i="12"/>
  <c r="AT23" i="12"/>
  <c r="AS23" i="12"/>
  <c r="AR23" i="12"/>
  <c r="AQ23" i="12"/>
  <c r="DB22" i="12"/>
  <c r="DA22" i="12"/>
  <c r="CZ22" i="12"/>
  <c r="CY22" i="12"/>
  <c r="CX22" i="12"/>
  <c r="CW22" i="12"/>
  <c r="CV22" i="12"/>
  <c r="CU22" i="12"/>
  <c r="CT22" i="12"/>
  <c r="CS22" i="12"/>
  <c r="DB21" i="12"/>
  <c r="DA21" i="12"/>
  <c r="CZ21" i="12"/>
  <c r="CY21" i="12"/>
  <c r="CX21" i="12"/>
  <c r="CW21" i="12"/>
  <c r="CV21" i="12"/>
  <c r="CU21" i="12"/>
  <c r="CT21" i="12"/>
  <c r="CS21" i="12"/>
  <c r="DB20" i="12"/>
  <c r="DA20" i="12"/>
  <c r="CZ20" i="12"/>
  <c r="CY20" i="12"/>
  <c r="CX20" i="12"/>
  <c r="CW20" i="12"/>
  <c r="CV20" i="12"/>
  <c r="CU20" i="12"/>
  <c r="CT20" i="12"/>
  <c r="CS20" i="12"/>
  <c r="DB19" i="12"/>
  <c r="DA19" i="12"/>
  <c r="CZ19" i="12"/>
  <c r="CY19" i="12"/>
  <c r="CX19" i="12"/>
  <c r="CW19" i="12"/>
  <c r="CV19" i="12"/>
  <c r="CU19" i="12"/>
  <c r="CT19" i="12"/>
  <c r="CS19" i="12"/>
  <c r="DB18" i="12"/>
  <c r="DA18" i="12"/>
  <c r="CZ18" i="12"/>
  <c r="CY18" i="12"/>
  <c r="CX18" i="12"/>
  <c r="CW18" i="12"/>
  <c r="CV18" i="12"/>
  <c r="CU18" i="12"/>
  <c r="CT18" i="12"/>
  <c r="CS18" i="12"/>
  <c r="AY11" i="12"/>
  <c r="AX11" i="12"/>
  <c r="AW11" i="12"/>
  <c r="AV11" i="12"/>
  <c r="AU11" i="12"/>
  <c r="AT11" i="12"/>
  <c r="AS11" i="12"/>
  <c r="AR11" i="12"/>
  <c r="AQ11" i="12"/>
  <c r="AP11" i="12"/>
  <c r="DB10" i="12"/>
  <c r="DA10" i="12"/>
  <c r="CZ10" i="12"/>
  <c r="CY10" i="12"/>
  <c r="CX10" i="12"/>
  <c r="CW10" i="12"/>
  <c r="CV10" i="12"/>
  <c r="CU10" i="12"/>
  <c r="CT10" i="12"/>
  <c r="CS10" i="12"/>
  <c r="DB9" i="12"/>
  <c r="DA9" i="12"/>
  <c r="CZ9" i="12"/>
  <c r="CY9" i="12"/>
  <c r="CX9" i="12"/>
  <c r="CW9" i="12"/>
  <c r="CV9" i="12"/>
  <c r="CU9" i="12"/>
  <c r="CT9" i="12"/>
  <c r="CS9" i="12"/>
  <c r="DB8" i="12"/>
  <c r="DA8" i="12"/>
  <c r="CZ8" i="12"/>
  <c r="CY8" i="12"/>
  <c r="CX8" i="12"/>
  <c r="CW8" i="12"/>
  <c r="CV8" i="12"/>
  <c r="CU8" i="12"/>
  <c r="CT8" i="12"/>
  <c r="CS8" i="12"/>
  <c r="DB7" i="12"/>
  <c r="DA7" i="12"/>
  <c r="CZ7" i="12"/>
  <c r="CY7" i="12"/>
  <c r="CX7" i="12"/>
  <c r="CW7" i="12"/>
  <c r="CV7" i="12"/>
  <c r="CU7" i="12"/>
  <c r="CT7" i="12"/>
  <c r="CS7" i="12"/>
  <c r="DB6" i="12"/>
  <c r="DA6" i="12"/>
  <c r="CZ6" i="12"/>
  <c r="CY6" i="12"/>
  <c r="CX6" i="12"/>
  <c r="CW6" i="12"/>
  <c r="CV6" i="12"/>
  <c r="CU6" i="12"/>
  <c r="CT6" i="12"/>
  <c r="CS6" i="12"/>
  <c r="DB23" i="12"/>
  <c r="DA23" i="12"/>
  <c r="CZ23" i="12"/>
  <c r="CY23" i="12"/>
  <c r="CX23" i="12"/>
  <c r="CW23" i="12"/>
  <c r="CV23" i="12"/>
  <c r="CU23" i="12"/>
  <c r="CT23" i="12"/>
  <c r="CS23" i="12"/>
  <c r="AY22" i="12"/>
  <c r="AX22" i="12"/>
  <c r="AW22" i="12"/>
  <c r="AV22" i="12"/>
  <c r="AU22" i="12"/>
  <c r="AT22" i="12"/>
  <c r="AS22" i="12"/>
  <c r="AR22" i="12"/>
  <c r="AQ22" i="12"/>
  <c r="CQ21" i="12"/>
  <c r="CP21" i="12"/>
  <c r="CO21" i="12"/>
  <c r="CN21" i="12"/>
  <c r="CM21" i="12"/>
  <c r="CL21" i="12"/>
  <c r="CK21" i="12"/>
  <c r="CJ21" i="12"/>
  <c r="CI21" i="12"/>
  <c r="CH21" i="12"/>
  <c r="CQ20" i="12"/>
  <c r="CP20" i="12"/>
  <c r="CO20" i="12"/>
  <c r="CN20" i="12"/>
  <c r="CM20" i="12"/>
  <c r="CL20" i="12"/>
  <c r="CK20" i="12"/>
  <c r="CJ20" i="12"/>
  <c r="CI20" i="12"/>
  <c r="CH20" i="12"/>
  <c r="CQ19" i="12"/>
  <c r="CP19" i="12"/>
  <c r="CO19" i="12"/>
  <c r="CN19" i="12"/>
  <c r="CM19" i="12"/>
  <c r="CL19" i="12"/>
  <c r="CK19" i="12"/>
  <c r="CJ19" i="12"/>
  <c r="CI19" i="12"/>
  <c r="CH19" i="12"/>
  <c r="CQ18" i="12"/>
  <c r="CP18" i="12"/>
  <c r="CO18" i="12"/>
  <c r="CN18" i="12"/>
  <c r="CM18" i="12"/>
  <c r="CL18" i="12"/>
  <c r="CK18" i="12"/>
  <c r="CJ18" i="12"/>
  <c r="CI18" i="12"/>
  <c r="CH18" i="12"/>
  <c r="DB11" i="12"/>
  <c r="DA11" i="12"/>
  <c r="CZ11" i="12"/>
  <c r="CY11" i="12"/>
  <c r="CX11" i="12"/>
  <c r="CW11" i="12"/>
  <c r="CV11" i="12"/>
  <c r="CU11" i="12"/>
  <c r="CT11" i="12"/>
  <c r="CS11" i="12"/>
  <c r="AY10" i="12"/>
  <c r="AX10" i="12"/>
  <c r="AW10" i="12"/>
  <c r="AV10" i="12"/>
  <c r="AU10" i="12"/>
  <c r="AT10" i="12"/>
  <c r="AS10" i="12"/>
  <c r="AR10" i="12"/>
  <c r="AQ10" i="12"/>
  <c r="AP10" i="12"/>
  <c r="CQ9" i="12"/>
  <c r="CP9" i="12"/>
  <c r="CO9" i="12"/>
  <c r="CN9" i="12"/>
  <c r="CM9" i="12"/>
  <c r="CL9" i="12"/>
  <c r="CK9" i="12"/>
  <c r="CJ9" i="12"/>
  <c r="CI9" i="12"/>
  <c r="CH9" i="12"/>
  <c r="CQ8" i="12"/>
  <c r="CP8" i="12"/>
  <c r="CO8" i="12"/>
  <c r="CN8" i="12"/>
  <c r="CM8" i="12"/>
  <c r="CL8" i="12"/>
  <c r="CK8" i="12"/>
  <c r="CJ8" i="12"/>
  <c r="CI8" i="12"/>
  <c r="CH8" i="12"/>
  <c r="CQ7" i="12"/>
  <c r="CP7" i="12"/>
  <c r="CO7" i="12"/>
  <c r="CN7" i="12"/>
  <c r="CM7" i="12"/>
  <c r="CL7" i="12"/>
  <c r="CK7" i="12"/>
  <c r="CJ7" i="12"/>
  <c r="CI7" i="12"/>
  <c r="CH7" i="12"/>
  <c r="CQ6" i="12"/>
  <c r="CP6" i="12"/>
  <c r="CO6" i="12"/>
  <c r="CN6" i="12"/>
  <c r="CM6" i="12"/>
  <c r="CL6" i="12"/>
  <c r="CK6" i="12"/>
  <c r="CJ6" i="12"/>
  <c r="CI6" i="12"/>
  <c r="CH6" i="12"/>
  <c r="CQ23" i="12"/>
  <c r="CP23" i="12"/>
  <c r="CO23" i="12"/>
  <c r="CN23" i="12"/>
  <c r="CM23" i="12"/>
  <c r="CL23" i="12"/>
  <c r="CK23" i="12"/>
  <c r="CJ23" i="12"/>
  <c r="CI23" i="12"/>
  <c r="CH23" i="12"/>
  <c r="CQ22" i="12"/>
  <c r="CP22" i="12"/>
  <c r="CO22" i="12"/>
  <c r="CN22" i="12"/>
  <c r="CM22" i="12"/>
  <c r="CL22" i="12"/>
  <c r="CK22" i="12"/>
  <c r="CJ22" i="12"/>
  <c r="CI22" i="12"/>
  <c r="CH22" i="12"/>
  <c r="AY21" i="12"/>
  <c r="AX21" i="12"/>
  <c r="AW21" i="12"/>
  <c r="AV21" i="12"/>
  <c r="AU21" i="12"/>
  <c r="AT21" i="12"/>
  <c r="AS21" i="12"/>
  <c r="AR21" i="12"/>
  <c r="AQ21" i="12"/>
  <c r="CF20" i="12"/>
  <c r="CE20" i="12"/>
  <c r="CD20" i="12"/>
  <c r="CC20" i="12"/>
  <c r="CB20" i="12"/>
  <c r="CA20" i="12"/>
  <c r="BZ20" i="12"/>
  <c r="BY20" i="12"/>
  <c r="BX20" i="12"/>
  <c r="BW20" i="12"/>
  <c r="CF19" i="12"/>
  <c r="CE19" i="12"/>
  <c r="CD19" i="12"/>
  <c r="CC19" i="12"/>
  <c r="CB19" i="12"/>
  <c r="CA19" i="12"/>
  <c r="BZ19" i="12"/>
  <c r="BY19" i="12"/>
  <c r="BX19" i="12"/>
  <c r="BW19" i="12"/>
  <c r="CF18" i="12"/>
  <c r="CE18" i="12"/>
  <c r="CD18" i="12"/>
  <c r="CC18" i="12"/>
  <c r="CB18" i="12"/>
  <c r="CA18" i="12"/>
  <c r="BZ18" i="12"/>
  <c r="BY18" i="12"/>
  <c r="BX18" i="12"/>
  <c r="BW18" i="12"/>
  <c r="CQ11" i="12"/>
  <c r="CP11" i="12"/>
  <c r="CO11" i="12"/>
  <c r="CN11" i="12"/>
  <c r="CM11" i="12"/>
  <c r="CL11" i="12"/>
  <c r="CK11" i="12"/>
  <c r="CJ11" i="12"/>
  <c r="CI11" i="12"/>
  <c r="CH11" i="12"/>
  <c r="CQ10" i="12"/>
  <c r="CP10" i="12"/>
  <c r="CO10" i="12"/>
  <c r="CN10" i="12"/>
  <c r="CM10" i="12"/>
  <c r="CL10" i="12"/>
  <c r="CK10" i="12"/>
  <c r="CJ10" i="12"/>
  <c r="CI10" i="12"/>
  <c r="CH10" i="12"/>
  <c r="AY9" i="12"/>
  <c r="AX9" i="12"/>
  <c r="AW9" i="12"/>
  <c r="AV9" i="12"/>
  <c r="AU9" i="12"/>
  <c r="AT9" i="12"/>
  <c r="AS9" i="12"/>
  <c r="AR9" i="12"/>
  <c r="AQ9" i="12"/>
  <c r="AP9" i="12"/>
  <c r="CF8" i="12"/>
  <c r="CE8" i="12"/>
  <c r="CD8" i="12"/>
  <c r="CC8" i="12"/>
  <c r="CB8" i="12"/>
  <c r="CA8" i="12"/>
  <c r="BZ8" i="12"/>
  <c r="BY8" i="12"/>
  <c r="BX8" i="12"/>
  <c r="BW8" i="12"/>
  <c r="CF7" i="12"/>
  <c r="CE7" i="12"/>
  <c r="CD7" i="12"/>
  <c r="CC7" i="12"/>
  <c r="CB7" i="12"/>
  <c r="CA7" i="12"/>
  <c r="BZ7" i="12"/>
  <c r="BY7" i="12"/>
  <c r="BX7" i="12"/>
  <c r="BW7" i="12"/>
  <c r="CF6" i="12"/>
  <c r="CE6" i="12"/>
  <c r="CD6" i="12"/>
  <c r="CC6" i="12"/>
  <c r="CB6" i="12"/>
  <c r="CA6" i="12"/>
  <c r="BZ6" i="12"/>
  <c r="BY6" i="12"/>
  <c r="BX6" i="12"/>
  <c r="BW6" i="12"/>
  <c r="CF23" i="12"/>
  <c r="CE23" i="12"/>
  <c r="CD23" i="12"/>
  <c r="CC23" i="12"/>
  <c r="CB23" i="12"/>
  <c r="CA23" i="12"/>
  <c r="BZ23" i="12"/>
  <c r="BY23" i="12"/>
  <c r="BX23" i="12"/>
  <c r="BW23" i="12"/>
  <c r="CF22" i="12"/>
  <c r="CE22" i="12"/>
  <c r="CD22" i="12"/>
  <c r="CC22" i="12"/>
  <c r="CB22" i="12"/>
  <c r="CA22" i="12"/>
  <c r="BZ22" i="12"/>
  <c r="BY22" i="12"/>
  <c r="BX22" i="12"/>
  <c r="BW22" i="12"/>
  <c r="CF21" i="12"/>
  <c r="CE21" i="12"/>
  <c r="CD21" i="12"/>
  <c r="CC21" i="12"/>
  <c r="CB21" i="12"/>
  <c r="CA21" i="12"/>
  <c r="BZ21" i="12"/>
  <c r="BY21" i="12"/>
  <c r="BX21" i="12"/>
  <c r="BW21" i="12"/>
  <c r="AY20" i="12"/>
  <c r="AX20" i="12"/>
  <c r="AW20" i="12"/>
  <c r="AV20" i="12"/>
  <c r="AU20" i="12"/>
  <c r="AT20" i="12"/>
  <c r="AS20" i="12"/>
  <c r="AR20" i="12"/>
  <c r="AQ20" i="12"/>
  <c r="BU19" i="12"/>
  <c r="BT19" i="12"/>
  <c r="BS19" i="12"/>
  <c r="BR19" i="12"/>
  <c r="BQ19" i="12"/>
  <c r="BP19" i="12"/>
  <c r="BO19" i="12"/>
  <c r="BN19" i="12"/>
  <c r="BM19" i="12"/>
  <c r="BL19" i="12"/>
  <c r="BU18" i="12"/>
  <c r="BT18" i="12"/>
  <c r="BS18" i="12"/>
  <c r="BR18" i="12"/>
  <c r="BQ18" i="12"/>
  <c r="BP18" i="12"/>
  <c r="BO18" i="12"/>
  <c r="BN18" i="12"/>
  <c r="BM18" i="12"/>
  <c r="BL18" i="12"/>
  <c r="CF11" i="12"/>
  <c r="CE11" i="12"/>
  <c r="CD11" i="12"/>
  <c r="CC11" i="12"/>
  <c r="CB11" i="12"/>
  <c r="CA11" i="12"/>
  <c r="BZ11" i="12"/>
  <c r="BY11" i="12"/>
  <c r="BX11" i="12"/>
  <c r="BW11" i="12"/>
  <c r="CF10" i="12"/>
  <c r="CE10" i="12"/>
  <c r="CD10" i="12"/>
  <c r="CC10" i="12"/>
  <c r="CB10" i="12"/>
  <c r="CA10" i="12"/>
  <c r="BZ10" i="12"/>
  <c r="BY10" i="12"/>
  <c r="BX10" i="12"/>
  <c r="BW10" i="12"/>
  <c r="CF9" i="12"/>
  <c r="CE9" i="12"/>
  <c r="CD9" i="12"/>
  <c r="CC9" i="12"/>
  <c r="CB9" i="12"/>
  <c r="CA9" i="12"/>
  <c r="BZ9" i="12"/>
  <c r="BY9" i="12"/>
  <c r="BX9" i="12"/>
  <c r="BW9" i="12"/>
  <c r="AY8" i="12"/>
  <c r="AX8" i="12"/>
  <c r="AW8" i="12"/>
  <c r="AV8" i="12"/>
  <c r="AU8" i="12"/>
  <c r="AT8" i="12"/>
  <c r="AS8" i="12"/>
  <c r="AR8" i="12"/>
  <c r="AQ8" i="12"/>
  <c r="AP8" i="12"/>
  <c r="BU6" i="12"/>
  <c r="BT6" i="12"/>
  <c r="BS6" i="12"/>
  <c r="BR6" i="12"/>
  <c r="BQ6" i="12"/>
  <c r="BP6" i="12"/>
  <c r="BO6" i="12"/>
  <c r="BN6" i="12"/>
  <c r="BM6" i="12"/>
  <c r="BL6" i="12"/>
  <c r="BU23" i="12"/>
  <c r="BT23" i="12"/>
  <c r="BS23" i="12"/>
  <c r="BR23" i="12"/>
  <c r="BQ23" i="12"/>
  <c r="BP23" i="12"/>
  <c r="BO23" i="12"/>
  <c r="BN23" i="12"/>
  <c r="BM23" i="12"/>
  <c r="BL23" i="12"/>
  <c r="BU22" i="12"/>
  <c r="BT22" i="12"/>
  <c r="BS22" i="12"/>
  <c r="BR22" i="12"/>
  <c r="BQ22" i="12"/>
  <c r="BP22" i="12"/>
  <c r="BO22" i="12"/>
  <c r="BN22" i="12"/>
  <c r="BM22" i="12"/>
  <c r="BL22" i="12"/>
  <c r="BU21" i="12"/>
  <c r="BT21" i="12"/>
  <c r="BS21" i="12"/>
  <c r="BR21" i="12"/>
  <c r="BQ21" i="12"/>
  <c r="BP21" i="12"/>
  <c r="BO21" i="12"/>
  <c r="BN21" i="12"/>
  <c r="BM21" i="12"/>
  <c r="BL21" i="12"/>
  <c r="BU20" i="12"/>
  <c r="BT20" i="12"/>
  <c r="BS20" i="12"/>
  <c r="BR20" i="12"/>
  <c r="BQ20" i="12"/>
  <c r="BP20" i="12"/>
  <c r="BO20" i="12"/>
  <c r="BN20" i="12"/>
  <c r="BM20" i="12"/>
  <c r="BL20" i="12"/>
  <c r="AY19" i="12"/>
  <c r="AX19" i="12"/>
  <c r="AW19" i="12"/>
  <c r="AV19" i="12"/>
  <c r="AU19" i="12"/>
  <c r="AT19" i="12"/>
  <c r="AS19" i="12"/>
  <c r="AR19" i="12"/>
  <c r="AQ19" i="12"/>
  <c r="BJ18" i="12"/>
  <c r="BI18" i="12"/>
  <c r="BH18" i="12"/>
  <c r="BG18" i="12"/>
  <c r="BF18" i="12"/>
  <c r="BE18" i="12"/>
  <c r="BD18" i="12"/>
  <c r="BC18" i="12"/>
  <c r="BB18" i="12"/>
  <c r="BA18" i="12"/>
  <c r="BU11" i="12"/>
  <c r="BT11" i="12"/>
  <c r="BS11" i="12"/>
  <c r="BR11" i="12"/>
  <c r="BQ11" i="12"/>
  <c r="BP11" i="12"/>
  <c r="BO11" i="12"/>
  <c r="BN11" i="12"/>
  <c r="BM11" i="12"/>
  <c r="BL11" i="12"/>
  <c r="BU10" i="12"/>
  <c r="BT10" i="12"/>
  <c r="BS10" i="12"/>
  <c r="BR10" i="12"/>
  <c r="BQ10" i="12"/>
  <c r="BP10" i="12"/>
  <c r="BO10" i="12"/>
  <c r="BN10" i="12"/>
  <c r="BM10" i="12"/>
  <c r="BL10" i="12"/>
  <c r="BU9" i="12"/>
  <c r="BT9" i="12"/>
  <c r="BS9" i="12"/>
  <c r="BR9" i="12"/>
  <c r="BQ9" i="12"/>
  <c r="BP9" i="12"/>
  <c r="BO9" i="12"/>
  <c r="BN9" i="12"/>
  <c r="BM9" i="12"/>
  <c r="BL9" i="12"/>
  <c r="BU8" i="12"/>
  <c r="BT8" i="12"/>
  <c r="BS8" i="12"/>
  <c r="BR8" i="12"/>
  <c r="BQ8" i="12"/>
  <c r="BP8" i="12"/>
  <c r="BO8" i="12"/>
  <c r="BN8" i="12"/>
  <c r="BM8" i="12"/>
  <c r="BL8" i="12"/>
  <c r="AY7" i="12"/>
  <c r="AX7" i="12"/>
  <c r="AW7" i="12"/>
  <c r="AV7" i="12"/>
  <c r="AU7" i="12"/>
  <c r="AT7" i="12"/>
  <c r="AS7" i="12"/>
  <c r="AR7" i="12"/>
  <c r="AQ7" i="12"/>
  <c r="AP7" i="12"/>
  <c r="BJ6" i="12"/>
  <c r="BI6" i="12"/>
  <c r="BH6" i="12"/>
  <c r="BG6" i="12"/>
  <c r="BF6" i="12"/>
  <c r="BE6" i="12"/>
  <c r="BD6" i="12"/>
  <c r="BC6" i="12"/>
  <c r="BB6" i="12"/>
  <c r="BA6" i="12"/>
  <c r="BJ23" i="12"/>
  <c r="BI23" i="12"/>
  <c r="BH23" i="12"/>
  <c r="BG23" i="12"/>
  <c r="BF23" i="12"/>
  <c r="BE23" i="12"/>
  <c r="BD23" i="12"/>
  <c r="BC23" i="12"/>
  <c r="BB23" i="12"/>
  <c r="BA23" i="12"/>
  <c r="BJ22" i="12"/>
  <c r="BI22" i="12"/>
  <c r="BH22" i="12"/>
  <c r="BG22" i="12"/>
  <c r="BF22" i="12"/>
  <c r="BE22" i="12"/>
  <c r="BD22" i="12"/>
  <c r="BC22" i="12"/>
  <c r="BB22" i="12"/>
  <c r="BA22" i="12"/>
  <c r="BJ21" i="12"/>
  <c r="BI21" i="12"/>
  <c r="BH21" i="12"/>
  <c r="BG21" i="12"/>
  <c r="BF21" i="12"/>
  <c r="BE21" i="12"/>
  <c r="BD21" i="12"/>
  <c r="BC21" i="12"/>
  <c r="BB21" i="12"/>
  <c r="BA21" i="12"/>
  <c r="BJ20" i="12"/>
  <c r="BI20" i="12"/>
  <c r="BH20" i="12"/>
  <c r="BG20" i="12"/>
  <c r="BF20" i="12"/>
  <c r="BE20" i="12"/>
  <c r="BD20" i="12"/>
  <c r="BC20" i="12"/>
  <c r="BB20" i="12"/>
  <c r="BA20" i="12"/>
  <c r="BJ19" i="12"/>
  <c r="BI19" i="12"/>
  <c r="BH19" i="12"/>
  <c r="BG19" i="12"/>
  <c r="BF19" i="12"/>
  <c r="BE19" i="12"/>
  <c r="BD19" i="12"/>
  <c r="BC19" i="12"/>
  <c r="BB19" i="12"/>
  <c r="BA19" i="12"/>
  <c r="AY18" i="12"/>
  <c r="AX18" i="12"/>
  <c r="AW18" i="12"/>
  <c r="AV18" i="12"/>
  <c r="AU18" i="12"/>
  <c r="AT18" i="12"/>
  <c r="AS18" i="12"/>
  <c r="AR18" i="12"/>
  <c r="AQ18" i="12"/>
  <c r="BJ11" i="12"/>
  <c r="BI11" i="12"/>
  <c r="BH11" i="12"/>
  <c r="BG11" i="12"/>
  <c r="BF11" i="12"/>
  <c r="BE11" i="12"/>
  <c r="BD11" i="12"/>
  <c r="BC11" i="12"/>
  <c r="BB11" i="12"/>
  <c r="BA11" i="12"/>
  <c r="BJ10" i="12"/>
  <c r="BI10" i="12"/>
  <c r="BH10" i="12"/>
  <c r="BG10" i="12"/>
  <c r="BF10" i="12"/>
  <c r="BE10" i="12"/>
  <c r="BD10" i="12"/>
  <c r="BC10" i="12"/>
  <c r="BB10" i="12"/>
  <c r="BA10" i="12"/>
  <c r="BJ9" i="12"/>
  <c r="BI9" i="12"/>
  <c r="BH9" i="12"/>
  <c r="BG9" i="12"/>
  <c r="BF9" i="12"/>
  <c r="BE9" i="12"/>
  <c r="BD9" i="12"/>
  <c r="BC9" i="12"/>
  <c r="BB9" i="12"/>
  <c r="BA9" i="12"/>
  <c r="BJ8" i="12"/>
  <c r="BI8" i="12"/>
  <c r="BH8" i="12"/>
  <c r="BG8" i="12"/>
  <c r="BF8" i="12"/>
  <c r="BE8" i="12"/>
  <c r="BD8" i="12"/>
  <c r="BC8" i="12"/>
  <c r="BB8" i="12"/>
  <c r="BA8" i="12"/>
  <c r="BJ7" i="12"/>
  <c r="BI7" i="12"/>
  <c r="BH7" i="12"/>
  <c r="BG7" i="12"/>
  <c r="BF7" i="12"/>
  <c r="BE7" i="12"/>
  <c r="BD7" i="12"/>
  <c r="BC7" i="12"/>
  <c r="BB7" i="12"/>
  <c r="BA7" i="12"/>
  <c r="AY6" i="12"/>
  <c r="AX6" i="12"/>
  <c r="AW6" i="12"/>
  <c r="AV6" i="12"/>
  <c r="AU6" i="12"/>
  <c r="AT6" i="12"/>
  <c r="AS6" i="12"/>
  <c r="AR6" i="12"/>
  <c r="AQ6" i="12"/>
  <c r="AP6" i="12"/>
  <c r="BL4" i="12" l="1"/>
  <c r="BM4" i="12"/>
  <c r="BN4" i="12"/>
  <c r="BO4" i="12"/>
  <c r="BP4" i="12"/>
  <c r="BQ4" i="12"/>
  <c r="BR4" i="12"/>
  <c r="BS4" i="12"/>
  <c r="BT4" i="12"/>
  <c r="BU4" i="12"/>
  <c r="BL5" i="12"/>
  <c r="BM5" i="12"/>
  <c r="BN5" i="12"/>
  <c r="AY5" i="12"/>
  <c r="AX5" i="12"/>
  <c r="AW5" i="12"/>
  <c r="AU5" i="12"/>
  <c r="FE12" i="12" l="1"/>
  <c r="FD12" i="12"/>
  <c r="FC12" i="12"/>
  <c r="FB12" i="12"/>
  <c r="FA12" i="12"/>
  <c r="EZ12" i="12"/>
  <c r="EY12" i="12"/>
  <c r="EX12" i="12"/>
  <c r="EW12" i="12"/>
  <c r="EV12" i="12"/>
  <c r="ET12" i="12"/>
  <c r="ES12" i="12"/>
  <c r="ER12" i="12"/>
  <c r="EQ12" i="12"/>
  <c r="EP12" i="12"/>
  <c r="EO12" i="12"/>
  <c r="EN12" i="12"/>
  <c r="EM12" i="12"/>
  <c r="EL12" i="12"/>
  <c r="EK12" i="12"/>
  <c r="EI12" i="12"/>
  <c r="EH12" i="12"/>
  <c r="EG12" i="12"/>
  <c r="EF12" i="12"/>
  <c r="EE12" i="12"/>
  <c r="ED12" i="12"/>
  <c r="EC12" i="12"/>
  <c r="EB12" i="12"/>
  <c r="EA12" i="12"/>
  <c r="DZ12" i="12"/>
  <c r="FP7" i="12"/>
  <c r="FO7" i="12"/>
  <c r="FN7" i="12"/>
  <c r="FM7" i="12"/>
  <c r="FL7" i="12"/>
  <c r="FK7" i="12"/>
  <c r="FJ7" i="12"/>
  <c r="FI7" i="12"/>
  <c r="FH7" i="12"/>
  <c r="FG7" i="12"/>
  <c r="FE7" i="12"/>
  <c r="FD7" i="12"/>
  <c r="FC7" i="12"/>
  <c r="FB7" i="12"/>
  <c r="FA7" i="12"/>
  <c r="EZ7" i="12"/>
  <c r="EY7" i="12"/>
  <c r="EX7" i="12"/>
  <c r="EW7" i="12"/>
  <c r="EV7" i="12"/>
  <c r="ET7" i="12"/>
  <c r="ES7" i="12"/>
  <c r="ER7" i="12"/>
  <c r="EQ7" i="12"/>
  <c r="EP7" i="12"/>
  <c r="EO7" i="12"/>
  <c r="EN7" i="12"/>
  <c r="EM7" i="12"/>
  <c r="EL7" i="12"/>
  <c r="EK7" i="12"/>
  <c r="EI7" i="12"/>
  <c r="EH7" i="12"/>
  <c r="EG7" i="12"/>
  <c r="EF7" i="12"/>
  <c r="EE7" i="12"/>
  <c r="ED7" i="12"/>
  <c r="EC7" i="12"/>
  <c r="EB7" i="12"/>
  <c r="EA7" i="12"/>
  <c r="DZ7" i="12"/>
  <c r="FP6" i="12"/>
  <c r="FO6" i="12"/>
  <c r="FN6" i="12"/>
  <c r="FM6" i="12"/>
  <c r="FL6" i="12"/>
  <c r="FK6" i="12"/>
  <c r="FJ6" i="12"/>
  <c r="FI6" i="12"/>
  <c r="FH6" i="12"/>
  <c r="FG6" i="12"/>
  <c r="FE6" i="12"/>
  <c r="FD6" i="12"/>
  <c r="FC6" i="12"/>
  <c r="FB6" i="12"/>
  <c r="FA6" i="12"/>
  <c r="EZ6" i="12"/>
  <c r="EY6" i="12"/>
  <c r="EX6" i="12"/>
  <c r="EW6" i="12"/>
  <c r="EV6" i="12"/>
  <c r="ET6" i="12"/>
  <c r="ES6" i="12"/>
  <c r="ER6" i="12"/>
  <c r="EQ6" i="12"/>
  <c r="EP6" i="12"/>
  <c r="EO6" i="12"/>
  <c r="EN6" i="12"/>
  <c r="EM6" i="12"/>
  <c r="EL6" i="12"/>
  <c r="EK6" i="12"/>
  <c r="EI6" i="12"/>
  <c r="EH6" i="12"/>
  <c r="EG6" i="12"/>
  <c r="EF6" i="12"/>
  <c r="EE6" i="12"/>
  <c r="ED6" i="12"/>
  <c r="EC6" i="12"/>
  <c r="EB6" i="12"/>
  <c r="EA6" i="12"/>
  <c r="DZ6" i="12"/>
  <c r="FE4" i="12"/>
  <c r="FD4" i="12"/>
  <c r="FC4" i="12"/>
  <c r="FB4" i="12"/>
  <c r="FA4" i="12"/>
  <c r="EZ4" i="12"/>
  <c r="EY4" i="12"/>
  <c r="EX4" i="12"/>
  <c r="EW4" i="12"/>
  <c r="EV4" i="12"/>
  <c r="ET4" i="12"/>
  <c r="ES4" i="12"/>
  <c r="ER4" i="12"/>
  <c r="EQ4" i="12"/>
  <c r="EP4" i="12"/>
  <c r="EO4" i="12"/>
  <c r="EN4" i="12"/>
  <c r="EM4" i="12"/>
  <c r="EL4" i="12"/>
  <c r="EK4" i="12"/>
  <c r="EI4" i="12"/>
  <c r="EH4" i="12"/>
  <c r="EG4" i="12"/>
  <c r="EF4" i="12"/>
  <c r="EE4" i="12"/>
  <c r="ED4" i="12"/>
  <c r="EC4" i="12"/>
  <c r="EB4" i="12"/>
  <c r="EA4" i="12"/>
  <c r="DZ4" i="12"/>
  <c r="DX4" i="12"/>
  <c r="DW4" i="12"/>
  <c r="DV4" i="12"/>
  <c r="DU4" i="12"/>
  <c r="DT4" i="12"/>
  <c r="DS4" i="12"/>
  <c r="DR4" i="12"/>
  <c r="DQ4" i="12"/>
  <c r="DP4" i="12"/>
  <c r="DO4" i="12"/>
  <c r="DM4" i="12"/>
  <c r="DL4" i="12"/>
  <c r="DK4" i="12"/>
  <c r="DI4" i="12"/>
  <c r="DJ4" i="12"/>
  <c r="DH4" i="12"/>
  <c r="DG4" i="12"/>
  <c r="DF4" i="12"/>
  <c r="DE4" i="12"/>
  <c r="DD4" i="12"/>
  <c r="CF5" i="12" l="1"/>
  <c r="CE5" i="12"/>
  <c r="CD5" i="12"/>
  <c r="CC5" i="12"/>
  <c r="CB5" i="12"/>
  <c r="CA5" i="12"/>
  <c r="BZ5" i="12"/>
  <c r="BY5" i="12"/>
  <c r="BX5" i="12"/>
  <c r="BW5" i="12"/>
  <c r="CF4" i="12"/>
  <c r="CE4" i="12"/>
  <c r="CD4" i="12"/>
  <c r="CC4" i="12"/>
  <c r="CB4" i="12"/>
  <c r="CA4" i="12"/>
  <c r="BZ4" i="12"/>
  <c r="BY4" i="12"/>
  <c r="BX4" i="12"/>
  <c r="BW4" i="12"/>
  <c r="BU5" i="12"/>
  <c r="BT5" i="12"/>
  <c r="BS5" i="12"/>
  <c r="BR5" i="12"/>
  <c r="BQ5" i="12"/>
  <c r="BP5" i="12"/>
  <c r="BO5" i="12"/>
  <c r="BH5" i="12"/>
  <c r="BG5" i="12"/>
  <c r="BF5" i="12"/>
  <c r="BJ4" i="12"/>
  <c r="BI4" i="12"/>
  <c r="BH4" i="12"/>
  <c r="BG4" i="12"/>
  <c r="BF4" i="12"/>
  <c r="AY4" i="12"/>
  <c r="AX4" i="12"/>
  <c r="AW4" i="12"/>
  <c r="BB5" i="12"/>
  <c r="BC5" i="12"/>
  <c r="BD5" i="12"/>
  <c r="BE5" i="12"/>
  <c r="BE4" i="12"/>
  <c r="BD4" i="12"/>
  <c r="BC4" i="12"/>
  <c r="BB4" i="12"/>
  <c r="BA5" i="12"/>
  <c r="BA4" i="12"/>
  <c r="AP5" i="12"/>
  <c r="AP4" i="12"/>
  <c r="BJ5" i="12"/>
  <c r="BI5" i="12"/>
  <c r="AV4" i="12"/>
  <c r="AU4" i="12"/>
  <c r="AT5" i="12"/>
  <c r="AS5" i="12"/>
  <c r="AT4" i="12"/>
  <c r="AS4" i="12"/>
  <c r="AR5" i="12"/>
  <c r="AR4" i="12"/>
  <c r="AQ4" i="12"/>
  <c r="AQ5" i="12"/>
  <c r="I14" i="4" l="1"/>
  <c r="H14" i="4"/>
  <c r="I13" i="4"/>
  <c r="H13" i="4"/>
  <c r="I12" i="4"/>
  <c r="H12" i="4"/>
  <c r="I11" i="4"/>
  <c r="H11" i="4"/>
  <c r="I10" i="4"/>
  <c r="H10" i="4"/>
  <c r="I9" i="4"/>
  <c r="H9" i="4"/>
  <c r="I8" i="4"/>
  <c r="H8" i="4"/>
  <c r="I7" i="4"/>
  <c r="H7" i="4"/>
  <c r="I6" i="4"/>
  <c r="H6" i="4"/>
  <c r="I5" i="4"/>
  <c r="H5" i="4"/>
  <c r="I4" i="4"/>
  <c r="H4" i="4"/>
  <c r="F4" i="4" l="1"/>
  <c r="F10" i="4"/>
  <c r="F11" i="4"/>
  <c r="F7" i="4"/>
  <c r="F5" i="4"/>
  <c r="F9" i="4"/>
  <c r="F14" i="4"/>
  <c r="F8" i="4"/>
  <c r="F12" i="4"/>
  <c r="F6" i="4"/>
  <c r="F13" i="4"/>
  <c r="I6" i="10" l="1"/>
  <c r="I5" i="10"/>
  <c r="I4" i="10"/>
  <c r="E6" i="10"/>
  <c r="E5" i="10"/>
  <c r="E4" i="10"/>
  <c r="Q6" i="10" l="1"/>
  <c r="O6" i="10"/>
  <c r="M6" i="10"/>
  <c r="K6" i="10"/>
  <c r="G6" i="10"/>
  <c r="C6" i="10"/>
  <c r="Q5" i="10"/>
  <c r="O5" i="10"/>
  <c r="M5" i="10"/>
  <c r="K5" i="10"/>
  <c r="G5" i="10"/>
  <c r="C5" i="10"/>
  <c r="Q4" i="10"/>
  <c r="O4" i="10"/>
  <c r="M4" i="10"/>
  <c r="K4" i="10"/>
  <c r="G4" i="10"/>
  <c r="C4" i="10"/>
</calcChain>
</file>

<file path=xl/sharedStrings.xml><?xml version="1.0" encoding="utf-8"?>
<sst xmlns="http://schemas.openxmlformats.org/spreadsheetml/2006/main" count="6740" uniqueCount="620">
  <si>
    <t>Reserver</t>
  </si>
  <si>
    <t>Reserver MB_Note</t>
  </si>
  <si>
    <t>Non-Reserver MB_Note</t>
  </si>
  <si>
    <t>TV &amp; TV Accessories</t>
  </si>
  <si>
    <t>ME</t>
  </si>
  <si>
    <t>Computing</t>
  </si>
  <si>
    <t>HA</t>
  </si>
  <si>
    <t>*DD does not include EPP Non-Reservers</t>
  </si>
  <si>
    <t>Save up to $400 on Q Series Soundbar (BF Pricing)</t>
  </si>
  <si>
    <t>Up to 30% off Dishwashers</t>
  </si>
  <si>
    <t>Up to 25% off Microwaves</t>
  </si>
  <si>
    <t>Up to 35% off Ranges</t>
  </si>
  <si>
    <t>Up to 30% off Refrigerators</t>
  </si>
  <si>
    <t>Up to 30% off Wall Ovens</t>
  </si>
  <si>
    <t>Up to 35% off Washers and Dryers</t>
  </si>
  <si>
    <t>Up to 50% off Robot vacuums (includes jet mop)</t>
  </si>
  <si>
    <t>35% off Air Dresser</t>
  </si>
  <si>
    <t>$100 off Air Purifier</t>
  </si>
  <si>
    <r>
      <t>MB_</t>
    </r>
    <r>
      <rPr>
        <b/>
        <sz val="11"/>
        <color theme="1"/>
        <rFont val="Calibri"/>
        <family val="2"/>
        <scheme val="minor"/>
      </rPr>
      <t>Reserver</t>
    </r>
  </si>
  <si>
    <t xml:space="preserve">Mobile - Reserver </t>
  </si>
  <si>
    <r>
      <t>TV_</t>
    </r>
    <r>
      <rPr>
        <b/>
        <sz val="11"/>
        <color theme="1"/>
        <rFont val="Calibri"/>
        <family val="2"/>
        <scheme val="minor"/>
      </rPr>
      <t>Reserver</t>
    </r>
  </si>
  <si>
    <r>
      <t>Computing_</t>
    </r>
    <r>
      <rPr>
        <b/>
        <sz val="11"/>
        <color theme="1"/>
        <rFont val="Calibri"/>
        <family val="2"/>
        <scheme val="minor"/>
      </rPr>
      <t>Reserver</t>
    </r>
  </si>
  <si>
    <r>
      <t>HA_</t>
    </r>
    <r>
      <rPr>
        <b/>
        <sz val="11"/>
        <color theme="1"/>
        <rFont val="Calibri"/>
        <family val="2"/>
        <scheme val="minor"/>
      </rPr>
      <t>Reserver</t>
    </r>
  </si>
  <si>
    <r>
      <t>MB_</t>
    </r>
    <r>
      <rPr>
        <b/>
        <sz val="11"/>
        <color theme="1"/>
        <rFont val="Calibri"/>
        <family val="2"/>
        <scheme val="minor"/>
      </rPr>
      <t>Non Reserver</t>
    </r>
  </si>
  <si>
    <r>
      <t>TV_</t>
    </r>
    <r>
      <rPr>
        <b/>
        <sz val="11"/>
        <color theme="1"/>
        <rFont val="Calibri"/>
        <family val="2"/>
        <scheme val="minor"/>
      </rPr>
      <t>Non Reserver</t>
    </r>
  </si>
  <si>
    <r>
      <t>Computing_</t>
    </r>
    <r>
      <rPr>
        <b/>
        <sz val="11"/>
        <color theme="1"/>
        <rFont val="Calibri"/>
        <family val="2"/>
        <scheme val="minor"/>
      </rPr>
      <t>Non Reserver</t>
    </r>
  </si>
  <si>
    <r>
      <t>MB_</t>
    </r>
    <r>
      <rPr>
        <b/>
        <sz val="11"/>
        <color theme="1"/>
        <rFont val="Calibri"/>
        <family val="2"/>
        <scheme val="minor"/>
      </rPr>
      <t>EPP Reserver</t>
    </r>
  </si>
  <si>
    <r>
      <t>TV_</t>
    </r>
    <r>
      <rPr>
        <b/>
        <sz val="11"/>
        <color theme="1"/>
        <rFont val="Calibri"/>
        <family val="2"/>
        <scheme val="minor"/>
      </rPr>
      <t>EPP Reserver</t>
    </r>
  </si>
  <si>
    <r>
      <t>Computing_</t>
    </r>
    <r>
      <rPr>
        <b/>
        <sz val="11"/>
        <color theme="1"/>
        <rFont val="Calibri"/>
        <family val="2"/>
        <scheme val="minor"/>
      </rPr>
      <t>EPP Reserver</t>
    </r>
  </si>
  <si>
    <r>
      <t>TV_</t>
    </r>
    <r>
      <rPr>
        <b/>
        <sz val="11"/>
        <color theme="1"/>
        <rFont val="Calibri"/>
        <family val="2"/>
        <scheme val="minor"/>
      </rPr>
      <t>EPP Non Reserver</t>
    </r>
  </si>
  <si>
    <r>
      <t>Computing_</t>
    </r>
    <r>
      <rPr>
        <b/>
        <sz val="11"/>
        <color theme="1"/>
        <rFont val="Calibri"/>
        <family val="2"/>
        <scheme val="minor"/>
      </rPr>
      <t>EPP Non Reserver</t>
    </r>
  </si>
  <si>
    <t>Start Date</t>
  </si>
  <si>
    <t>End Date</t>
  </si>
  <si>
    <t>Category</t>
  </si>
  <si>
    <t>Sub-category</t>
  </si>
  <si>
    <t>Offer</t>
  </si>
  <si>
    <t>Starting from price</t>
  </si>
  <si>
    <t>Business Priority</t>
  </si>
  <si>
    <t>Notes</t>
  </si>
  <si>
    <t>HA Kitchen</t>
  </si>
  <si>
    <t>Starting from $1,499</t>
  </si>
  <si>
    <t>Starting from $139</t>
  </si>
  <si>
    <t>Starting from $599</t>
  </si>
  <si>
    <t>Starting from $999</t>
  </si>
  <si>
    <t>Up to 30% off Cooktops</t>
  </si>
  <si>
    <t>Starting from $449</t>
  </si>
  <si>
    <t>Up to 15% off Hoods</t>
  </si>
  <si>
    <t>Starting from $429</t>
  </si>
  <si>
    <t>HA Laundry</t>
  </si>
  <si>
    <t>Starting from $549</t>
  </si>
  <si>
    <t>HA Cleaner</t>
  </si>
  <si>
    <t>Up to 30% off Jet Stick = 100 day free trial</t>
  </si>
  <si>
    <t>Starting from $299</t>
  </si>
  <si>
    <t>25% off Clean Station</t>
  </si>
  <si>
    <t>Black November Appliance Package: GIFT DETAILS: Purchase 4 or more from eligible categories and receive 10% off the pre-tax purchase price at the register or in a MasterCard gift card. Purchases must include products from different product categories, additional major appliances purchased are eligible for the discount as long as the eligibility requirements listed above are met. Eligible categories are Refrigerators, Ranges, Countertop Microwaves, Over-the-Range Microwave Ovens, Dishwashers, Wall Ovens, Cooktops, or Range Hoods. *Samsung Chef Collection, Washers, Dryers, Pedestals, Vacuums, and all accessories are not eligible.</t>
  </si>
  <si>
    <t>Details: Purchase  (1) AirDresser and (1) Jet 90 stick vacuum, and receive (1) Clean Station.</t>
  </si>
  <si>
    <t>$1,398 bundle.  Free Clean Station has $149 value.</t>
  </si>
  <si>
    <t>Purchase (1) AirDresser and (1) Jet 75 stick vacuum, and receive (1) Clean Station.</t>
  </si>
  <si>
    <t>$1,298 bundle.  Free Clean Station has $149 value.</t>
  </si>
  <si>
    <t>MB_Note</t>
  </si>
  <si>
    <t>HE</t>
  </si>
  <si>
    <t>TV_QLED</t>
  </si>
  <si>
    <t>Save up to $1,800 on 4K QLED TVs (BF Pricing)</t>
  </si>
  <si>
    <t>TV_UHD</t>
  </si>
  <si>
    <t>TV_SERO</t>
  </si>
  <si>
    <t>CE_Computing</t>
  </si>
  <si>
    <t>Save up to 35% on SSD (BF Price)</t>
  </si>
  <si>
    <t>Code</t>
  </si>
  <si>
    <t>Sub Category</t>
  </si>
  <si>
    <t>DD Offer Headline</t>
  </si>
  <si>
    <t>DD Offer Subheadline (PRICING/OFFER END DATES ONLY)</t>
  </si>
  <si>
    <t>DD offer Subcopy</t>
  </si>
  <si>
    <t>DD CTA</t>
  </si>
  <si>
    <t>URL</t>
  </si>
  <si>
    <t>Deeplink</t>
  </si>
  <si>
    <t>Shop now</t>
  </si>
  <si>
    <t>Buy now</t>
  </si>
  <si>
    <t xml:space="preserve">Get up to 50% off Galaxy Z Fold2 5G </t>
  </si>
  <si>
    <t>Save up to 45% off T Series Soundbar (BF Pricing)</t>
  </si>
  <si>
    <t>BLACK = FROM PREVIOUS TOUCH</t>
  </si>
  <si>
    <r>
      <t>Now from only $20.84/mo for 48 mos</t>
    </r>
    <r>
      <rPr>
        <vertAlign val="superscript"/>
        <sz val="11"/>
        <rFont val="Calibri"/>
        <family val="2"/>
        <scheme val="minor"/>
      </rPr>
      <t>⊕</t>
    </r>
    <r>
      <rPr>
        <sz val="11"/>
        <rFont val="Calibri"/>
        <family val="2"/>
        <scheme val="minor"/>
      </rPr>
      <t xml:space="preserve"> or $999.99 with eligible trade-in.ᶿ</t>
    </r>
  </si>
  <si>
    <t>GRAY = OFFER LIVE, BUT NOT FT IN DD = NO VISUAL ASSETS NEEDED</t>
  </si>
  <si>
    <t>ᶿ</t>
  </si>
  <si>
    <t>⊕</t>
  </si>
  <si>
    <t>Image</t>
  </si>
  <si>
    <t>Headline</t>
  </si>
  <si>
    <t>Subcopy</t>
  </si>
  <si>
    <t>CTA</t>
  </si>
  <si>
    <t>RESERVERS - Generic Version Shop phones (1 module)</t>
  </si>
  <si>
    <t>Shop all</t>
  </si>
  <si>
    <t>NON - RESERVERS - Generic Version Shop phones (1 module)</t>
  </si>
  <si>
    <t>Generic Version Shop all TVs (1 module)</t>
  </si>
  <si>
    <t>Generic Version Shop all Appliances (1 module)</t>
  </si>
  <si>
    <t>Generic Version Shop all wearables (1 module)</t>
  </si>
  <si>
    <t>Generic Version Shop all Computing (1 module)</t>
  </si>
  <si>
    <t>Give-wonder-500xV.jpg</t>
  </si>
  <si>
    <t>The gift that keeps on giving</t>
  </si>
  <si>
    <t>Discover even more exclusive offers on your favorite products and unlock the power of smart and savvy gifting.</t>
  </si>
  <si>
    <t>https://www.samsung.com/us/gift-ideas/</t>
  </si>
  <si>
    <t>ALL KV Image</t>
  </si>
  <si>
    <t>All KV URL</t>
  </si>
  <si>
    <t>Targeted Audiences</t>
  </si>
  <si>
    <t>Top Banner</t>
  </si>
  <si>
    <t>Image Located in extra-modules folder</t>
  </si>
  <si>
    <t>Subheadline</t>
  </si>
  <si>
    <t>SubCopy</t>
  </si>
  <si>
    <t>KV-all-500x214.jpg</t>
  </si>
  <si>
    <t>https://www.samsung.com/us/shop/all-deals/</t>
  </si>
  <si>
    <t>EPP Reservers</t>
  </si>
  <si>
    <t>EPP banner</t>
  </si>
  <si>
    <t>EPP-Hero-500x13.jpg</t>
  </si>
  <si>
    <t>Gift Guide banner</t>
  </si>
  <si>
    <t>Version</t>
  </si>
  <si>
    <t>MB</t>
  </si>
  <si>
    <t>Superscript</t>
  </si>
  <si>
    <t>Links</t>
  </si>
  <si>
    <t>DD</t>
  </si>
  <si>
    <t>#</t>
  </si>
  <si>
    <t>DD Version</t>
  </si>
  <si>
    <t>TV &amp; Home Theater</t>
  </si>
  <si>
    <t>Watches/Audio</t>
  </si>
  <si>
    <t>H</t>
  </si>
  <si>
    <t>SH</t>
  </si>
  <si>
    <t>SC</t>
  </si>
  <si>
    <t>Save up to 80% on the latest and greatest Galaxy devices.</t>
  </si>
  <si>
    <t>PN Copy - Touch 3</t>
  </si>
  <si>
    <r>
      <t xml:space="preserve">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t>
    </r>
    <r>
      <rPr>
        <sz val="11"/>
        <color theme="4"/>
        <rFont val="Calibri"/>
        <family val="2"/>
        <scheme val="minor"/>
      </rPr>
      <t xml:space="preserve">Click here </t>
    </r>
    <r>
      <rPr>
        <sz val="11"/>
        <color theme="1"/>
        <rFont val="Calibri"/>
        <family val="2"/>
        <scheme val="minor"/>
      </rPr>
      <t>to learn more.</t>
    </r>
  </si>
  <si>
    <r>
      <rPr>
        <vertAlign val="superscript"/>
        <sz val="11"/>
        <color theme="1"/>
        <rFont val="Calibri"/>
        <family val="2"/>
        <scheme val="minor"/>
      </rPr>
      <t>⊕</t>
    </r>
    <r>
      <rPr>
        <sz val="11"/>
        <color theme="1"/>
        <rFont val="Calibri"/>
        <family val="2"/>
        <scheme val="minor"/>
      </rPr>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r>
  </si>
  <si>
    <t>§</t>
  </si>
  <si>
    <r>
      <rPr>
        <vertAlign val="superscript"/>
        <sz val="11"/>
        <color theme="1"/>
        <rFont val="Calibri"/>
        <family val="2"/>
        <scheme val="minor"/>
      </rPr>
      <t>§</t>
    </r>
    <r>
      <rPr>
        <sz val="11"/>
        <color theme="1"/>
        <rFont val="Calibri"/>
        <family val="2"/>
        <scheme val="minor"/>
      </rPr>
      <t xml:space="preserve">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t>
    </r>
    <r>
      <rPr>
        <sz val="11"/>
        <color theme="4"/>
        <rFont val="Calibri"/>
        <family val="2"/>
        <scheme val="minor"/>
      </rPr>
      <t>Samsung.com</t>
    </r>
    <r>
      <rPr>
        <sz val="11"/>
        <color theme="1"/>
        <rFont val="Calibri"/>
        <family val="2"/>
        <scheme val="minor"/>
      </rPr>
      <t xml:space="preserve">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t>
    </r>
    <r>
      <rPr>
        <sz val="11"/>
        <color theme="4"/>
        <rFont val="Calibri"/>
        <family val="2"/>
        <scheme val="minor"/>
      </rPr>
      <t>www.Samsung.com</t>
    </r>
    <r>
      <rPr>
        <sz val="11"/>
        <color theme="1"/>
        <rFont val="Calibri"/>
        <family val="2"/>
        <scheme val="minor"/>
      </rPr>
      <t xml:space="preserve"> or in the App for use towards an eligible purchase. Void where prohibited or restricted by law. Additional restrictions apply. Offer subject to additional terms here. Samsung reserves the right to modify or discontinue offer at any time by posting notice on the app or website</t>
    </r>
  </si>
  <si>
    <t>†</t>
  </si>
  <si>
    <r>
      <rPr>
        <vertAlign val="superscript"/>
        <sz val="11"/>
        <color theme="1"/>
        <rFont val="Calibri"/>
        <family val="2"/>
        <scheme val="minor"/>
      </rPr>
      <t>†</t>
    </r>
    <r>
      <rPr>
        <sz val="11"/>
        <color theme="1"/>
        <rFont val="Calibri"/>
        <family val="2"/>
        <scheme val="minor"/>
      </rPr>
      <t xml:space="preserve">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t>
    </r>
    <r>
      <rPr>
        <sz val="11"/>
        <color theme="4"/>
        <rFont val="Calibri"/>
        <family val="2"/>
        <scheme val="minor"/>
      </rPr>
      <t>Samsung.com</t>
    </r>
    <r>
      <rPr>
        <sz val="11"/>
        <color theme="1"/>
        <rFont val="Calibri"/>
        <family val="2"/>
        <scheme val="minor"/>
      </rPr>
      <t xml:space="preserve">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t>
    </r>
    <r>
      <rPr>
        <sz val="11"/>
        <color theme="4"/>
        <rFont val="Calibri"/>
        <family val="2"/>
        <scheme val="minor"/>
      </rPr>
      <t>www.Samsung.com</t>
    </r>
    <r>
      <rPr>
        <sz val="11"/>
        <color theme="1"/>
        <rFont val="Calibri"/>
        <family val="2"/>
        <scheme val="minor"/>
      </rPr>
      <t xml:space="preserve"> or in the App for use towards an eligible purchase. Void where prohibited or restricted by law. Additional restrictions apply. Offer subject to additional terms here. Samsung reserves the right to modify or discontinue offer at any time by posting notice on the app or website</t>
    </r>
  </si>
  <si>
    <t>‡</t>
  </si>
  <si>
    <r>
      <rPr>
        <vertAlign val="superscript"/>
        <sz val="11"/>
        <color theme="1"/>
        <rFont val="Calibri"/>
        <family val="2"/>
        <scheme val="minor"/>
      </rPr>
      <t>‡</t>
    </r>
    <r>
      <rPr>
        <sz val="11"/>
        <color theme="1"/>
        <rFont val="Calibri"/>
        <family val="2"/>
        <scheme val="minor"/>
      </rPr>
      <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r>
  </si>
  <si>
    <t>α</t>
  </si>
  <si>
    <r>
      <rPr>
        <vertAlign val="superscript"/>
        <sz val="11"/>
        <color theme="1"/>
        <rFont val="Calibri"/>
        <family val="2"/>
        <scheme val="minor"/>
      </rPr>
      <t>α</t>
    </r>
    <r>
      <rPr>
        <sz val="11"/>
        <color theme="1"/>
        <rFont val="Calibri"/>
        <family val="2"/>
        <scheme val="minor"/>
      </rPr>
      <t>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t>
    </r>
  </si>
  <si>
    <t xml:space="preserve">Shop savvy. Shop smart. </t>
  </si>
  <si>
    <t>Shop early Black Friday offers.</t>
  </si>
  <si>
    <t xml:space="preserve">Skip the lines and save on all your favorite products. </t>
  </si>
  <si>
    <t>Generic - non reservers</t>
  </si>
  <si>
    <t>Redeem $50 or more instant credit.</t>
  </si>
  <si>
    <t>Buy any Galaxy smartphone. Get credit toward accessories.</t>
  </si>
  <si>
    <t>Generic - reservers</t>
  </si>
  <si>
    <t>Phones - non reservers</t>
  </si>
  <si>
    <t>Phones - reservers</t>
  </si>
  <si>
    <t>Get 50% off Galaxy A71 5G with T-Mobile and Verizon</t>
  </si>
  <si>
    <t xml:space="preserve">Now from only only $8.34/mo for 36 mos⊕ or $299.99 with eligible trade-in.ᶿ </t>
  </si>
  <si>
    <t>https://www.samsung.com/us/mobile/phones/galaxy-a/buy/?link=galaxy-a71-5g</t>
  </si>
  <si>
    <t xml:space="preserve">Save up to $250 instantly and get $75 or more trade-in credit. Treat yourself to blazing fast 5G speeds and incredible features at an amazing value. </t>
  </si>
  <si>
    <t>MSRP</t>
  </si>
  <si>
    <t xml:space="preserve">Trade-in </t>
  </si>
  <si>
    <t>IR</t>
  </si>
  <si>
    <t>Product</t>
  </si>
  <si>
    <t>ME_WEAR</t>
  </si>
  <si>
    <t>galaxy buds+</t>
  </si>
  <si>
    <t>Galaxy Watch 3 Titanium $100 IR ($539)</t>
  </si>
  <si>
    <t>galaxy watch3 titanium</t>
  </si>
  <si>
    <t>Galaxy Watch 3 BT $60 ($359/$389)</t>
  </si>
  <si>
    <t>galaxy watch3 BT</t>
  </si>
  <si>
    <t>Watch Active 2 LTE $70 IR</t>
  </si>
  <si>
    <t>galaxy watch active2 LTE</t>
  </si>
  <si>
    <t>Watch Active 2 BT $70 IR</t>
  </si>
  <si>
    <t>galaxy watch active2 BT</t>
  </si>
  <si>
    <t>Galaxy Watch LTE $40 IR</t>
  </si>
  <si>
    <t>galaxy watch LTE</t>
  </si>
  <si>
    <t>Galaxy Watch All Colors $70</t>
  </si>
  <si>
    <t>galaxy watch BT</t>
  </si>
  <si>
    <t>ME_TAB</t>
  </si>
  <si>
    <t>BBY NC Tab S6 Lite $100 IR (11/19-11/30)</t>
  </si>
  <si>
    <t>galaxy tab s6 lite</t>
  </si>
  <si>
    <t>BBY NC Tab S7/S7+ $100/$150 IR (11/19 - 11/30)</t>
  </si>
  <si>
    <t>galaxy tab s7</t>
  </si>
  <si>
    <t>NP Tab A7 - $80 IR (11/19 - 11/30)</t>
  </si>
  <si>
    <t>galaxy tab a7</t>
  </si>
  <si>
    <t>Tab A 8.0 (2019) - $50 IR (11/19-11/30)`</t>
  </si>
  <si>
    <t>galaxy tab a8.0</t>
  </si>
  <si>
    <t>targetData.version</t>
  </si>
  <si>
    <t>targetData.prodFmly1</t>
  </si>
  <si>
    <t>targetData.prodFmly2</t>
  </si>
  <si>
    <t>targetData.prodFmly3</t>
  </si>
  <si>
    <t>targetData.segmentCode</t>
  </si>
  <si>
    <t>targetData.Cell_Name</t>
  </si>
  <si>
    <t xml:space="preserve">Banner 1 - Image URL </t>
  </si>
  <si>
    <t>Banner 1 - Headline Copy</t>
  </si>
  <si>
    <t xml:space="preserve">Banner 1 - Subcopy </t>
  </si>
  <si>
    <t xml:space="preserve">Banner 1 - CTA Copy </t>
  </si>
  <si>
    <t xml:space="preserve">Banner 1 - CTA Link </t>
  </si>
  <si>
    <t>Banner 2 - Headline Copy</t>
  </si>
  <si>
    <t xml:space="preserve">Banner 2 - Subcopy </t>
  </si>
  <si>
    <t xml:space="preserve">Banner 2 - CTA Copy </t>
  </si>
  <si>
    <t>Banner 3 - Headline Copy</t>
  </si>
  <si>
    <t xml:space="preserve">Banner 3 - Subcopy </t>
  </si>
  <si>
    <t xml:space="preserve">Banner 3 - CTA Copy </t>
  </si>
  <si>
    <t xml:space="preserve">Banner 3 - CTA Link </t>
  </si>
  <si>
    <t>Banner 4 - Headline Copy</t>
  </si>
  <si>
    <t xml:space="preserve">Banner 4 - Subcopy </t>
  </si>
  <si>
    <t xml:space="preserve">Banner 4 - CTA Copy </t>
  </si>
  <si>
    <t xml:space="preserve">Banner 4 - CTA Link </t>
  </si>
  <si>
    <t>Subject Line</t>
  </si>
  <si>
    <t>Preheader</t>
  </si>
  <si>
    <t>HHP</t>
  </si>
  <si>
    <t>MB_NOTE</t>
  </si>
  <si>
    <t>Note20 F: up to $550 trade-in credit/$200 IR-Get up to 75% off Galaxy Note 20 5G or Note 20 Ultra 5G</t>
  </si>
  <si>
    <t>MB_GALAXY</t>
  </si>
  <si>
    <t>S20+ Get up to 55% off Galaxy S20+ 5G</t>
  </si>
  <si>
    <t>S20FE Get up to 80% off Galaxy S20 FE 5G</t>
  </si>
  <si>
    <t>MB_FOLD</t>
  </si>
  <si>
    <t xml:space="preserve"> Fold 2 5G: up to $100 trade-in credit-Get up to 50% off Galaxy Z Fold2 5G </t>
  </si>
  <si>
    <t>MB_MID</t>
  </si>
  <si>
    <t>Save up to $3,000 on 8K QLED TVs (BF Pricing)</t>
  </si>
  <si>
    <t>TV_FRAME</t>
  </si>
  <si>
    <t>Save up to $800 on the Frame (BF Price)</t>
  </si>
  <si>
    <t>TV_TERRACE</t>
  </si>
  <si>
    <t>Save up to $1,300 on the Terrace (BF Price)</t>
  </si>
  <si>
    <t>Save up to $800 on Crystal UHD TVs (BF Pricing)</t>
  </si>
  <si>
    <t>Save $500 on the Sero (BF price)</t>
  </si>
  <si>
    <t>Price: $1,499.99</t>
  </si>
  <si>
    <t>TV_ACCESSORIES</t>
  </si>
  <si>
    <t>TV_SERIF</t>
  </si>
  <si>
    <t>Save up to $300 on the Serif (BF Price)</t>
  </si>
  <si>
    <t>Save up to 25% on S Series Soundbar (BF Pricing)</t>
  </si>
  <si>
    <t>Save up to $100 on Sound Tower (BF Price) SKU: MX-T70/ZA, MX-T50/ZA</t>
  </si>
  <si>
    <t>Save up to 40% off Wireless Rear Speaker Kit (BF Price) SKU: SWA-9000S/ZA, SWA-8500S/ZA</t>
  </si>
  <si>
    <t>Save up to 30% off Monitor (BF Price)</t>
  </si>
  <si>
    <t>Save $230 on 49" Odyssey G9 Gaming Monitor BF Price)</t>
  </si>
  <si>
    <t>Price: $1,249.99</t>
  </si>
  <si>
    <t>Save up to 60% on Memory Cards (BF Price)</t>
  </si>
  <si>
    <t>Save up to 30% on USBs (BF Price)</t>
  </si>
  <si>
    <t>There is only one SKU</t>
  </si>
  <si>
    <t xml:space="preserve">Up to $220 off Jet Stick Cordless Vacuums.  Plus, get a free Clean Station or Battery with every purchase.
</t>
  </si>
  <si>
    <t>Starting from $279</t>
  </si>
  <si>
    <t>Starting from $199</t>
  </si>
  <si>
    <t>$150 off Air Purifier</t>
  </si>
  <si>
    <t>S20 F: Get up to 80% off</t>
  </si>
  <si>
    <t>Generic Version Shop all tablets (1 module)</t>
  </si>
  <si>
    <t>CC</t>
  </si>
  <si>
    <t>MB_GALAXY
MB_FOLD
MB_NOTE
MB_MID</t>
  </si>
  <si>
    <t>X</t>
  </si>
  <si>
    <t>Reserver
EPP_Reservers</t>
  </si>
  <si>
    <t>Non_Reservers
EPP_NonReservers</t>
  </si>
  <si>
    <t>TV_QLED
TV_UHD
TV_FRAME</t>
  </si>
  <si>
    <t>MB_TABLET</t>
  </si>
  <si>
    <t>NORKLE DATA</t>
  </si>
  <si>
    <t>NORKLE ONLY DATA</t>
  </si>
  <si>
    <t>REFERENCE ONLY</t>
  </si>
  <si>
    <t>Banner 2 Name</t>
  </si>
  <si>
    <t>Banner 1 Name</t>
  </si>
  <si>
    <t>Banner 3 Name</t>
  </si>
  <si>
    <t>Banner 4 Name</t>
  </si>
  <si>
    <t>Banner 5 Name</t>
  </si>
  <si>
    <t>Banner 5 - Headline Copy</t>
  </si>
  <si>
    <t xml:space="preserve">Banner 5 - Subcopy </t>
  </si>
  <si>
    <t xml:space="preserve">Banner 5 - CTA Copy </t>
  </si>
  <si>
    <t xml:space="preserve">Banner 5 - CTA Link </t>
  </si>
  <si>
    <t>A71 5G / A51 5G</t>
  </si>
  <si>
    <t xml:space="preserve">Fold2   </t>
  </si>
  <si>
    <t xml:space="preserve">S20 Family (S20+, S20U, S20, S20FE) </t>
  </si>
  <si>
    <t>N20F (N20/N20U)</t>
  </si>
  <si>
    <t>Hero &amp; Countdown Timer</t>
  </si>
  <si>
    <t>Banner 6 Name</t>
  </si>
  <si>
    <t>Banner 6 - Headline Copy</t>
  </si>
  <si>
    <t xml:space="preserve">Banner 6 - Subcopy </t>
  </si>
  <si>
    <t xml:space="preserve">Banner 6 - CTA Copy </t>
  </si>
  <si>
    <t xml:space="preserve">Banner 6 - CTA Link </t>
  </si>
  <si>
    <t>MB_WEAR</t>
  </si>
  <si>
    <t>CC TV &amp; ACCESSORIES</t>
  </si>
  <si>
    <t>CC TABLET</t>
  </si>
  <si>
    <t>CC MOBILE RESERVER</t>
  </si>
  <si>
    <t>Banner 7 Name</t>
  </si>
  <si>
    <t>Banner 7 - Headline Copy</t>
  </si>
  <si>
    <t xml:space="preserve">Banner 7 - Subcopy </t>
  </si>
  <si>
    <t xml:space="preserve">Banner 7 - CTA Copy </t>
  </si>
  <si>
    <t xml:space="preserve">Banner 7 - CTA Link </t>
  </si>
  <si>
    <t>FOOTER</t>
  </si>
  <si>
    <t>Banner 8 Name</t>
  </si>
  <si>
    <t>Banner 8 - Headline Copy</t>
  </si>
  <si>
    <t xml:space="preserve">Banner 8 - Subcopy </t>
  </si>
  <si>
    <t xml:space="preserve">Banner 8 - CTA Copy </t>
  </si>
  <si>
    <t xml:space="preserve">Banner 8 - CTA Link </t>
  </si>
  <si>
    <t>CC HA</t>
  </si>
  <si>
    <t>GIFT GUIDE</t>
  </si>
  <si>
    <t>Banner 9 Name</t>
  </si>
  <si>
    <t>Banner 9 - Headline Copy</t>
  </si>
  <si>
    <t xml:space="preserve">Banner 9 - Subcopy </t>
  </si>
  <si>
    <t xml:space="preserve">Banner 9 - CTA Copy </t>
  </si>
  <si>
    <t xml:space="preserve">Banner 9 - CTA Link </t>
  </si>
  <si>
    <t>Banner 10 Name</t>
  </si>
  <si>
    <t>Banner 10 - Headline Copy</t>
  </si>
  <si>
    <t xml:space="preserve">Banner 10 - Subcopy </t>
  </si>
  <si>
    <t xml:space="preserve">Banner 10 - CTA Copy </t>
  </si>
  <si>
    <t xml:space="preserve">Banner 10 - CTA Link </t>
  </si>
  <si>
    <t>Save up to $1000 instantly on the latest and greatest Galaxy smartphones</t>
  </si>
  <si>
    <t>Get up to $3000 off select 8K, 4K and Lifestyle TVs</t>
  </si>
  <si>
    <t>Save up to 50% on everything you need to upgrade your home and home care</t>
  </si>
  <si>
    <t xml:space="preserve">Banner 1 - CTA Deeplink </t>
  </si>
  <si>
    <t xml:space="preserve">Banner 1 - CTA 2 Link </t>
  </si>
  <si>
    <t xml:space="preserve">Banner 1 - CTA 2 Deeplink </t>
  </si>
  <si>
    <t>Banner 1 - Subhead Copy</t>
  </si>
  <si>
    <t>Tablet</t>
  </si>
  <si>
    <t>Wear</t>
  </si>
  <si>
    <r>
      <t>Tablet_</t>
    </r>
    <r>
      <rPr>
        <b/>
        <sz val="11"/>
        <color theme="1"/>
        <rFont val="Calibri"/>
        <family val="2"/>
        <scheme val="minor"/>
      </rPr>
      <t>Reserver</t>
    </r>
  </si>
  <si>
    <t xml:space="preserve">Tablet </t>
  </si>
  <si>
    <r>
      <t>Wear_</t>
    </r>
    <r>
      <rPr>
        <b/>
        <sz val="11"/>
        <color theme="1"/>
        <rFont val="Calibri"/>
        <family val="2"/>
        <scheme val="minor"/>
      </rPr>
      <t>Reserver</t>
    </r>
  </si>
  <si>
    <t xml:space="preserve">Mobile </t>
  </si>
  <si>
    <t>Mobile</t>
  </si>
  <si>
    <t>Tablet_Non Reserver</t>
  </si>
  <si>
    <t>Wear_Non Reserver</t>
  </si>
  <si>
    <t>HA_Non Reserver</t>
  </si>
  <si>
    <r>
      <t>Tablet_</t>
    </r>
    <r>
      <rPr>
        <b/>
        <sz val="11"/>
        <color theme="1"/>
        <rFont val="Calibri"/>
        <family val="2"/>
        <scheme val="minor"/>
      </rPr>
      <t>EPP Reserver</t>
    </r>
  </si>
  <si>
    <r>
      <t>Wear_</t>
    </r>
    <r>
      <rPr>
        <b/>
        <sz val="11"/>
        <color theme="1"/>
        <rFont val="Calibri"/>
        <family val="2"/>
        <scheme val="minor"/>
      </rPr>
      <t>EPP Reserver</t>
    </r>
  </si>
  <si>
    <r>
      <t>HA_</t>
    </r>
    <r>
      <rPr>
        <b/>
        <sz val="11"/>
        <color theme="1"/>
        <rFont val="Calibri"/>
        <family val="2"/>
        <scheme val="minor"/>
      </rPr>
      <t>EPP</t>
    </r>
    <r>
      <rPr>
        <sz val="11"/>
        <color theme="1"/>
        <rFont val="Calibri"/>
        <family val="2"/>
        <scheme val="minor"/>
      </rPr>
      <t xml:space="preserve"> </t>
    </r>
    <r>
      <rPr>
        <b/>
        <sz val="11"/>
        <color theme="1"/>
        <rFont val="Calibri"/>
        <family val="2"/>
        <scheme val="minor"/>
      </rPr>
      <t>Reserver</t>
    </r>
  </si>
  <si>
    <r>
      <t>MB_</t>
    </r>
    <r>
      <rPr>
        <b/>
        <sz val="11"/>
        <color theme="1"/>
        <rFont val="Calibri"/>
        <family val="2"/>
        <scheme val="minor"/>
      </rPr>
      <t>EPP</t>
    </r>
    <r>
      <rPr>
        <sz val="11"/>
        <color theme="1"/>
        <rFont val="Calibri"/>
        <family val="2"/>
        <scheme val="minor"/>
      </rPr>
      <t xml:space="preserve"> </t>
    </r>
    <r>
      <rPr>
        <b/>
        <sz val="11"/>
        <color theme="1"/>
        <rFont val="Calibri"/>
        <family val="2"/>
        <scheme val="minor"/>
      </rPr>
      <t>Non Reserver</t>
    </r>
  </si>
  <si>
    <t>Tablet_EPP Non Reserver</t>
  </si>
  <si>
    <t>Wear_EPP Non Reserver</t>
  </si>
  <si>
    <t>HA_EPP Non Reserver</t>
  </si>
  <si>
    <t>Banner 2 - Subhead Copy</t>
  </si>
  <si>
    <t xml:space="preserve">Banner 2 - CTA Link </t>
  </si>
  <si>
    <t xml:space="preserve">Banner 2 - CTA Deeplink </t>
  </si>
  <si>
    <t xml:space="preserve">Banner 2 - CTA 2 Link </t>
  </si>
  <si>
    <t xml:space="preserve">Banner 2 - CTA 2 Deeplink </t>
  </si>
  <si>
    <t>Banner 3 - Subhead Copy</t>
  </si>
  <si>
    <t xml:space="preserve">Banner 3 - CTA Deeplink </t>
  </si>
  <si>
    <t xml:space="preserve">Banner 3 - CTA 2 Link </t>
  </si>
  <si>
    <t xml:space="preserve">Banner 3 - CTA 2 Deeplink </t>
  </si>
  <si>
    <t>Banner 4 - Subhead Copy</t>
  </si>
  <si>
    <t xml:space="preserve">Banner 4 - CTA Deeplink </t>
  </si>
  <si>
    <t xml:space="preserve">Banner 4 - CTA 2 Link </t>
  </si>
  <si>
    <t>Banner 5 - Subhead Copy</t>
  </si>
  <si>
    <t xml:space="preserve">Banner 5 - CTA Deeplink </t>
  </si>
  <si>
    <t xml:space="preserve">Banner 5 - CTA 2 Link </t>
  </si>
  <si>
    <t>Banner 6 - Subhead Copy</t>
  </si>
  <si>
    <t xml:space="preserve">Banner 6 - CTA Deeplink </t>
  </si>
  <si>
    <t xml:space="preserve">Banner 6 - CTA 2 Link </t>
  </si>
  <si>
    <t xml:space="preserve">Banner 6 - CTA 2 Deeplink </t>
  </si>
  <si>
    <t>Banner 7 - Subhead Copy</t>
  </si>
  <si>
    <t xml:space="preserve">Banner 7 - CTA Deeplink </t>
  </si>
  <si>
    <t xml:space="preserve">Banner 7 - CTA 2 Link </t>
  </si>
  <si>
    <t xml:space="preserve">Banner 7 - CTA 2 Deeplink </t>
  </si>
  <si>
    <t>Banner 8 - Subhead Copy</t>
  </si>
  <si>
    <t xml:space="preserve">Banner 8 - CTA Deeplink </t>
  </si>
  <si>
    <t xml:space="preserve">Banner 8 - CTA 2 Link </t>
  </si>
  <si>
    <t xml:space="preserve">Banner 8 - CTA 2 Deeplink </t>
  </si>
  <si>
    <t>Banner 9 - Subhead Copy</t>
  </si>
  <si>
    <t xml:space="preserve">Banner 9 - CTA Deeplink </t>
  </si>
  <si>
    <t xml:space="preserve">Banner 9 - CTA 2 Link </t>
  </si>
  <si>
    <t xml:space="preserve">Banner 9 - CTA 2 Deeplink </t>
  </si>
  <si>
    <t>Banner 10 - Subhead Copy</t>
  </si>
  <si>
    <t xml:space="preserve">Banner 10 - CTA Deeplink </t>
  </si>
  <si>
    <t xml:space="preserve">Banner 10 - CTA 2 Link </t>
  </si>
  <si>
    <t xml:space="preserve">Banner 10 - CTA 2 Deeplink </t>
  </si>
  <si>
    <t>Rules &amp; Guidelines</t>
  </si>
  <si>
    <t>Product Category Banners</t>
  </si>
  <si>
    <t>Add as separate banner element</t>
  </si>
  <si>
    <t>Supply in separate sheet in banner format with start/end date &amp; time of change.</t>
  </si>
  <si>
    <t>Start Time</t>
  </si>
  <si>
    <t>End Time</t>
  </si>
  <si>
    <t>Propensity Fields</t>
  </si>
  <si>
    <t xml:space="preserve">Cannot multiple codes into the same row. Break out each into separate rows. </t>
  </si>
  <si>
    <t>EPP Banners</t>
  </si>
  <si>
    <t>Treat as separate banner element</t>
  </si>
  <si>
    <t xml:space="preserve">Black Friday Buds+ ($40 IR)  </t>
  </si>
  <si>
    <t>CE_COMPUTER</t>
  </si>
  <si>
    <t>Get up to $100 off select watches and earbuds</t>
  </si>
  <si>
    <t>Get up to 60% off memory cards, SSD, monitors and more</t>
  </si>
  <si>
    <t>Dynamic Banners</t>
  </si>
  <si>
    <t>Save up to $150 on select tablets</t>
  </si>
  <si>
    <t xml:space="preserve">Empower how you create, work, learn, game and more with our powerful line of tablets. Shop our offers on great products from the new Galaxy Tab S7+ to the Galaxy Tab S6 Lite. </t>
  </si>
  <si>
    <t>CC WEAR</t>
  </si>
  <si>
    <t>CC COMPUTER</t>
  </si>
  <si>
    <t>HA_LAUNDRY
HA_CLEANER</t>
  </si>
  <si>
    <t>Non_Reservers</t>
  </si>
  <si>
    <t>CC MOBILE NON RESERVER</t>
  </si>
  <si>
    <t>Banner 11 Name</t>
  </si>
  <si>
    <t>Banner 11 - Headline Copy</t>
  </si>
  <si>
    <t>Banner 11 - Subhead Copy</t>
  </si>
  <si>
    <t xml:space="preserve">Banner 11 - Subcopy </t>
  </si>
  <si>
    <t xml:space="preserve">Banner 11 - CTA Copy </t>
  </si>
  <si>
    <t xml:space="preserve">Banner 11 - CTA Link </t>
  </si>
  <si>
    <t xml:space="preserve">Banner 11 - CTA Deeplink </t>
  </si>
  <si>
    <t xml:space="preserve">Banner 11 - CTA 2 Link </t>
  </si>
  <si>
    <t xml:space="preserve">Banner 11 - CTA 2 Deeplink </t>
  </si>
  <si>
    <t>EPP Banner</t>
  </si>
  <si>
    <t>EPP_Reserver</t>
  </si>
  <si>
    <t>EPP_NonReserver</t>
  </si>
  <si>
    <t>ALL</t>
  </si>
  <si>
    <t>1) N20F (N20/N20U)</t>
  </si>
  <si>
    <t xml:space="preserve">2) S20 Family (S20+, S20U, S20, S20FE) </t>
  </si>
  <si>
    <t xml:space="preserve">3) Fold2   </t>
  </si>
  <si>
    <t>4) A71 5G / A51 5G</t>
  </si>
  <si>
    <t>GREEN = NEW for BF Week/BF</t>
  </si>
  <si>
    <t>11:59PM</t>
  </si>
  <si>
    <t>12:00AM</t>
  </si>
  <si>
    <r>
      <t xml:space="preserve">Students &amp; Educators </t>
    </r>
    <r>
      <rPr>
        <sz val="11"/>
        <color theme="1"/>
        <rFont val="Calibri"/>
        <family val="2"/>
      </rPr>
      <t xml:space="preserve">• Government • Military • Save@Work • First Responders </t>
    </r>
  </si>
  <si>
    <t xml:space="preserve">Login to your Discount Program to save even more on the great offers below. </t>
  </si>
  <si>
    <t>NULL</t>
  </si>
  <si>
    <t>stet by version</t>
  </si>
  <si>
    <t xml:space="preserve">Banner 1 - Image Path </t>
  </si>
  <si>
    <t xml:space="preserve">Banner 2 - Image Path </t>
  </si>
  <si>
    <t xml:space="preserve">Banner 3 - Image Path </t>
  </si>
  <si>
    <t xml:space="preserve">Banner 4 - Image Path </t>
  </si>
  <si>
    <t xml:space="preserve">Banner 5 - Image Path </t>
  </si>
  <si>
    <t xml:space="preserve">Banner 6 - Image Path </t>
  </si>
  <si>
    <t xml:space="preserve">Banner 7 - Image Path </t>
  </si>
  <si>
    <t xml:space="preserve">Banner 8 - Image Path </t>
  </si>
  <si>
    <t xml:space="preserve">Banner 9 - Image Path </t>
  </si>
  <si>
    <t xml:space="preserve">Banner 10 - Image Path </t>
  </si>
  <si>
    <t xml:space="preserve">Banner 11 - Image Path </t>
  </si>
  <si>
    <t>Hero &amp; Countdown Timer Image</t>
  </si>
  <si>
    <t>Hero &amp; Countdown Timer Copy</t>
  </si>
  <si>
    <t xml:space="preserve">Banner 4 - CTA 2 Deeplink </t>
  </si>
  <si>
    <t xml:space="preserve">Banner 5- CTA 2 Deeplink </t>
  </si>
  <si>
    <t>Banner 12 Name</t>
  </si>
  <si>
    <t xml:space="preserve">Banner 12 - Image Path </t>
  </si>
  <si>
    <t>Banner 12 - Headline Copy</t>
  </si>
  <si>
    <t>Banner 12 - Subhead Copy</t>
  </si>
  <si>
    <t xml:space="preserve">Banner 12 - Subcopy </t>
  </si>
  <si>
    <t xml:space="preserve">Banner 12 - CTA Copy </t>
  </si>
  <si>
    <t xml:space="preserve">Banner 12 - CTA Link </t>
  </si>
  <si>
    <t xml:space="preserve">Banner 12 - CTA Deeplink </t>
  </si>
  <si>
    <t xml:space="preserve">Banner 12 - CTA 2 Link </t>
  </si>
  <si>
    <t xml:space="preserve">Banner 12 - CTA 2 Deeplink </t>
  </si>
  <si>
    <t>DD CTA 2</t>
  </si>
  <si>
    <t>URL 2</t>
  </si>
  <si>
    <t>Deeplink 2</t>
  </si>
  <si>
    <t xml:space="preserve">Banner 2 - CTA 2Copy </t>
  </si>
  <si>
    <t xml:space="preserve">Banner 3 - CTA 2 Copy </t>
  </si>
  <si>
    <t xml:space="preserve">Banner 4 - CTA 2 Copy </t>
  </si>
  <si>
    <t xml:space="preserve">Banner 5 - CTA 2 Copy </t>
  </si>
  <si>
    <t xml:space="preserve">Banner 6 - CTA 2 Copy </t>
  </si>
  <si>
    <t xml:space="preserve">Banner 7 - CTA 2  Copy </t>
  </si>
  <si>
    <t xml:space="preserve">Banner 8 - CTA 2 Copy </t>
  </si>
  <si>
    <t xml:space="preserve">Banner 9 - CTA 2 Copy </t>
  </si>
  <si>
    <t xml:space="preserve">Banner 10 - CTA 2 Copy </t>
  </si>
  <si>
    <t xml:space="preserve">Banner 11 - CTA 2 Copy </t>
  </si>
  <si>
    <t xml:space="preserve">Banner 12 - CTA 2 Copy </t>
  </si>
  <si>
    <t>CTA 2</t>
  </si>
  <si>
    <t>Name</t>
  </si>
  <si>
    <t>Footer</t>
  </si>
  <si>
    <t>Subhead</t>
  </si>
  <si>
    <t>TC2</t>
  </si>
  <si>
    <t>TC 1</t>
  </si>
  <si>
    <t>TC3</t>
  </si>
  <si>
    <t>Banner 13 Name</t>
  </si>
  <si>
    <t xml:space="preserve">Banner 13 - Image Path </t>
  </si>
  <si>
    <t>Banner 13 - Headline Copy</t>
  </si>
  <si>
    <t>Banner 13 - Subhead Copy</t>
  </si>
  <si>
    <t xml:space="preserve">Banner 13 - Subcopy </t>
  </si>
  <si>
    <t xml:space="preserve">Banner 13 - CTA Copy </t>
  </si>
  <si>
    <t xml:space="preserve">Banner 13 - CTA Link </t>
  </si>
  <si>
    <t xml:space="preserve">Banner 13 - CTA Deeplink </t>
  </si>
  <si>
    <t xml:space="preserve">Banner 13 - CTA 2 Copy </t>
  </si>
  <si>
    <t xml:space="preserve">Banner 13 - CTA 2 Link </t>
  </si>
  <si>
    <t xml:space="preserve">Banner 13 - CTA 2 Deeplink </t>
  </si>
  <si>
    <t>Banner 14 Name</t>
  </si>
  <si>
    <t xml:space="preserve">Banner 14 - Image Path </t>
  </si>
  <si>
    <t>Banner 14 - Headline Copy</t>
  </si>
  <si>
    <t>Banner 14 - Subhead Copy</t>
  </si>
  <si>
    <t xml:space="preserve">Banner 14 - Subcopy </t>
  </si>
  <si>
    <t xml:space="preserve">Banner 14 - CTA Copy </t>
  </si>
  <si>
    <t xml:space="preserve">Banner 14 - CTA Link </t>
  </si>
  <si>
    <t xml:space="preserve">Banner 14 - CTA Deeplink </t>
  </si>
  <si>
    <t xml:space="preserve">Banner 14 - CTA 2 Copy </t>
  </si>
  <si>
    <t xml:space="preserve">Banner 14 - CTA 2 Link </t>
  </si>
  <si>
    <t xml:space="preserve">Banner 14 - CTA 2 Deeplink </t>
  </si>
  <si>
    <t>Banner 15 Name</t>
  </si>
  <si>
    <t xml:space="preserve">Banner 15 - Image Path </t>
  </si>
  <si>
    <t>Banner 15 - Headline Copy</t>
  </si>
  <si>
    <t>Banner 15 - Subhead Copy</t>
  </si>
  <si>
    <t xml:space="preserve">Banner 15 - Subcopy </t>
  </si>
  <si>
    <t xml:space="preserve">Banner 15 - CTA Copy </t>
  </si>
  <si>
    <t xml:space="preserve">Banner 15 - CTA Link </t>
  </si>
  <si>
    <t xml:space="preserve">Banner 15 - CTA Deeplink </t>
  </si>
  <si>
    <t xml:space="preserve">Banner 15 - CTA 2 Copy </t>
  </si>
  <si>
    <t xml:space="preserve">Banner 15 - CTA 2 Link </t>
  </si>
  <si>
    <t xml:space="preserve">Banner 15 - CTA 2 Deeplink </t>
  </si>
  <si>
    <t>https://www.samsung.com/us/trade-in/terms-and-conditions/</t>
  </si>
  <si>
    <t>https://www.samsung.com/us/</t>
  </si>
  <si>
    <t>TC4</t>
  </si>
  <si>
    <t>TC5</t>
  </si>
  <si>
    <t>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</si>
  <si>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</si>
  <si>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TC1</t>
  </si>
  <si>
    <t>§18+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</si>
  <si>
    <t>†18+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</si>
  <si>
    <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t>
  </si>
  <si>
    <t>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t>
  </si>
  <si>
    <t>22_IM_HeadImage_MB_Note-500xV.jpg</t>
  </si>
  <si>
    <t>21_IM_HeadImage_MB_Galaxy-500xV.jpg</t>
  </si>
  <si>
    <t>23_IM_HeadImage_MB_Fold-500xV.jpg</t>
  </si>
  <si>
    <t>24-IM-A71-A51-HeadImage-500xV.jpg</t>
  </si>
  <si>
    <t>https://www.samsung.com/us/mobile/galaxy-s20-5g/buy/</t>
  </si>
  <si>
    <t>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t>
  </si>
  <si>
    <t>https://www.samsung.com/us/smartphones/galaxy-note20-5g/buy/</t>
  </si>
  <si>
    <t>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t>
  </si>
  <si>
    <t>https://www.samsung.com/us/smartphones/galaxy-z-fold2-5g/buy/</t>
  </si>
  <si>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</si>
  <si>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</si>
  <si>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RESERVERS</t>
  </si>
  <si>
    <t>NON RESERVERS</t>
  </si>
  <si>
    <t>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</si>
  <si>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galaxy-s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23utm_source%3Dsamsung%23utm_medium%3Demail%23utm_campaign%3Dholiday_deals_t3_11172020%23marsLinkCategory%3D__MARSTRACKING__%23MKM_RID%3D__BPNUMBER__%23MKM_MID%3D__DELIVERNAME__%23cid%3D__CID____SEGMENTCODE__%23bpid%3D__BPNUMBER__&amp;afl=https%3A%2F%2Fwww.samsung.com%2Fus%2Fmobile%2Fgalaxy-s20-5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</si>
  <si>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</si>
  <si>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t>
  </si>
  <si>
    <t>IM_HeadImage_Shop_Phones_500xV.jpg</t>
  </si>
  <si>
    <t>HE_HeadImage_Shop_TVs_500xV.jpg</t>
  </si>
  <si>
    <t>HA_HeadImage_Shop_HA_500xV.jpg</t>
  </si>
  <si>
    <t>ME_HeadImage_Wearables_500xV.jpg</t>
  </si>
  <si>
    <t>CE_HeadImage_Computing_500xV.jpg</t>
  </si>
  <si>
    <t>https://www.samsung.com/us/shop/all-deals/cell-phone-deals/</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</si>
  <si>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</si>
  <si>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https://www.samsung.com/us/shop/all-deals/tv-and-home-theater-deals/</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</si>
  <si>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</si>
  <si>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https://www.samsung.com/us/shop/all-deals/home-appliance-and-smart-home-sales/</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</si>
  <si>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</si>
  <si>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https://www.samsung.com/us/shop/all-deals/tablets-wearables-cell-phone-accessories-deals/</t>
  </si>
  <si>
    <t>https://www.samsung.com/us/shop/all-deals/laptop-and-computer-deals/</t>
  </si>
  <si>
    <t>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</si>
  <si>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</si>
  <si>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</si>
  <si>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</si>
  <si>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</si>
  <si>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</si>
  <si>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</si>
  <si>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</si>
  <si>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RED = UPDATED FOR CM</t>
  </si>
  <si>
    <r>
      <t>Note20 F: up to $550 trade-in credit/</t>
    </r>
    <r>
      <rPr>
        <b/>
        <sz val="11"/>
        <color rgb="FFFF0000"/>
        <rFont val="Calibri"/>
        <family val="2"/>
        <scheme val="minor"/>
      </rPr>
      <t>$150</t>
    </r>
    <r>
      <rPr>
        <sz val="11"/>
        <color rgb="FFFF0000"/>
        <rFont val="Calibri"/>
        <family val="2"/>
        <scheme val="minor"/>
      </rPr>
      <t xml:space="preserve"> IR-Get up to </t>
    </r>
    <r>
      <rPr>
        <b/>
        <sz val="11"/>
        <color rgb="FFFF0000"/>
        <rFont val="Calibri"/>
        <family val="2"/>
        <scheme val="minor"/>
      </rPr>
      <t>70%</t>
    </r>
    <r>
      <rPr>
        <sz val="11"/>
        <color rgb="FFFF0000"/>
        <rFont val="Calibri"/>
        <family val="2"/>
        <scheme val="minor"/>
      </rPr>
      <t xml:space="preserve"> off Galaxy Note 20 5G or Note 20 Ultra 5G</t>
    </r>
  </si>
  <si>
    <r>
      <t xml:space="preserve">S20 F: up to </t>
    </r>
    <r>
      <rPr>
        <b/>
        <sz val="11"/>
        <color rgb="FFFF0000"/>
        <rFont val="Calibri"/>
        <family val="2"/>
        <scheme val="minor"/>
      </rPr>
      <t>$460</t>
    </r>
    <r>
      <rPr>
        <sz val="11"/>
        <color rgb="FFFF0000"/>
        <rFont val="Calibri"/>
        <family val="2"/>
        <scheme val="minor"/>
      </rPr>
      <t xml:space="preserve"> trade-in credit/</t>
    </r>
    <r>
      <rPr>
        <b/>
        <sz val="11"/>
        <color rgb="FFFF0000"/>
        <rFont val="Calibri"/>
        <family val="2"/>
        <scheme val="minor"/>
      </rPr>
      <t>$150</t>
    </r>
    <r>
      <rPr>
        <sz val="11"/>
        <color rgb="FFFF0000"/>
        <rFont val="Calibri"/>
        <family val="2"/>
        <scheme val="minor"/>
      </rPr>
      <t xml:space="preserve"> IR-Get up to </t>
    </r>
    <r>
      <rPr>
        <b/>
        <sz val="11"/>
        <color rgb="FFFF0000"/>
        <rFont val="Calibri"/>
        <family val="2"/>
        <scheme val="minor"/>
      </rPr>
      <t>73</t>
    </r>
    <r>
      <rPr>
        <sz val="11"/>
        <color rgb="FFFF0000"/>
        <rFont val="Calibri"/>
        <family val="2"/>
        <scheme val="minor"/>
      </rPr>
      <t xml:space="preserve">% off </t>
    </r>
  </si>
  <si>
    <t>Fold 2 5G: up to $1000 trade-in credit-Get up to 50% off Galaxy Z Fold2 5G - SAME</t>
  </si>
  <si>
    <t>GRAY = REMOVED FOR CM</t>
  </si>
  <si>
    <t>Save $100 on Jetbot Mop</t>
  </si>
  <si>
    <t xml:space="preserve"> </t>
  </si>
  <si>
    <t>Get up to 70% off Galaxy Note 20 5G or Note 20 Ultra 5G</t>
  </si>
  <si>
    <t>Get up to 73% off Galaxy S20 5G series devices</t>
  </si>
  <si>
    <t>GREEN = NEW FOR CM</t>
  </si>
  <si>
    <r>
      <t>Now from only $8.34/mo for 36 mos</t>
    </r>
    <r>
      <rPr>
        <vertAlign val="superscript"/>
        <sz val="11"/>
        <color theme="9"/>
        <rFont val="Calibri"/>
        <family val="2"/>
        <scheme val="minor"/>
      </rPr>
      <t>⊕</t>
    </r>
    <r>
      <rPr>
        <sz val="11"/>
        <color theme="9"/>
        <rFont val="Calibri"/>
        <family val="2"/>
        <scheme val="minor"/>
      </rPr>
      <t xml:space="preserve"> or $299.99 with eligible trade-in.ᶿ</t>
    </r>
  </si>
  <si>
    <t xml:space="preserve">Get $150 off instantly and up to $550 trade-in credit.ᶿ </t>
  </si>
  <si>
    <r>
      <t>Now from only $7.92/mo for 24 mos</t>
    </r>
    <r>
      <rPr>
        <vertAlign val="superscript"/>
        <sz val="11"/>
        <color theme="9"/>
        <rFont val="Calibri"/>
        <family val="2"/>
        <scheme val="minor"/>
      </rPr>
      <t>⊕</t>
    </r>
    <r>
      <rPr>
        <sz val="11"/>
        <color theme="9"/>
        <rFont val="Calibri"/>
        <family val="2"/>
        <scheme val="minor"/>
      </rPr>
      <t xml:space="preserve"> or $189.99 with eligible trade-in.ᶿ</t>
    </r>
  </si>
  <si>
    <t xml:space="preserve">Get up to $150 off instantly and up to $460 trade-in credit.ᶿ </t>
  </si>
  <si>
    <r>
      <t>Our best Galaxy Z Fold2 5G offer of the year. Get up to $1000 trade-in credit.ᶿ Plus, get up to $120 instant credit toward accessories.</t>
    </r>
    <r>
      <rPr>
        <vertAlign val="superscript"/>
        <sz val="11"/>
        <rFont val="Calibri"/>
        <family val="2"/>
        <scheme val="minor"/>
      </rPr>
      <t>§‡</t>
    </r>
    <r>
      <rPr>
        <sz val="11"/>
        <rFont val="Calibri"/>
        <family val="2"/>
        <scheme val="minor"/>
      </rPr>
      <t xml:space="preserve"> </t>
    </r>
  </si>
  <si>
    <t xml:space="preserve">Act fast to save on showstopping gifts while supplies last. </t>
  </si>
  <si>
    <t>Cyber Monday is on.</t>
  </si>
  <si>
    <t xml:space="preserve">The clock is ticking away for Cyber Monday </t>
  </si>
  <si>
    <t xml:space="preserve">Shop amazing offers on showstopping products while supplies last. </t>
  </si>
  <si>
    <t xml:space="preserve">11:00AM </t>
  </si>
  <si>
    <t>11:30PM</t>
  </si>
  <si>
    <t xml:space="preserve">Cyber Monday is over. But, Cyber Week is just beginning. </t>
  </si>
  <si>
    <t>Cyber Monday is over. But, Cyber Week is still on.</t>
  </si>
  <si>
    <t>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t>
  </si>
  <si>
    <t>https://www.samsung.com/us/shop/all-deals/tablets-laptops-computers-deals/</t>
  </si>
  <si>
    <t>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</si>
  <si>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t>
  </si>
  <si>
    <t>Tablet-HeadImage-500xV.jpg</t>
  </si>
  <si>
    <t>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t>
  </si>
  <si>
    <r>
      <t>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t>
    </r>
    <r>
      <rPr>
        <vertAlign val="superscript"/>
        <sz val="11"/>
        <color theme="1"/>
        <rFont val="Calibri"/>
        <family val="2"/>
        <scheme val="minor"/>
      </rPr>
      <t>‡†</t>
    </r>
  </si>
  <si>
    <t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t>
  </si>
  <si>
    <t>Treat yourself (or someone special) to Galaxy Watch3 Titanium, Watch3, Buds+ and more, suited for every lifestyle and every holiday shopping budget. 
Plus, now you can flex your fashion muscles with the new Samsung Design Studio. Create a Galaxy Watch as unique as you, today.</t>
  </si>
  <si>
    <t xml:space="preserve">Empower how you create, learn, game and more with our powerful line of tablets. Shop offers on must-have products from the new Galaxy Tab S7+ to the Galaxy Tab S6 Lite. </t>
  </si>
  <si>
    <t xml:space="preserve">Expand the way you play, store and create and get up to 30% off monitors, up to 60% off memory cards, up to 35% off SSD and more. Work and game smarter, not harder with these must-have computing offers. </t>
  </si>
  <si>
    <r>
      <t>Get an additional 10% off when you buy 4 or more eligible kitchen appliances. Save even more with early Black Friday prices for select categories.</t>
    </r>
    <r>
      <rPr>
        <vertAlign val="superscript"/>
        <sz val="11"/>
        <color theme="1"/>
        <rFont val="Calibri"/>
        <family val="2"/>
        <scheme val="minor"/>
      </rPr>
      <t>α</t>
    </r>
    <r>
      <rPr>
        <sz val="11"/>
        <color theme="1"/>
        <rFont val="Calibri"/>
        <family val="2"/>
        <scheme val="minor"/>
      </rPr>
      <t xml:space="preserve"> 
Plus, shop our time and cost-saving laundry and floor care products, and buy and try a Jet Stick Cordless Vacuum with our new 100-day, risk-free trial. </t>
    </r>
  </si>
  <si>
    <t>While supplies last.</t>
  </si>
  <si>
    <r>
      <t>Today is the day to shop some of our greatest offers of the year.
Plus, enjoy $30 or more instant credit</t>
    </r>
    <r>
      <rPr>
        <vertAlign val="superscript"/>
        <sz val="11"/>
        <color theme="1"/>
        <rFont val="Calibri"/>
        <family val="2"/>
        <scheme val="minor"/>
      </rPr>
      <t>§†</t>
    </r>
    <r>
      <rPr>
        <sz val="11"/>
        <color theme="1"/>
        <rFont val="Calibri"/>
        <family val="2"/>
        <scheme val="minor"/>
      </rPr>
      <t>, in addition to your exclusive $20 instant credit, with any smartphone purchase.</t>
    </r>
    <r>
      <rPr>
        <vertAlign val="superscript"/>
        <sz val="11"/>
        <color theme="1"/>
        <rFont val="Calibri"/>
        <family val="2"/>
        <scheme val="minor"/>
      </rPr>
      <t>‡</t>
    </r>
    <r>
      <rPr>
        <sz val="11"/>
        <color theme="1"/>
        <rFont val="Calibri"/>
        <family val="2"/>
        <scheme val="minor"/>
      </rPr>
      <t xml:space="preserve"> </t>
    </r>
  </si>
  <si>
    <t>Today is your day to shop some of our greatest offers of the year.</t>
  </si>
  <si>
    <r>
      <t>Today is your day to shop some of our greatest offers of the year.
Plus, unlock $30 or more instant credit with any smartphone purchase.</t>
    </r>
    <r>
      <rPr>
        <vertAlign val="superscript"/>
        <sz val="11"/>
        <color theme="1"/>
        <rFont val="Calibri"/>
        <family val="2"/>
        <scheme val="minor"/>
      </rPr>
      <t>§†</t>
    </r>
  </si>
  <si>
    <r>
      <t>Today is your day to shop some of our greatest offers of the year.
Plus, enjoy $30 or more instant credit</t>
    </r>
    <r>
      <rPr>
        <vertAlign val="superscript"/>
        <sz val="11"/>
        <color theme="1"/>
        <rFont val="Calibri"/>
        <family val="2"/>
        <scheme val="minor"/>
      </rPr>
      <t>§†</t>
    </r>
    <r>
      <rPr>
        <sz val="11"/>
        <color theme="1"/>
        <rFont val="Calibri"/>
        <family val="2"/>
        <scheme val="minor"/>
      </rPr>
      <t>, in addition to your exclusive $20 instant credit, with any smartphone purchase.</t>
    </r>
    <r>
      <rPr>
        <vertAlign val="superscript"/>
        <sz val="11"/>
        <color theme="1"/>
        <rFont val="Calibri"/>
        <family val="2"/>
        <scheme val="minor"/>
      </rPr>
      <t>‡</t>
    </r>
    <r>
      <rPr>
        <sz val="11"/>
        <color theme="1"/>
        <rFont val="Calibri"/>
        <family val="2"/>
        <scheme val="minor"/>
      </rPr>
      <t xml:space="preserve"> </t>
    </r>
  </si>
  <si>
    <t>Cyber-monday-1.png</t>
  </si>
  <si>
    <t>Cyber-monday-2.png</t>
  </si>
  <si>
    <t>Cyber-monday-3.png</t>
  </si>
  <si>
    <t>urlsegment</t>
  </si>
  <si>
    <t>marsLinkCategory_type</t>
  </si>
  <si>
    <t>cid_type</t>
  </si>
  <si>
    <t>offerCID</t>
  </si>
  <si>
    <t>earlyAccess</t>
  </si>
  <si>
    <t>mphone:other</t>
  </si>
  <si>
    <t>utm_source</t>
  </si>
  <si>
    <t>samsung</t>
  </si>
  <si>
    <t>mphone:mphone</t>
  </si>
  <si>
    <t>utm_medium</t>
  </si>
  <si>
    <t>email</t>
  </si>
  <si>
    <t>tv:other</t>
  </si>
  <si>
    <t>utm_campaign</t>
  </si>
  <si>
    <t>holiday_deals_t3_11172020</t>
  </si>
  <si>
    <t>home_app:other</t>
  </si>
  <si>
    <t>marsLinkCategory</t>
  </si>
  <si>
    <t>homeapp:other</t>
  </si>
  <si>
    <t>cid</t>
  </si>
  <si>
    <t>cpu:other</t>
  </si>
  <si>
    <t>general:general</t>
  </si>
  <si>
    <t>mphone:tablet</t>
  </si>
  <si>
    <t>holiday_deals_rev_11182020</t>
  </si>
  <si>
    <t>url</t>
  </si>
  <si>
    <t>pay_later_url</t>
  </si>
  <si>
    <t>https://www.samsung.com/us/financing/</t>
  </si>
  <si>
    <t>free_shipping_url</t>
  </si>
  <si>
    <t>https://www.samsung.com/us/support/order-faqs/#SHIPPINGANDPAYMENTS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</si>
  <si>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</si>
  <si>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</si>
  <si>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</si>
  <si>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</si>
  <si>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</si>
  <si>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</si>
  <si>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</si>
  <si>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</si>
  <si>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</si>
  <si>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</si>
  <si>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</si>
  <si>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</si>
  <si>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</si>
  <si>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</si>
  <si>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</si>
  <si>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</si>
  <si>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</si>
  <si>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</si>
  <si>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</si>
  <si>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</si>
  <si>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</si>
  <si>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https://www.samsung.com/us/shop/all-deals/watches-audio-accessories-deals/</t>
  </si>
  <si>
    <t>eml-brd-mul-1220-3106-EPP_Reservers</t>
  </si>
  <si>
    <t>eml-brd-mul-1220-3106-EPP_NonReservers</t>
  </si>
  <si>
    <t>eml-brd-mul-1220-3106-Reservers</t>
  </si>
  <si>
    <t>eml-brd-mul-1220-3106-Non_Reservers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</si>
</sst>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quot;$&quot;#,##0.00"/>
  </numFmts>
  <fonts count="25" x14ac:knownFonts="1">
    <font>
      <sz val="11"/>
      <color theme="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9"/>
      <name val="Calibri"/>
      <family val="2"/>
      <scheme val="minor"/>
    </font>
    <font>
      <vertAlign val="superscript"/>
      <sz val="11"/>
      <name val="Calibri"/>
      <family val="2"/>
      <scheme val="minor"/>
    </font>
    <font>
      <vertAlign val="superscript"/>
      <sz val="11"/>
      <color theme="1"/>
      <name val="Calibri"/>
      <family val="2"/>
      <scheme val="minor"/>
    </font>
    <font>
      <sz val="11"/>
      <color theme="0" tint="-0.34998626667073579"/>
      <name val="Calibri"/>
      <family val="2"/>
      <scheme val="minor"/>
    </font>
    <font>
      <sz val="11"/>
      <color theme="1"/>
      <name val="Calibri"/>
      <family val="2"/>
    </font>
    <font>
      <sz val="11"/>
      <color theme="4"/>
      <name val="Calibri"/>
      <family val="2"/>
      <scheme val="minor"/>
    </font>
    <font>
      <b/>
      <sz val="11"/>
      <color rgb="FFFA7D00"/>
      <name val="Calibri"/>
      <family val="2"/>
      <scheme val="minor"/>
    </font>
    <font>
      <sz val="11"/>
      <color rgb="FF000000"/>
      <name val="Calibri"/>
      <family val="2"/>
      <scheme val="minor"/>
    </font>
    <font>
      <b/>
      <sz val="11"/>
      <name val="Calibri"/>
      <family val="2"/>
      <scheme val="minor"/>
    </font>
    <font>
      <b/>
      <sz val="18"/>
      <color theme="1"/>
      <name val="Calibri"/>
      <family val="2"/>
      <scheme val="minor"/>
    </font>
    <font>
      <b/>
      <sz val="11"/>
      <color theme="9"/>
      <name val="Calibri"/>
      <family val="2"/>
      <scheme val="minor"/>
    </font>
    <font>
      <u/>
      <sz val="11"/>
      <color theme="10"/>
      <name val="Calibri"/>
      <family val="2"/>
      <scheme val="minor"/>
    </font>
    <font>
      <b/>
      <sz val="11"/>
      <color rgb="FFFF0000"/>
      <name val="Calibri"/>
      <family val="2"/>
      <scheme val="minor"/>
    </font>
    <font>
      <sz val="11"/>
      <color theme="0" tint="-0.249977111117893"/>
      <name val="Calibri"/>
      <family val="2"/>
      <scheme val="minor"/>
    </font>
    <font>
      <b/>
      <sz val="11"/>
      <color theme="0" tint="-0.249977111117893"/>
      <name val="Calibri"/>
      <family val="2"/>
      <scheme val="minor"/>
    </font>
    <font>
      <vertAlign val="superscript"/>
      <sz val="11"/>
      <color theme="9"/>
      <name val="Calibri"/>
      <family val="2"/>
      <scheme val="minor"/>
    </font>
    <font>
      <u/>
      <sz val="11"/>
      <color theme="11"/>
      <name val="Calibri"/>
      <family val="2"/>
      <scheme val="minor"/>
    </font>
  </fonts>
  <fills count="29">
    <fill>
      <patternFill patternType="none"/>
    </fill>
    <fill>
      <patternFill patternType="gray125"/>
    </fill>
    <fill>
      <patternFill patternType="solid">
        <fgColor rgb="FFFFEB9C"/>
      </patternFill>
    </fill>
    <fill>
      <patternFill patternType="solid">
        <fgColor rgb="FFFFCC99"/>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bgColor indexed="64"/>
      </patternFill>
    </fill>
    <fill>
      <patternFill patternType="solid">
        <fgColor theme="1"/>
        <bgColor indexed="64"/>
      </patternFill>
    </fill>
    <fill>
      <patternFill patternType="solid">
        <fgColor theme="5" tint="0.59999389629810485"/>
        <bgColor indexed="64"/>
      </patternFill>
    </fill>
    <fill>
      <patternFill patternType="solid">
        <fgColor rgb="FFAD89C1"/>
        <bgColor indexed="64"/>
      </patternFill>
    </fill>
    <fill>
      <patternFill patternType="solid">
        <fgColor rgb="FFFFC000"/>
        <bgColor indexed="64"/>
      </patternFill>
    </fill>
    <fill>
      <patternFill patternType="solid">
        <fgColor rgb="FFF2F2F2"/>
      </patternFill>
    </fill>
    <fill>
      <patternFill patternType="solid">
        <fgColor theme="0" tint="-0.249977111117893"/>
        <bgColor indexed="64"/>
      </patternFill>
    </fill>
    <fill>
      <patternFill patternType="solid">
        <fgColor rgb="FFBFBFBF"/>
        <bgColor rgb="FF000000"/>
      </patternFill>
    </fill>
    <fill>
      <patternFill patternType="solid">
        <fgColor theme="8" tint="0.39997558519241921"/>
        <bgColor indexed="64"/>
      </patternFill>
    </fill>
    <fill>
      <patternFill patternType="solid">
        <fgColor rgb="FFFF0000"/>
        <bgColor indexed="64"/>
      </patternFill>
    </fill>
    <fill>
      <patternFill patternType="solid">
        <fgColor theme="7" tint="0.79998168889431442"/>
        <bgColor indexed="64"/>
      </patternFill>
    </fill>
    <fill>
      <patternFill patternType="solid">
        <fgColor theme="5"/>
        <bgColor indexed="64"/>
      </patternFill>
    </fill>
    <fill>
      <patternFill patternType="solid">
        <fgColor theme="7"/>
        <bgColor indexed="64"/>
      </patternFill>
    </fill>
    <fill>
      <patternFill patternType="solid">
        <fgColor theme="0"/>
        <bgColor indexed="64"/>
      </patternFill>
    </fill>
    <fill>
      <patternFill patternType="solid">
        <fgColor rgb="FF99FF99"/>
        <bgColor indexed="64"/>
      </patternFill>
    </fill>
    <fill>
      <patternFill patternType="solid">
        <fgColor rgb="FFFF7C80"/>
        <bgColor indexed="64"/>
      </patternFill>
    </fill>
    <fill>
      <patternFill patternType="solid">
        <fgColor rgb="FF00FF00"/>
        <bgColor indexed="64"/>
      </patternFill>
    </fill>
    <fill>
      <patternFill patternType="solid">
        <fgColor rgb="FF00FFFF"/>
        <bgColor indexed="64"/>
      </patternFill>
    </fill>
    <fill>
      <patternFill patternType="solid">
        <fgColor rgb="FFCCFF33"/>
        <bgColor indexed="64"/>
      </patternFill>
    </fill>
    <fill>
      <patternFill patternType="solid">
        <fgColor rgb="FFCCFF66"/>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rgb="FF7F7F7F"/>
      </right>
      <top style="thin">
        <color rgb="FF7F7F7F"/>
      </top>
      <bottom style="thin">
        <color rgb="FF7F7F7F"/>
      </bottom>
      <diagonal/>
    </border>
  </borders>
  <cellStyleXfs count="7">
    <xf numFmtId="0" fontId="0" fillId="0" borderId="0"/>
    <xf numFmtId="0" fontId="1" fillId="2" borderId="0" applyNumberFormat="0" applyBorder="0" applyAlignment="0" applyProtection="0"/>
    <xf numFmtId="0" fontId="2" fillId="3" borderId="1" applyNumberFormat="0" applyAlignment="0" applyProtection="0"/>
    <xf numFmtId="0" fontId="14" fillId="14" borderId="1" applyNumberFormat="0" applyAlignment="0" applyProtection="0"/>
    <xf numFmtId="0" fontId="19" fillId="0" borderId="0" applyNumberFormat="0" applyFill="0" applyBorder="0" applyAlignment="0" applyProtection="0"/>
    <xf numFmtId="0" fontId="24" fillId="0" borderId="0" applyNumberFormat="0" applyFill="0" applyBorder="0" applyAlignment="0" applyProtection="0"/>
    <xf numFmtId="0" fontId="19" fillId="0" borderId="0"/>
  </cellStyleXfs>
  <cellXfs count="164">
    <xf numFmtId="0" fontId="0" fillId="0" borderId="0" xfId="0"/>
    <xf numFmtId="0" fontId="5" fillId="0" borderId="0" xfId="0" applyFont="1"/>
    <xf numFmtId="0" fontId="0" fillId="0" borderId="0" xfId="0" applyFill="1"/>
    <xf numFmtId="0" fontId="0" fillId="7" borderId="0" xfId="0" applyFill="1"/>
    <xf numFmtId="0" fontId="0" fillId="8" borderId="0" xfId="0" applyFill="1"/>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7" fillId="0" borderId="2" xfId="0" applyFont="1" applyFill="1" applyBorder="1" applyAlignment="1">
      <alignment horizontal="center" vertical="center"/>
    </xf>
    <xf numFmtId="0" fontId="7" fillId="0" borderId="2" xfId="0" applyFont="1" applyFill="1" applyBorder="1"/>
    <xf numFmtId="0" fontId="7" fillId="0" borderId="2" xfId="0" applyFont="1" applyFill="1" applyBorder="1" applyAlignment="1">
      <alignment horizontal="left" vertical="center" wrapText="1"/>
    </xf>
    <xf numFmtId="0" fontId="2" fillId="3" borderId="1" xfId="2" applyAlignment="1">
      <alignment wrapText="1"/>
    </xf>
    <xf numFmtId="0" fontId="8" fillId="0" borderId="0" xfId="0" applyFont="1"/>
    <xf numFmtId="0" fontId="6" fillId="10" borderId="0" xfId="0" applyFont="1" applyFill="1" applyAlignment="1">
      <alignment wrapText="1"/>
    </xf>
    <xf numFmtId="0" fontId="5" fillId="0" borderId="0" xfId="0" applyFont="1" applyAlignment="1">
      <alignment wrapText="1"/>
    </xf>
    <xf numFmtId="0" fontId="10" fillId="0" borderId="0" xfId="0" applyFont="1" applyAlignment="1">
      <alignment wrapText="1"/>
    </xf>
    <xf numFmtId="0" fontId="3" fillId="10" borderId="0" xfId="0" applyFont="1" applyFill="1"/>
    <xf numFmtId="0" fontId="6" fillId="10" borderId="0" xfId="1" applyFont="1" applyFill="1"/>
    <xf numFmtId="0" fontId="6" fillId="10" borderId="5" xfId="1" applyFont="1" applyFill="1" applyBorder="1"/>
    <xf numFmtId="0" fontId="6" fillId="0" borderId="0" xfId="0" applyFont="1"/>
    <xf numFmtId="0" fontId="0" fillId="13" borderId="0" xfId="0" applyFill="1" applyAlignment="1">
      <alignment wrapText="1"/>
    </xf>
    <xf numFmtId="0" fontId="0" fillId="0" borderId="0" xfId="0" applyBorder="1"/>
    <xf numFmtId="0" fontId="3" fillId="10" borderId="0" xfId="0" applyFont="1" applyFill="1" applyBorder="1"/>
    <xf numFmtId="0" fontId="5" fillId="0" borderId="0" xfId="0" applyFont="1" applyBorder="1"/>
    <xf numFmtId="0" fontId="0" fillId="4" borderId="0" xfId="0" applyFill="1" applyBorder="1"/>
    <xf numFmtId="0" fontId="0" fillId="0" borderId="0" xfId="0" applyFont="1" applyAlignment="1">
      <alignment wrapText="1"/>
    </xf>
    <xf numFmtId="0" fontId="12" fillId="0" borderId="0" xfId="0" applyFont="1" applyAlignment="1">
      <alignment wrapText="1"/>
    </xf>
    <xf numFmtId="0" fontId="0" fillId="0" borderId="0" xfId="0" applyAlignment="1"/>
    <xf numFmtId="0" fontId="7" fillId="0" borderId="2" xfId="0" applyFont="1" applyFill="1" applyBorder="1" applyAlignment="1">
      <alignment horizontal="left" vertical="top"/>
    </xf>
    <xf numFmtId="0" fontId="7" fillId="0" borderId="2" xfId="0" applyFont="1" applyBorder="1" applyAlignment="1">
      <alignment horizontal="left" vertical="top" wrapText="1"/>
    </xf>
    <xf numFmtId="0" fontId="5" fillId="0" borderId="3" xfId="0" applyFont="1" applyFill="1" applyBorder="1" applyAlignment="1">
      <alignment horizontal="center"/>
    </xf>
    <xf numFmtId="0" fontId="5" fillId="0" borderId="4" xfId="0" applyFont="1" applyBorder="1" applyAlignment="1">
      <alignment horizontal="center" vertical="center"/>
    </xf>
    <xf numFmtId="0" fontId="5" fillId="0" borderId="4" xfId="0" applyFont="1" applyBorder="1" applyAlignment="1">
      <alignment horizontal="center"/>
    </xf>
    <xf numFmtId="8" fontId="14" fillId="14" borderId="2" xfId="3" applyNumberFormat="1" applyBorder="1" applyAlignment="1">
      <alignment horizontal="right" vertical="top" wrapText="1"/>
    </xf>
    <xf numFmtId="164" fontId="2" fillId="3" borderId="2" xfId="2" applyNumberFormat="1" applyBorder="1" applyAlignment="1">
      <alignment horizontal="right" vertical="top"/>
    </xf>
    <xf numFmtId="0" fontId="2" fillId="3" borderId="2" xfId="2" applyBorder="1" applyAlignment="1">
      <alignment horizontal="left" vertical="top"/>
    </xf>
    <xf numFmtId="0" fontId="0" fillId="0" borderId="2" xfId="0" applyBorder="1"/>
    <xf numFmtId="14" fontId="7" fillId="0" borderId="2" xfId="0" applyNumberFormat="1" applyFont="1" applyFill="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wrapText="1"/>
    </xf>
    <xf numFmtId="14" fontId="7" fillId="0" borderId="2" xfId="0" applyNumberFormat="1" applyFont="1" applyFill="1" applyBorder="1" applyAlignment="1">
      <alignment horizontal="left" wrapText="1"/>
    </xf>
    <xf numFmtId="0" fontId="7" fillId="0" borderId="2" xfId="0" applyFont="1" applyFill="1" applyBorder="1" applyAlignment="1">
      <alignment horizontal="left" vertical="top" wrapText="1"/>
    </xf>
    <xf numFmtId="16" fontId="7" fillId="0" borderId="2" xfId="0" applyNumberFormat="1" applyFont="1" applyFill="1" applyBorder="1" applyAlignment="1">
      <alignment horizontal="center" vertical="center"/>
    </xf>
    <xf numFmtId="0" fontId="7" fillId="0" borderId="2" xfId="0" applyFont="1" applyFill="1" applyBorder="1" applyAlignment="1">
      <alignment horizontal="left" vertical="center"/>
    </xf>
    <xf numFmtId="16" fontId="0" fillId="0" borderId="2" xfId="0" applyNumberFormat="1" applyFill="1" applyBorder="1" applyAlignment="1">
      <alignment horizontal="center" vertical="center"/>
    </xf>
    <xf numFmtId="0" fontId="0" fillId="0" borderId="2" xfId="0" applyFill="1" applyBorder="1" applyAlignment="1">
      <alignment horizontal="center" vertical="center"/>
    </xf>
    <xf numFmtId="0" fontId="0" fillId="0" borderId="2" xfId="0" applyFill="1" applyBorder="1" applyAlignment="1">
      <alignment horizontal="left" vertical="center"/>
    </xf>
    <xf numFmtId="0" fontId="0" fillId="0" borderId="2" xfId="0" applyFill="1" applyBorder="1" applyAlignment="1">
      <alignment horizontal="left" vertical="center" wrapText="1"/>
    </xf>
    <xf numFmtId="0" fontId="0" fillId="0" borderId="2" xfId="0" applyFill="1" applyBorder="1" applyAlignment="1">
      <alignment horizontal="center" vertical="center" wrapText="1"/>
    </xf>
    <xf numFmtId="0" fontId="0" fillId="15" borderId="9" xfId="0" applyFill="1" applyBorder="1" applyAlignment="1">
      <alignment wrapText="1"/>
    </xf>
    <xf numFmtId="0" fontId="0" fillId="4" borderId="0" xfId="0" applyFill="1" applyAlignment="1">
      <alignment wrapText="1"/>
    </xf>
    <xf numFmtId="0" fontId="0" fillId="5" borderId="0" xfId="0" applyFill="1" applyAlignment="1">
      <alignment wrapText="1"/>
    </xf>
    <xf numFmtId="0" fontId="0" fillId="15" borderId="6" xfId="0" applyFill="1" applyBorder="1" applyAlignment="1">
      <alignment wrapText="1"/>
    </xf>
    <xf numFmtId="0" fontId="0" fillId="15" borderId="7" xfId="0" applyFill="1" applyBorder="1" applyAlignment="1">
      <alignment wrapText="1"/>
    </xf>
    <xf numFmtId="0" fontId="0" fillId="15" borderId="8" xfId="0" applyFill="1" applyBorder="1" applyAlignment="1">
      <alignment wrapText="1"/>
    </xf>
    <xf numFmtId="0" fontId="0" fillId="15" borderId="0" xfId="0" applyFill="1" applyBorder="1" applyAlignment="1">
      <alignment wrapText="1"/>
    </xf>
    <xf numFmtId="0" fontId="15" fillId="16" borderId="0" xfId="0" applyFont="1" applyFill="1" applyAlignment="1">
      <alignment wrapText="1"/>
    </xf>
    <xf numFmtId="0" fontId="4" fillId="0" borderId="0" xfId="0" applyFont="1" applyAlignment="1">
      <alignment wrapText="1"/>
    </xf>
    <xf numFmtId="0" fontId="5" fillId="8" borderId="0" xfId="0" applyFont="1" applyFill="1"/>
    <xf numFmtId="0" fontId="7" fillId="15" borderId="9" xfId="0" applyFont="1" applyFill="1" applyBorder="1" applyAlignment="1">
      <alignment wrapText="1"/>
    </xf>
    <xf numFmtId="0" fontId="7" fillId="15" borderId="0" xfId="0" applyFont="1" applyFill="1" applyBorder="1" applyAlignment="1">
      <alignment wrapText="1"/>
    </xf>
    <xf numFmtId="0" fontId="16" fillId="0" borderId="0" xfId="0" applyFont="1"/>
    <xf numFmtId="0" fontId="17" fillId="0" borderId="0" xfId="0" applyFont="1"/>
    <xf numFmtId="14" fontId="8" fillId="0" borderId="2" xfId="0" applyNumberFormat="1" applyFont="1" applyFill="1" applyBorder="1" applyAlignment="1">
      <alignment horizontal="left" vertical="top" wrapText="1"/>
    </xf>
    <xf numFmtId="0" fontId="8" fillId="0" borderId="2" xfId="0" applyFont="1" applyFill="1" applyBorder="1" applyAlignment="1">
      <alignment horizontal="center" vertical="center"/>
    </xf>
    <xf numFmtId="0" fontId="8" fillId="0" borderId="2" xfId="0" applyFont="1" applyFill="1" applyBorder="1" applyAlignment="1">
      <alignment horizontal="left" vertical="top"/>
    </xf>
    <xf numFmtId="0" fontId="8" fillId="0" borderId="2" xfId="0" applyFont="1" applyBorder="1" applyAlignment="1">
      <alignment horizontal="left" vertical="top"/>
    </xf>
    <xf numFmtId="8" fontId="18" fillId="14" borderId="2" xfId="3" applyNumberFormat="1" applyFont="1" applyBorder="1" applyAlignment="1">
      <alignment horizontal="right" vertical="top" wrapText="1"/>
    </xf>
    <xf numFmtId="164" fontId="8" fillId="3" borderId="2" xfId="2" applyNumberFormat="1" applyFont="1" applyBorder="1" applyAlignment="1">
      <alignment horizontal="right" vertical="top"/>
    </xf>
    <xf numFmtId="0" fontId="8" fillId="3" borderId="2" xfId="2" applyFont="1" applyBorder="1" applyAlignment="1">
      <alignment horizontal="left" vertical="top"/>
    </xf>
    <xf numFmtId="14" fontId="8" fillId="0" borderId="2" xfId="0" applyNumberFormat="1" applyFont="1" applyFill="1" applyBorder="1" applyAlignment="1">
      <alignment horizontal="left" wrapText="1"/>
    </xf>
    <xf numFmtId="0" fontId="8" fillId="0" borderId="2" xfId="0" applyFont="1" applyBorder="1" applyAlignment="1">
      <alignment horizontal="left" vertical="top" wrapText="1"/>
    </xf>
    <xf numFmtId="0" fontId="8" fillId="0" borderId="2" xfId="0" applyFont="1" applyFill="1" applyBorder="1"/>
    <xf numFmtId="14" fontId="8" fillId="0" borderId="2" xfId="0" applyNumberFormat="1" applyFont="1" applyFill="1" applyBorder="1" applyAlignment="1">
      <alignment horizontal="right" vertical="top" wrapText="1"/>
    </xf>
    <xf numFmtId="8" fontId="18" fillId="14" borderId="1" xfId="3" applyNumberFormat="1" applyFont="1" applyAlignment="1">
      <alignment horizontal="right" vertical="top" wrapText="1"/>
    </xf>
    <xf numFmtId="164" fontId="18" fillId="14" borderId="1" xfId="3" applyNumberFormat="1" applyFont="1" applyAlignment="1">
      <alignment horizontal="right" vertical="top"/>
    </xf>
    <xf numFmtId="164" fontId="8" fillId="3" borderId="1" xfId="2" applyNumberFormat="1" applyFont="1" applyAlignment="1">
      <alignment horizontal="right" vertical="top"/>
    </xf>
    <xf numFmtId="0" fontId="8" fillId="3" borderId="1" xfId="2" applyFont="1" applyAlignment="1">
      <alignment horizontal="left" vertical="top"/>
    </xf>
    <xf numFmtId="0" fontId="8" fillId="0" borderId="2" xfId="0" applyFont="1" applyBorder="1"/>
    <xf numFmtId="14" fontId="8" fillId="0" borderId="2" xfId="0" applyNumberFormat="1" applyFont="1" applyFill="1" applyBorder="1" applyAlignment="1">
      <alignment wrapText="1"/>
    </xf>
    <xf numFmtId="164" fontId="18" fillId="14" borderId="1" xfId="3" applyNumberFormat="1" applyFont="1" applyAlignment="1">
      <alignment horizontal="right"/>
    </xf>
    <xf numFmtId="164" fontId="8" fillId="3" borderId="1" xfId="2" applyNumberFormat="1" applyFont="1" applyAlignment="1">
      <alignment horizontal="right"/>
    </xf>
    <xf numFmtId="16" fontId="0" fillId="0" borderId="0" xfId="0" applyNumberFormat="1" applyAlignment="1">
      <alignment wrapText="1"/>
    </xf>
    <xf numFmtId="0" fontId="19" fillId="0" borderId="0" xfId="4" applyAlignment="1">
      <alignment wrapText="1"/>
    </xf>
    <xf numFmtId="0" fontId="7" fillId="15" borderId="0" xfId="0" applyFont="1" applyFill="1" applyBorder="1" applyAlignment="1"/>
    <xf numFmtId="0" fontId="0" fillId="15" borderId="10" xfId="0" applyFill="1" applyBorder="1" applyAlignment="1">
      <alignment wrapText="1"/>
    </xf>
    <xf numFmtId="0" fontId="0" fillId="15" borderId="11" xfId="0" applyFill="1" applyBorder="1" applyAlignment="1">
      <alignment wrapText="1"/>
    </xf>
    <xf numFmtId="0" fontId="0" fillId="15" borderId="12" xfId="0" applyFill="1" applyBorder="1" applyAlignment="1">
      <alignment wrapText="1"/>
    </xf>
    <xf numFmtId="0" fontId="0" fillId="5" borderId="2" xfId="0" applyFill="1" applyBorder="1" applyAlignment="1">
      <alignment wrapText="1"/>
    </xf>
    <xf numFmtId="0" fontId="0" fillId="4" borderId="2" xfId="0" applyFill="1" applyBorder="1" applyAlignment="1">
      <alignment wrapText="1"/>
    </xf>
    <xf numFmtId="0" fontId="0" fillId="4" borderId="2" xfId="0" applyFill="1" applyBorder="1"/>
    <xf numFmtId="0" fontId="0" fillId="0" borderId="2" xfId="0" applyBorder="1" applyAlignment="1"/>
    <xf numFmtId="0" fontId="0" fillId="0" borderId="2" xfId="0" applyFill="1" applyBorder="1" applyAlignment="1">
      <alignment wrapText="1"/>
    </xf>
    <xf numFmtId="0" fontId="7" fillId="0" borderId="2" xfId="0" applyFont="1" applyBorder="1" applyAlignment="1">
      <alignment horizontal="left" vertical="center" wrapText="1"/>
    </xf>
    <xf numFmtId="8" fontId="16" fillId="14" borderId="2" xfId="3" applyNumberFormat="1" applyFont="1" applyBorder="1" applyAlignment="1">
      <alignment horizontal="right" vertical="top" wrapText="1"/>
    </xf>
    <xf numFmtId="164" fontId="7" fillId="3" borderId="2" xfId="2" applyNumberFormat="1" applyFont="1" applyBorder="1" applyAlignment="1">
      <alignment horizontal="right" vertical="top"/>
    </xf>
    <xf numFmtId="0" fontId="7" fillId="3" borderId="2" xfId="2" applyFont="1" applyBorder="1" applyAlignment="1">
      <alignment horizontal="left" vertical="top"/>
    </xf>
    <xf numFmtId="0" fontId="7" fillId="0" borderId="2" xfId="0" applyFont="1" applyBorder="1"/>
    <xf numFmtId="0" fontId="7" fillId="0" borderId="0" xfId="0" applyFont="1"/>
    <xf numFmtId="0" fontId="7" fillId="0" borderId="2" xfId="0" applyFont="1" applyBorder="1" applyAlignment="1">
      <alignment wrapText="1"/>
    </xf>
    <xf numFmtId="14" fontId="4" fillId="0" borderId="2" xfId="0" applyNumberFormat="1" applyFont="1" applyFill="1" applyBorder="1" applyAlignment="1">
      <alignment horizontal="right" vertical="center" wrapText="1"/>
    </xf>
    <xf numFmtId="14" fontId="4" fillId="0" borderId="2" xfId="0" applyNumberFormat="1" applyFont="1" applyFill="1" applyBorder="1" applyAlignment="1">
      <alignment horizontal="left" vertical="center" wrapText="1"/>
    </xf>
    <xf numFmtId="0" fontId="4" fillId="0" borderId="2" xfId="0" applyFont="1" applyFill="1" applyBorder="1" applyAlignment="1">
      <alignment horizontal="center" vertical="center"/>
    </xf>
    <xf numFmtId="0" fontId="4" fillId="0" borderId="2" xfId="0" applyFont="1" applyBorder="1" applyAlignment="1">
      <alignment horizontal="left" vertical="center" wrapText="1"/>
    </xf>
    <xf numFmtId="8" fontId="20" fillId="14" borderId="2" xfId="3" applyNumberFormat="1" applyFont="1" applyBorder="1" applyAlignment="1">
      <alignment horizontal="right" vertical="top" wrapText="1"/>
    </xf>
    <xf numFmtId="164" fontId="4" fillId="3" borderId="2" xfId="2" applyNumberFormat="1" applyFont="1" applyBorder="1" applyAlignment="1">
      <alignment horizontal="right" vertical="top"/>
    </xf>
    <xf numFmtId="0" fontId="4" fillId="3" borderId="2" xfId="2" applyFont="1" applyBorder="1" applyAlignment="1">
      <alignment horizontal="left" vertical="top"/>
    </xf>
    <xf numFmtId="0" fontId="4" fillId="0" borderId="2" xfId="0" applyFont="1" applyBorder="1"/>
    <xf numFmtId="0" fontId="4" fillId="0" borderId="0" xfId="0" applyFont="1"/>
    <xf numFmtId="16" fontId="21" fillId="0" borderId="2" xfId="0" applyNumberFormat="1" applyFont="1" applyFill="1" applyBorder="1" applyAlignment="1">
      <alignment horizontal="center" vertical="center"/>
    </xf>
    <xf numFmtId="0" fontId="21" fillId="0" borderId="2" xfId="0" applyFont="1" applyFill="1" applyBorder="1" applyAlignment="1">
      <alignment horizontal="center" vertical="center"/>
    </xf>
    <xf numFmtId="0" fontId="21" fillId="0" borderId="2" xfId="0" applyFont="1" applyFill="1" applyBorder="1" applyAlignment="1">
      <alignment horizontal="left" vertical="center"/>
    </xf>
    <xf numFmtId="8" fontId="22" fillId="14" borderId="2" xfId="3" applyNumberFormat="1" applyFont="1" applyBorder="1" applyAlignment="1">
      <alignment horizontal="right" vertical="top" wrapText="1"/>
    </xf>
    <xf numFmtId="164" fontId="21" fillId="3" borderId="2" xfId="2" applyNumberFormat="1" applyFont="1" applyBorder="1" applyAlignment="1">
      <alignment horizontal="right" vertical="top"/>
    </xf>
    <xf numFmtId="0" fontId="21" fillId="3" borderId="2" xfId="2" applyFont="1" applyBorder="1" applyAlignment="1">
      <alignment horizontal="left" vertical="top"/>
    </xf>
    <xf numFmtId="0" fontId="21" fillId="0" borderId="2" xfId="0" applyFont="1" applyBorder="1"/>
    <xf numFmtId="0" fontId="21" fillId="0" borderId="0" xfId="0" applyFont="1"/>
    <xf numFmtId="0" fontId="21" fillId="0" borderId="0" xfId="0" applyFont="1" applyAlignment="1">
      <alignment horizontal="left"/>
    </xf>
    <xf numFmtId="16" fontId="4" fillId="0" borderId="2" xfId="0" applyNumberFormat="1" applyFont="1" applyFill="1" applyBorder="1" applyAlignment="1">
      <alignment horizontal="center" vertical="center"/>
    </xf>
    <xf numFmtId="0" fontId="4" fillId="0" borderId="2" xfId="0" applyFont="1" applyFill="1" applyBorder="1" applyAlignment="1">
      <alignment horizontal="left" vertical="center"/>
    </xf>
    <xf numFmtId="0" fontId="2" fillId="3" borderId="13" xfId="2" applyBorder="1" applyAlignment="1">
      <alignment wrapText="1"/>
    </xf>
    <xf numFmtId="0" fontId="0" fillId="9" borderId="2" xfId="0" applyFill="1" applyBorder="1"/>
    <xf numFmtId="0" fontId="11" fillId="0" borderId="2" xfId="0" applyFont="1" applyBorder="1"/>
    <xf numFmtId="0" fontId="6" fillId="10" borderId="2" xfId="2" applyFont="1" applyFill="1" applyBorder="1" applyAlignment="1">
      <alignment wrapText="1"/>
    </xf>
    <xf numFmtId="0" fontId="6" fillId="10" borderId="2" xfId="2" applyFont="1" applyFill="1" applyBorder="1" applyAlignment="1"/>
    <xf numFmtId="49" fontId="0" fillId="0" borderId="2" xfId="0" applyNumberFormat="1" applyFont="1" applyBorder="1" applyAlignment="1"/>
    <xf numFmtId="0" fontId="8" fillId="0" borderId="2" xfId="0" applyFont="1" applyFill="1" applyBorder="1" applyAlignment="1">
      <alignment wrapText="1"/>
    </xf>
    <xf numFmtId="0" fontId="7" fillId="7" borderId="2" xfId="0" applyFont="1" applyFill="1" applyBorder="1" applyAlignment="1">
      <alignment wrapText="1"/>
    </xf>
    <xf numFmtId="0" fontId="0" fillId="7" borderId="2" xfId="0" applyFill="1" applyBorder="1" applyAlignment="1">
      <alignment wrapText="1"/>
    </xf>
    <xf numFmtId="0" fontId="0" fillId="7" borderId="2" xfId="0" applyFill="1" applyBorder="1" applyAlignment="1"/>
    <xf numFmtId="0" fontId="7" fillId="19" borderId="2" xfId="0" applyFont="1" applyFill="1" applyBorder="1" applyAlignment="1">
      <alignment wrapText="1"/>
    </xf>
    <xf numFmtId="0" fontId="0" fillId="19" borderId="2" xfId="0" applyFill="1" applyBorder="1" applyAlignment="1"/>
    <xf numFmtId="0" fontId="0" fillId="19" borderId="2" xfId="0" applyFill="1" applyBorder="1"/>
    <xf numFmtId="0" fontId="0" fillId="19" borderId="2" xfId="0" applyFill="1" applyBorder="1" applyAlignment="1">
      <alignment wrapText="1"/>
    </xf>
    <xf numFmtId="0" fontId="7" fillId="19" borderId="2" xfId="0" applyFont="1" applyFill="1" applyBorder="1" applyAlignment="1"/>
    <xf numFmtId="0" fontId="7" fillId="0" borderId="2" xfId="0" applyFont="1" applyFill="1" applyBorder="1" applyAlignment="1">
      <alignment wrapText="1"/>
    </xf>
    <xf numFmtId="0" fontId="0" fillId="22" borderId="2" xfId="0" applyFill="1" applyBorder="1" applyAlignment="1">
      <alignment wrapText="1"/>
    </xf>
    <xf numFmtId="0" fontId="3" fillId="10" borderId="2" xfId="0" applyFont="1" applyFill="1" applyBorder="1" applyAlignment="1">
      <alignment wrapText="1"/>
    </xf>
    <xf numFmtId="0" fontId="5" fillId="4" borderId="2" xfId="0" applyFont="1" applyFill="1" applyBorder="1" applyAlignment="1">
      <alignment horizontal="right" wrapText="1"/>
    </xf>
    <xf numFmtId="0" fontId="5" fillId="11" borderId="2" xfId="0" applyFont="1" applyFill="1" applyBorder="1" applyAlignment="1">
      <alignment horizontal="right" wrapText="1"/>
    </xf>
    <xf numFmtId="0" fontId="5" fillId="5" borderId="2" xfId="0" applyFont="1" applyFill="1" applyBorder="1" applyAlignment="1">
      <alignment horizontal="right" wrapText="1"/>
    </xf>
    <xf numFmtId="0" fontId="5" fillId="6" borderId="2" xfId="0" applyFont="1" applyFill="1" applyBorder="1" applyAlignment="1">
      <alignment horizontal="right" vertical="center" wrapText="1"/>
    </xf>
    <xf numFmtId="0" fontId="5" fillId="12" borderId="2" xfId="0" applyFont="1" applyFill="1" applyBorder="1" applyAlignment="1">
      <alignment horizontal="right" vertical="center" wrapText="1"/>
    </xf>
    <xf numFmtId="0" fontId="5" fillId="17" borderId="2" xfId="0" applyFont="1" applyFill="1" applyBorder="1" applyAlignment="1">
      <alignment horizontal="right" vertical="center" wrapText="1"/>
    </xf>
    <xf numFmtId="0" fontId="6" fillId="10" borderId="4" xfId="1" applyFont="1" applyFill="1" applyBorder="1"/>
    <xf numFmtId="0" fontId="0" fillId="23" borderId="2" xfId="0" applyFill="1" applyBorder="1" applyAlignment="1">
      <alignment wrapText="1"/>
    </xf>
    <xf numFmtId="0" fontId="0" fillId="24" borderId="2" xfId="0" applyFill="1" applyBorder="1" applyAlignment="1">
      <alignment wrapText="1"/>
    </xf>
    <xf numFmtId="0" fontId="0" fillId="25" borderId="2" xfId="0" applyFill="1" applyBorder="1" applyAlignment="1">
      <alignment wrapText="1"/>
    </xf>
    <xf numFmtId="0" fontId="0" fillId="26" borderId="2" xfId="0" applyFill="1" applyBorder="1" applyAlignment="1">
      <alignment wrapText="1"/>
    </xf>
    <xf numFmtId="0" fontId="0" fillId="27" borderId="2" xfId="0" applyFill="1" applyBorder="1" applyAlignment="1">
      <alignment wrapText="1"/>
    </xf>
    <xf numFmtId="0" fontId="0" fillId="28" borderId="2" xfId="0" applyFill="1" applyBorder="1" applyAlignment="1">
      <alignment wrapText="1"/>
    </xf>
    <xf numFmtId="0" fontId="6" fillId="10" borderId="2" xfId="0" applyFont="1" applyFill="1" applyBorder="1"/>
    <xf numFmtId="0" fontId="6" fillId="10" borderId="2" xfId="0" applyFont="1" applyFill="1" applyBorder="1" applyAlignment="1">
      <alignment horizontal="left"/>
    </xf>
    <xf numFmtId="0" fontId="0" fillId="0" borderId="2" xfId="0" applyBorder="1" applyAlignment="1">
      <alignment horizontal="left"/>
    </xf>
    <xf numFmtId="0" fontId="19" fillId="0" borderId="2" xfId="6" applyBorder="1"/>
    <xf numFmtId="0" fontId="19" fillId="0" borderId="0" xfId="6"/>
    <xf numFmtId="0" fontId="0" fillId="0" borderId="0" xfId="0" applyAlignment="1">
      <alignment horizontal="left"/>
    </xf>
    <xf numFmtId="0" fontId="24" fillId="0" borderId="2" xfId="5" applyBorder="1"/>
    <xf numFmtId="0" fontId="0" fillId="7" borderId="2" xfId="0" applyFill="1" applyBorder="1" applyAlignment="1">
      <alignment vertical="top" wrapText="1"/>
    </xf>
    <xf numFmtId="0" fontId="6" fillId="18" borderId="2" xfId="0" applyFont="1" applyFill="1" applyBorder="1" applyAlignment="1">
      <alignment horizontal="center"/>
    </xf>
    <xf numFmtId="0" fontId="6" fillId="20" borderId="2" xfId="0" applyFont="1" applyFill="1" applyBorder="1" applyAlignment="1">
      <alignment horizontal="center"/>
    </xf>
    <xf numFmtId="0" fontId="3" fillId="18" borderId="0" xfId="0" applyFont="1" applyFill="1" applyAlignment="1">
      <alignment horizontal="center"/>
    </xf>
    <xf numFmtId="0" fontId="3" fillId="0" borderId="0" xfId="0" applyFont="1" applyAlignment="1">
      <alignment horizontal="center"/>
    </xf>
    <xf numFmtId="0" fontId="0" fillId="21" borderId="0" xfId="0" applyFill="1" applyAlignment="1"/>
  </cellXfs>
  <cellStyles count="7">
    <cellStyle name="Calculation" xfId="3" builtinId="22"/>
    <cellStyle name="Followed Hyperlink" xfId="5" builtinId="9"/>
    <cellStyle name="Hyperlink" xfId="4" builtinId="8"/>
    <cellStyle name="Hyperlink 2" xfId="6"/>
    <cellStyle name="Input" xfId="2" builtinId="20"/>
    <cellStyle name="Neutral" xfId="1" builtinId="28"/>
    <cellStyle name="Normal" xfId="0" builtinId="0"/>
  </cellStyles>
  <dxfs count="0"/>
  <tableStyles count="0" defaultTableStyle="TableStyleMedium2" defaultPivotStyle="PivotStyleLight16"/>
  <colors>
    <mruColors>
      <color rgb="FFCCFF66"/>
      <color rgb="FFCCFF33"/>
      <color rgb="FF00FFFF"/>
      <color rgb="FF00FF00"/>
      <color rgb="FF99CCFF"/>
      <color rgb="FFFF7C8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DSA/Downloads/SA-CW-757-SDSAC-1562-Black-Friday-Matr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DSA/Downloads/ME%20Holiday%20Deals_FINA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 DATA + SL, PH - Nov27-1159PM"/>
      <sheetName val="MI DATA + SL, PH Nov29-1159PM"/>
      <sheetName val="MI DATA + SL, PH Nov30-11-59PM"/>
      <sheetName val="MI DATA + SL, PH Dec6-11PM"/>
      <sheetName val="Dynamic Banners"/>
      <sheetName val="Guidelines"/>
      <sheetName val="DD Versions"/>
      <sheetName val="CC Versions"/>
      <sheetName val="BF Offers"/>
      <sheetName val="DDOfferCopy"/>
      <sheetName val="CCModuleCopy"/>
      <sheetName val="MiscBanners"/>
      <sheetName val="TC"/>
      <sheetName val="PN Copy - For Design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t="str">
            <v>https://www.samsung.com/us/shop/all-deals/</v>
          </cell>
          <cell r="C4"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G4" t="str">
            <v>Cross-Category_Black_Friday_Week_01.jpg</v>
          </cell>
        </row>
      </sheetData>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7 BF"/>
      <sheetName val="11.30 Cyber Monday"/>
      <sheetName val="12.1-12.5 Cyber Week"/>
      <sheetName val="Sources Pricing"/>
    </sheetNames>
    <sheetDataSet>
      <sheetData sheetId="0"/>
      <sheetData sheetId="1"/>
      <sheetData sheetId="2"/>
      <sheetData sheetId="3">
        <row r="1">
          <cell r="B1" t="str">
            <v>Product Breakout</v>
          </cell>
          <cell r="C1" t="str">
            <v>MSRP</v>
          </cell>
          <cell r="D1" t="str">
            <v>Trade-in</v>
          </cell>
        </row>
        <row r="2">
          <cell r="B2" t="str">
            <v>galaxy buds</v>
          </cell>
          <cell r="C2">
            <v>129.99</v>
          </cell>
          <cell r="D2">
            <v>0</v>
          </cell>
        </row>
        <row r="3">
          <cell r="B3" t="str">
            <v>galaxy buds live</v>
          </cell>
          <cell r="C3">
            <v>169.99</v>
          </cell>
          <cell r="D3">
            <v>20</v>
          </cell>
        </row>
        <row r="4">
          <cell r="B4" t="str">
            <v>galaxy buds+</v>
          </cell>
          <cell r="C4">
            <v>149.99</v>
          </cell>
          <cell r="D4">
            <v>20</v>
          </cell>
        </row>
        <row r="5">
          <cell r="B5" t="str">
            <v>galaxy book flex</v>
          </cell>
          <cell r="C5">
            <v>849.99</v>
          </cell>
          <cell r="D5">
            <v>400</v>
          </cell>
        </row>
        <row r="6">
          <cell r="B6" t="str">
            <v>galaxy book ion</v>
          </cell>
          <cell r="C6">
            <v>1199.99</v>
          </cell>
          <cell r="D6">
            <v>400</v>
          </cell>
        </row>
        <row r="7">
          <cell r="B7" t="str">
            <v>galaxy book s</v>
          </cell>
          <cell r="C7">
            <v>949.99</v>
          </cell>
          <cell r="D7">
            <v>400</v>
          </cell>
        </row>
        <row r="8">
          <cell r="B8" t="str">
            <v>galaxy chromebook</v>
          </cell>
          <cell r="C8">
            <v>999</v>
          </cell>
          <cell r="D8">
            <v>450</v>
          </cell>
        </row>
        <row r="9">
          <cell r="B9" t="str">
            <v>galaxy-book-s</v>
          </cell>
          <cell r="C9">
            <v>149.99</v>
          </cell>
          <cell r="D9">
            <v>400</v>
          </cell>
        </row>
        <row r="10">
          <cell r="B10" t="str">
            <v>notebook 9 premium</v>
          </cell>
          <cell r="C10">
            <v>1099.99</v>
          </cell>
          <cell r="D10">
            <v>0</v>
          </cell>
        </row>
        <row r="11">
          <cell r="B11" t="str">
            <v>galaxy tab a7</v>
          </cell>
          <cell r="C11">
            <v>229.99</v>
          </cell>
          <cell r="D11">
            <v>75</v>
          </cell>
        </row>
        <row r="12">
          <cell r="B12" t="str">
            <v>galaxy tab a8.0</v>
          </cell>
          <cell r="C12">
            <v>149.99</v>
          </cell>
          <cell r="D12">
            <v>0</v>
          </cell>
        </row>
        <row r="13">
          <cell r="B13" t="str">
            <v>galaxy tab a8.4</v>
          </cell>
          <cell r="C13">
            <v>239.99</v>
          </cell>
          <cell r="D13">
            <v>0</v>
          </cell>
        </row>
        <row r="14">
          <cell r="B14" t="str">
            <v>galaxy tab a10.1</v>
          </cell>
          <cell r="C14">
            <v>229.99</v>
          </cell>
          <cell r="D14">
            <v>0</v>
          </cell>
        </row>
        <row r="15">
          <cell r="B15" t="str">
            <v>galaxy tab s6</v>
          </cell>
          <cell r="C15">
            <v>649.99</v>
          </cell>
          <cell r="D15">
            <v>75</v>
          </cell>
        </row>
        <row r="16">
          <cell r="B16" t="str">
            <v>galaxy tab s6 lite</v>
          </cell>
          <cell r="C16">
            <v>349.99</v>
          </cell>
          <cell r="D16">
            <v>75</v>
          </cell>
        </row>
        <row r="17">
          <cell r="B17" t="str">
            <v>galaxy tab s7</v>
          </cell>
          <cell r="C17">
            <v>649.99</v>
          </cell>
          <cell r="D17">
            <v>500</v>
          </cell>
        </row>
        <row r="18">
          <cell r="B18" t="str">
            <v>galaxy tab s7+</v>
          </cell>
          <cell r="C18">
            <v>849.99</v>
          </cell>
          <cell r="D18">
            <v>500</v>
          </cell>
        </row>
        <row r="19">
          <cell r="B19" t="str">
            <v>tab a kids</v>
          </cell>
          <cell r="C19">
            <v>149.99</v>
          </cell>
          <cell r="D19">
            <v>0</v>
          </cell>
        </row>
        <row r="20">
          <cell r="B20" t="str">
            <v>tab s4</v>
          </cell>
          <cell r="C20">
            <v>749.99</v>
          </cell>
          <cell r="D20">
            <v>75</v>
          </cell>
        </row>
        <row r="21">
          <cell r="B21" t="str">
            <v>tab s5e</v>
          </cell>
          <cell r="C21">
            <v>399.99</v>
          </cell>
          <cell r="D21">
            <v>75</v>
          </cell>
        </row>
        <row r="22">
          <cell r="B22" t="str">
            <v>galaxy fit2</v>
          </cell>
          <cell r="C22">
            <v>59.99</v>
          </cell>
          <cell r="D22">
            <v>0</v>
          </cell>
        </row>
        <row r="23">
          <cell r="B23" t="str">
            <v>galaxy watch active2 BT</v>
          </cell>
          <cell r="C23">
            <v>249.99</v>
          </cell>
          <cell r="D23">
            <v>150</v>
          </cell>
        </row>
        <row r="24">
          <cell r="B24" t="str">
            <v>galaxy watch active2 LTE</v>
          </cell>
          <cell r="C24">
            <v>379.99</v>
          </cell>
          <cell r="D24">
            <v>150</v>
          </cell>
        </row>
        <row r="25">
          <cell r="B25" t="str">
            <v>galaxy watch BT</v>
          </cell>
          <cell r="C25">
            <v>199.99</v>
          </cell>
          <cell r="D25">
            <v>105</v>
          </cell>
        </row>
        <row r="26">
          <cell r="B26" t="str">
            <v>galaxy watch LTE</v>
          </cell>
          <cell r="C26">
            <v>299.99</v>
          </cell>
          <cell r="D26">
            <v>105</v>
          </cell>
        </row>
        <row r="27">
          <cell r="B27" t="str">
            <v>galaxy watch3 BT</v>
          </cell>
          <cell r="C27">
            <v>399.99</v>
          </cell>
          <cell r="D27">
            <v>200</v>
          </cell>
        </row>
        <row r="28">
          <cell r="B28" t="str">
            <v>galaxy watch3 LTE</v>
          </cell>
          <cell r="C28">
            <v>449.99</v>
          </cell>
          <cell r="D28">
            <v>200</v>
          </cell>
        </row>
        <row r="29">
          <cell r="B29" t="str">
            <v>galaxy watch3 titanium</v>
          </cell>
          <cell r="C29">
            <v>599.99</v>
          </cell>
          <cell r="D29">
            <v>200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samsung.com/us/" TargetMode="External"/><Relationship Id="rId2" Type="http://schemas.openxmlformats.org/officeDocument/2006/relationships/hyperlink" Target="https://www.samsung.com/us/" TargetMode="External"/><Relationship Id="rId1" Type="http://schemas.openxmlformats.org/officeDocument/2006/relationships/hyperlink" Target="https://www.samsung.com/us/trade-in/terms-and-conditions/" TargetMode="External"/><Relationship Id="rId4" Type="http://schemas.openxmlformats.org/officeDocument/2006/relationships/hyperlink" Target="https://www.samsung.com/us/"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P29"/>
  <sheetViews>
    <sheetView zoomScale="85" zoomScaleNormal="85" workbookViewId="0">
      <pane ySplit="3" topLeftCell="A4" activePane="bottomLeft" state="frozen"/>
      <selection activeCell="A6" sqref="A6"/>
      <selection pane="bottomLeft" activeCell="L4" sqref="L4"/>
    </sheetView>
  </sheetViews>
  <sheetFormatPr defaultColWidth="8.85546875" defaultRowHeight="15" x14ac:dyDescent="0.25"/>
  <cols>
    <col min="1" max="1" width="7.85546875" style="7" bestFit="1" customWidth="1"/>
    <col min="2" max="2" width="18.7109375" style="7" bestFit="1" customWidth="1"/>
    <col min="3" max="3" width="3.7109375" style="7" customWidth="1"/>
    <col min="4" max="4" width="3.85546875" style="7" customWidth="1"/>
    <col min="5" max="5" width="14.5703125" style="7" bestFit="1" customWidth="1"/>
    <col min="6" max="6" width="3.28515625" style="7" customWidth="1"/>
    <col min="7" max="8" width="30.7109375" style="7" customWidth="1"/>
    <col min="9" max="9" width="13.85546875" style="7" customWidth="1"/>
    <col min="10" max="10" width="15.42578125" style="7" customWidth="1"/>
    <col min="11" max="11" width="22.28515625" style="7" customWidth="1"/>
    <col min="12" max="12" width="22.7109375" style="7" customWidth="1"/>
    <col min="13" max="14" width="15.85546875" style="7" customWidth="1"/>
    <col min="15" max="16" width="12.28515625" style="7" customWidth="1"/>
    <col min="17" max="18" width="13.85546875" style="7" customWidth="1"/>
    <col min="19" max="19" width="15.7109375" style="7" customWidth="1"/>
    <col min="20" max="20" width="17.28515625" style="7" customWidth="1"/>
    <col min="21" max="21" width="20" style="7" customWidth="1"/>
    <col min="22" max="22" width="16.140625" style="7" customWidth="1"/>
    <col min="23" max="24" width="15.85546875" style="7" customWidth="1"/>
    <col min="25" max="25" width="15.7109375" style="7" customWidth="1"/>
    <col min="26" max="26" width="10.28515625" style="7" customWidth="1"/>
    <col min="27" max="27" width="9.28515625" style="7" customWidth="1"/>
    <col min="28" max="28" width="9" style="7" customWidth="1"/>
    <col min="29" max="29" width="10.85546875" style="7" customWidth="1"/>
    <col min="30" max="30" width="13" style="7" customWidth="1"/>
    <col min="31" max="31" width="9.28515625" style="7" customWidth="1"/>
    <col min="32" max="32" width="10.42578125" style="7" customWidth="1"/>
    <col min="33" max="33" width="13" style="7" customWidth="1"/>
    <col min="34" max="34" width="47.5703125" style="7" customWidth="1"/>
    <col min="35" max="35" width="8.7109375" style="7" customWidth="1"/>
    <col min="36" max="36" width="8.28515625" style="7" customWidth="1"/>
    <col min="37" max="37" width="10.28515625" style="7" customWidth="1"/>
    <col min="38" max="38" width="9.42578125" style="7" customWidth="1"/>
    <col min="39" max="39" width="9" style="7" customWidth="1"/>
    <col min="40" max="40" width="10.85546875" style="7" customWidth="1"/>
    <col min="41" max="41" width="11.28515625" style="7" customWidth="1"/>
    <col min="42" max="42" width="9.85546875" style="7" customWidth="1"/>
    <col min="43" max="43" width="11.28515625" style="7" customWidth="1"/>
    <col min="44" max="44" width="10.42578125" style="7" customWidth="1"/>
    <col min="45" max="45" width="37.140625" style="7" customWidth="1"/>
    <col min="46" max="46" width="9.85546875" style="7" customWidth="1"/>
    <col min="47" max="47" width="10" style="7" customWidth="1"/>
    <col min="48" max="48" width="10.28515625" style="7" customWidth="1"/>
    <col min="49" max="49" width="9.5703125" style="7" customWidth="1"/>
    <col min="50" max="50" width="9.7109375" style="7" customWidth="1"/>
    <col min="51" max="51" width="10.85546875" style="7" customWidth="1"/>
    <col min="52" max="52" width="9.5703125" style="7" customWidth="1"/>
    <col min="53" max="53" width="9.28515625" style="7" customWidth="1"/>
    <col min="54" max="55" width="10.42578125" style="7" customWidth="1"/>
    <col min="56" max="56" width="32.140625" style="7" customWidth="1"/>
    <col min="57" max="57" width="9.28515625" style="7" customWidth="1"/>
    <col min="58" max="58" width="9.7109375" style="7" customWidth="1"/>
    <col min="59" max="59" width="10.28515625" style="7" customWidth="1"/>
    <col min="60" max="60" width="9.5703125" style="7" customWidth="1"/>
    <col min="61" max="61" width="9.28515625" style="7" customWidth="1"/>
    <col min="62" max="62" width="10.7109375" style="7" customWidth="1"/>
    <col min="63" max="63" width="9.140625" style="7" customWidth="1"/>
    <col min="64" max="64" width="9.85546875" style="7" customWidth="1"/>
    <col min="65" max="65" width="13.42578125" style="7" customWidth="1"/>
    <col min="66" max="66" width="10.42578125" style="7" customWidth="1"/>
    <col min="67" max="67" width="32.7109375" style="7" customWidth="1"/>
    <col min="68" max="68" width="9.85546875" style="7" customWidth="1"/>
    <col min="69" max="69" width="10" style="7" customWidth="1"/>
    <col min="70" max="70" width="10.28515625" style="7" customWidth="1"/>
    <col min="71" max="71" width="9.42578125" style="7" customWidth="1"/>
    <col min="72" max="72" width="9.7109375" style="7" customWidth="1"/>
    <col min="73" max="73" width="10.85546875" style="7" customWidth="1"/>
    <col min="74" max="74" width="7" style="7" customWidth="1"/>
    <col min="75" max="75" width="9.85546875" style="7" customWidth="1"/>
    <col min="76" max="76" width="10.7109375" style="7" customWidth="1"/>
    <col min="77" max="77" width="10.42578125" style="7" customWidth="1"/>
    <col min="78" max="78" width="33.5703125" style="7" customWidth="1"/>
    <col min="79" max="79" width="9.85546875" style="7" customWidth="1"/>
    <col min="80" max="80" width="10" style="7" customWidth="1"/>
    <col min="81" max="81" width="10.28515625" style="27" customWidth="1"/>
    <col min="82" max="82" width="10" style="7" customWidth="1"/>
    <col min="83" max="83" width="9.85546875" style="7" customWidth="1"/>
    <col min="84" max="84" width="10.85546875" style="7" customWidth="1"/>
    <col min="85" max="85" width="6.5703125" style="7" customWidth="1"/>
    <col min="86" max="86" width="9.85546875" style="7" customWidth="1"/>
    <col min="87" max="87" width="10.7109375" style="7" customWidth="1"/>
    <col min="88" max="88" width="10.42578125" style="7" customWidth="1"/>
    <col min="89" max="89" width="33.140625" style="7" customWidth="1"/>
    <col min="90" max="90" width="9.85546875" style="7" customWidth="1"/>
    <col min="91" max="91" width="9.140625" style="7" customWidth="1"/>
    <col min="92" max="93" width="9.5703125" style="7" customWidth="1"/>
    <col min="94" max="94" width="9.7109375" style="7" customWidth="1"/>
    <col min="95" max="95" width="10.85546875" style="7" customWidth="1"/>
    <col min="96" max="96" width="17.42578125" style="7" customWidth="1"/>
    <col min="97" max="97" width="9.85546875" style="7" customWidth="1"/>
    <col min="98" max="98" width="11" style="7" customWidth="1"/>
    <col min="99" max="99" width="10.42578125" style="7" customWidth="1"/>
    <col min="100" max="100" width="31.5703125" style="7" customWidth="1"/>
    <col min="101" max="101" width="9.85546875" style="7" customWidth="1"/>
    <col min="102" max="102" width="10" style="7" customWidth="1"/>
    <col min="103" max="103" width="10.28515625" style="7" customWidth="1"/>
    <col min="104" max="104" width="9.5703125" style="7" customWidth="1"/>
    <col min="105" max="105" width="9.7109375" style="7" customWidth="1"/>
    <col min="106" max="106" width="10.85546875" style="7" customWidth="1"/>
    <col min="107" max="107" width="17.85546875" style="7" customWidth="1"/>
    <col min="108" max="108" width="17.28515625" style="7" customWidth="1"/>
    <col min="109" max="110" width="20" style="7" customWidth="1"/>
    <col min="111" max="111" width="47.28515625" style="27" customWidth="1"/>
    <col min="112" max="112" width="15.85546875" style="7" customWidth="1"/>
    <col min="113" max="117" width="15.7109375" style="7" customWidth="1"/>
    <col min="118" max="118" width="17.5703125" style="7" customWidth="1"/>
    <col min="119" max="119" width="17.28515625" style="7" customWidth="1"/>
    <col min="120" max="121" width="20" style="7" customWidth="1"/>
    <col min="122" max="122" width="47.42578125" style="27" customWidth="1"/>
    <col min="123" max="123" width="15.85546875" style="7" customWidth="1"/>
    <col min="124" max="128" width="15.7109375" style="7" customWidth="1"/>
    <col min="129" max="129" width="17.5703125" style="7" customWidth="1"/>
    <col min="130" max="130" width="17.28515625" style="7" bestFit="1" customWidth="1"/>
    <col min="131" max="131" width="20" style="7" bestFit="1" customWidth="1"/>
    <col min="132" max="132" width="20" style="7" customWidth="1"/>
    <col min="133" max="133" width="47.42578125" style="27" customWidth="1"/>
    <col min="134" max="134" width="15.85546875" style="7" bestFit="1" customWidth="1"/>
    <col min="135" max="135" width="15.7109375" style="7" bestFit="1" customWidth="1"/>
    <col min="136" max="139" width="15.7109375" style="7" customWidth="1"/>
    <col min="140" max="140" width="17.5703125" style="7" customWidth="1"/>
    <col min="141" max="141" width="17.28515625" style="7" bestFit="1" customWidth="1"/>
    <col min="142" max="142" width="20" style="7" bestFit="1" customWidth="1"/>
    <col min="143" max="143" width="20" style="7" customWidth="1"/>
    <col min="144" max="144" width="48" style="27" customWidth="1"/>
    <col min="145" max="145" width="15.85546875" style="7" bestFit="1" customWidth="1"/>
    <col min="146" max="146" width="15.7109375" style="7" bestFit="1" customWidth="1"/>
    <col min="147" max="150" width="15.7109375" style="7" customWidth="1"/>
    <col min="151" max="151" width="17.5703125" style="7" customWidth="1"/>
    <col min="152" max="152" width="17.28515625" style="7" bestFit="1" customWidth="1"/>
    <col min="153" max="153" width="20" style="7" bestFit="1" customWidth="1"/>
    <col min="154" max="154" width="20" style="7" customWidth="1"/>
    <col min="155" max="155" width="48" style="27" customWidth="1"/>
    <col min="156" max="156" width="15.85546875" style="7" bestFit="1" customWidth="1"/>
    <col min="157" max="157" width="15.7109375" style="7" bestFit="1" customWidth="1"/>
    <col min="158" max="161" width="15.7109375" style="7" customWidth="1"/>
    <col min="162" max="162" width="17.5703125" style="7" customWidth="1"/>
    <col min="163" max="163" width="17.28515625" style="7" bestFit="1" customWidth="1"/>
    <col min="164" max="164" width="20" style="7" bestFit="1" customWidth="1"/>
    <col min="165" max="165" width="20" style="7" customWidth="1"/>
    <col min="166" max="166" width="47.140625" style="27" customWidth="1"/>
    <col min="167" max="167" width="15.85546875" style="7" bestFit="1" customWidth="1"/>
    <col min="168" max="168" width="15.7109375" style="7" bestFit="1" customWidth="1"/>
    <col min="169" max="172" width="15.7109375" style="7" customWidth="1"/>
    <col min="173" max="16384" width="8.85546875" style="7"/>
  </cols>
  <sheetData>
    <row r="1" spans="1:172" ht="30" x14ac:dyDescent="0.25">
      <c r="A1" s="51" t="s">
        <v>242</v>
      </c>
      <c r="B1" s="50" t="s">
        <v>244</v>
      </c>
      <c r="H1" s="57"/>
      <c r="J1" s="57"/>
      <c r="K1" s="57"/>
      <c r="N1" s="57"/>
    </row>
    <row r="2" spans="1:172" ht="15.75" thickBot="1" x14ac:dyDescent="0.3"/>
    <row r="3" spans="1:172" ht="47.45" customHeight="1" x14ac:dyDescent="0.25">
      <c r="A3" s="85" t="s">
        <v>176</v>
      </c>
      <c r="B3" s="86" t="s">
        <v>177</v>
      </c>
      <c r="C3" s="86" t="s">
        <v>178</v>
      </c>
      <c r="D3" s="86" t="s">
        <v>179</v>
      </c>
      <c r="E3" s="86" t="s">
        <v>180</v>
      </c>
      <c r="F3" s="87" t="s">
        <v>181</v>
      </c>
      <c r="G3" s="49" t="s">
        <v>198</v>
      </c>
      <c r="H3" s="49" t="s">
        <v>199</v>
      </c>
      <c r="I3" s="59" t="s">
        <v>246</v>
      </c>
      <c r="J3" s="59" t="s">
        <v>396</v>
      </c>
      <c r="K3" s="60" t="s">
        <v>183</v>
      </c>
      <c r="L3" s="60" t="s">
        <v>297</v>
      </c>
      <c r="M3" s="60" t="s">
        <v>184</v>
      </c>
      <c r="N3" s="60" t="s">
        <v>185</v>
      </c>
      <c r="O3" s="60" t="s">
        <v>186</v>
      </c>
      <c r="P3" s="60" t="s">
        <v>294</v>
      </c>
      <c r="Q3" s="60" t="s">
        <v>295</v>
      </c>
      <c r="R3" s="60" t="s">
        <v>296</v>
      </c>
      <c r="S3" s="49" t="s">
        <v>245</v>
      </c>
      <c r="T3" s="59" t="s">
        <v>397</v>
      </c>
      <c r="U3" s="60" t="s">
        <v>187</v>
      </c>
      <c r="V3" s="60" t="s">
        <v>315</v>
      </c>
      <c r="W3" s="60" t="s">
        <v>188</v>
      </c>
      <c r="X3" s="60" t="s">
        <v>189</v>
      </c>
      <c r="Y3" s="60" t="s">
        <v>316</v>
      </c>
      <c r="Z3" s="60" t="s">
        <v>317</v>
      </c>
      <c r="AA3" s="60" t="s">
        <v>424</v>
      </c>
      <c r="AB3" s="60" t="s">
        <v>318</v>
      </c>
      <c r="AC3" s="60" t="s">
        <v>319</v>
      </c>
      <c r="AD3" s="55" t="s">
        <v>247</v>
      </c>
      <c r="AE3" s="59" t="s">
        <v>398</v>
      </c>
      <c r="AF3" s="60" t="s">
        <v>190</v>
      </c>
      <c r="AG3" s="60" t="s">
        <v>320</v>
      </c>
      <c r="AH3" s="60" t="s">
        <v>191</v>
      </c>
      <c r="AI3" s="60" t="s">
        <v>192</v>
      </c>
      <c r="AJ3" s="60" t="s">
        <v>193</v>
      </c>
      <c r="AK3" s="60" t="s">
        <v>321</v>
      </c>
      <c r="AL3" s="60" t="s">
        <v>425</v>
      </c>
      <c r="AM3" s="60" t="s">
        <v>322</v>
      </c>
      <c r="AN3" s="60" t="s">
        <v>323</v>
      </c>
      <c r="AO3" s="55" t="s">
        <v>248</v>
      </c>
      <c r="AP3" s="59" t="s">
        <v>399</v>
      </c>
      <c r="AQ3" s="60" t="s">
        <v>194</v>
      </c>
      <c r="AR3" s="60" t="s">
        <v>324</v>
      </c>
      <c r="AS3" s="60" t="s">
        <v>195</v>
      </c>
      <c r="AT3" s="60" t="s">
        <v>196</v>
      </c>
      <c r="AU3" s="60" t="s">
        <v>197</v>
      </c>
      <c r="AV3" s="60" t="s">
        <v>325</v>
      </c>
      <c r="AW3" s="60" t="s">
        <v>426</v>
      </c>
      <c r="AX3" s="60" t="s">
        <v>326</v>
      </c>
      <c r="AY3" s="60" t="s">
        <v>409</v>
      </c>
      <c r="AZ3" s="56" t="s">
        <v>249</v>
      </c>
      <c r="BA3" s="59" t="s">
        <v>400</v>
      </c>
      <c r="BB3" s="60" t="s">
        <v>250</v>
      </c>
      <c r="BC3" s="60" t="s">
        <v>327</v>
      </c>
      <c r="BD3" s="60" t="s">
        <v>251</v>
      </c>
      <c r="BE3" s="60" t="s">
        <v>252</v>
      </c>
      <c r="BF3" s="60" t="s">
        <v>253</v>
      </c>
      <c r="BG3" s="60" t="s">
        <v>328</v>
      </c>
      <c r="BH3" s="60" t="s">
        <v>427</v>
      </c>
      <c r="BI3" s="60" t="s">
        <v>329</v>
      </c>
      <c r="BJ3" s="60" t="s">
        <v>410</v>
      </c>
      <c r="BK3" s="56" t="s">
        <v>259</v>
      </c>
      <c r="BL3" s="59" t="s">
        <v>401</v>
      </c>
      <c r="BM3" s="60" t="s">
        <v>260</v>
      </c>
      <c r="BN3" s="60" t="s">
        <v>330</v>
      </c>
      <c r="BO3" s="60" t="s">
        <v>261</v>
      </c>
      <c r="BP3" s="60" t="s">
        <v>262</v>
      </c>
      <c r="BQ3" s="60" t="s">
        <v>263</v>
      </c>
      <c r="BR3" s="60" t="s">
        <v>331</v>
      </c>
      <c r="BS3" s="60" t="s">
        <v>428</v>
      </c>
      <c r="BT3" s="60" t="s">
        <v>332</v>
      </c>
      <c r="BU3" s="60" t="s">
        <v>333</v>
      </c>
      <c r="BV3" s="56" t="s">
        <v>268</v>
      </c>
      <c r="BW3" s="59" t="s">
        <v>402</v>
      </c>
      <c r="BX3" s="60" t="s">
        <v>269</v>
      </c>
      <c r="BY3" s="60" t="s">
        <v>334</v>
      </c>
      <c r="BZ3" s="60" t="s">
        <v>270</v>
      </c>
      <c r="CA3" s="60" t="s">
        <v>271</v>
      </c>
      <c r="CB3" s="60" t="s">
        <v>272</v>
      </c>
      <c r="CC3" s="84" t="s">
        <v>335</v>
      </c>
      <c r="CD3" s="60" t="s">
        <v>429</v>
      </c>
      <c r="CE3" s="60" t="s">
        <v>336</v>
      </c>
      <c r="CF3" s="60" t="s">
        <v>337</v>
      </c>
      <c r="CG3" s="56" t="s">
        <v>274</v>
      </c>
      <c r="CH3" s="59" t="s">
        <v>403</v>
      </c>
      <c r="CI3" s="60" t="s">
        <v>275</v>
      </c>
      <c r="CJ3" s="60" t="s">
        <v>338</v>
      </c>
      <c r="CK3" s="60" t="s">
        <v>276</v>
      </c>
      <c r="CL3" s="60" t="s">
        <v>277</v>
      </c>
      <c r="CM3" s="60" t="s">
        <v>278</v>
      </c>
      <c r="CN3" s="60" t="s">
        <v>339</v>
      </c>
      <c r="CO3" s="60" t="s">
        <v>430</v>
      </c>
      <c r="CP3" s="60" t="s">
        <v>340</v>
      </c>
      <c r="CQ3" s="60" t="s">
        <v>341</v>
      </c>
      <c r="CR3" s="56" t="s">
        <v>281</v>
      </c>
      <c r="CS3" s="59" t="s">
        <v>404</v>
      </c>
      <c r="CT3" s="60" t="s">
        <v>282</v>
      </c>
      <c r="CU3" s="60" t="s">
        <v>342</v>
      </c>
      <c r="CV3" s="60" t="s">
        <v>283</v>
      </c>
      <c r="CW3" s="60" t="s">
        <v>284</v>
      </c>
      <c r="CX3" s="60" t="s">
        <v>285</v>
      </c>
      <c r="CY3" s="60" t="s">
        <v>343</v>
      </c>
      <c r="CZ3" s="60" t="s">
        <v>431</v>
      </c>
      <c r="DA3" s="60" t="s">
        <v>344</v>
      </c>
      <c r="DB3" s="60" t="s">
        <v>345</v>
      </c>
      <c r="DC3" s="56" t="s">
        <v>286</v>
      </c>
      <c r="DD3" s="59" t="s">
        <v>405</v>
      </c>
      <c r="DE3" s="60" t="s">
        <v>287</v>
      </c>
      <c r="DF3" s="60" t="s">
        <v>346</v>
      </c>
      <c r="DG3" s="84" t="s">
        <v>288</v>
      </c>
      <c r="DH3" s="60" t="s">
        <v>289</v>
      </c>
      <c r="DI3" s="60" t="s">
        <v>290</v>
      </c>
      <c r="DJ3" s="60" t="s">
        <v>347</v>
      </c>
      <c r="DK3" s="60" t="s">
        <v>432</v>
      </c>
      <c r="DL3" s="60" t="s">
        <v>348</v>
      </c>
      <c r="DM3" s="60" t="s">
        <v>349</v>
      </c>
      <c r="DN3" s="56" t="s">
        <v>372</v>
      </c>
      <c r="DO3" s="59" t="s">
        <v>406</v>
      </c>
      <c r="DP3" s="60" t="s">
        <v>373</v>
      </c>
      <c r="DQ3" s="60" t="s">
        <v>374</v>
      </c>
      <c r="DR3" s="84" t="s">
        <v>375</v>
      </c>
      <c r="DS3" s="60" t="s">
        <v>376</v>
      </c>
      <c r="DT3" s="60" t="s">
        <v>377</v>
      </c>
      <c r="DU3" s="60" t="s">
        <v>378</v>
      </c>
      <c r="DV3" s="60" t="s">
        <v>433</v>
      </c>
      <c r="DW3" s="60" t="s">
        <v>379</v>
      </c>
      <c r="DX3" s="60" t="s">
        <v>380</v>
      </c>
      <c r="DY3" s="56" t="s">
        <v>411</v>
      </c>
      <c r="DZ3" s="59" t="s">
        <v>412</v>
      </c>
      <c r="EA3" s="60" t="s">
        <v>413</v>
      </c>
      <c r="EB3" s="60" t="s">
        <v>414</v>
      </c>
      <c r="EC3" s="84" t="s">
        <v>415</v>
      </c>
      <c r="ED3" s="60" t="s">
        <v>416</v>
      </c>
      <c r="EE3" s="60" t="s">
        <v>417</v>
      </c>
      <c r="EF3" s="60" t="s">
        <v>418</v>
      </c>
      <c r="EG3" s="60" t="s">
        <v>434</v>
      </c>
      <c r="EH3" s="60" t="s">
        <v>419</v>
      </c>
      <c r="EI3" s="60" t="s">
        <v>420</v>
      </c>
      <c r="EJ3" s="56" t="s">
        <v>442</v>
      </c>
      <c r="EK3" s="59" t="s">
        <v>443</v>
      </c>
      <c r="EL3" s="60" t="s">
        <v>444</v>
      </c>
      <c r="EM3" s="60" t="s">
        <v>445</v>
      </c>
      <c r="EN3" s="84" t="s">
        <v>446</v>
      </c>
      <c r="EO3" s="60" t="s">
        <v>447</v>
      </c>
      <c r="EP3" s="60" t="s">
        <v>448</v>
      </c>
      <c r="EQ3" s="60" t="s">
        <v>449</v>
      </c>
      <c r="ER3" s="60" t="s">
        <v>450</v>
      </c>
      <c r="ES3" s="60" t="s">
        <v>451</v>
      </c>
      <c r="ET3" s="60" t="s">
        <v>452</v>
      </c>
      <c r="EU3" s="56" t="s">
        <v>453</v>
      </c>
      <c r="EV3" s="59" t="s">
        <v>454</v>
      </c>
      <c r="EW3" s="60" t="s">
        <v>455</v>
      </c>
      <c r="EX3" s="60" t="s">
        <v>456</v>
      </c>
      <c r="EY3" s="84" t="s">
        <v>457</v>
      </c>
      <c r="EZ3" s="60" t="s">
        <v>458</v>
      </c>
      <c r="FA3" s="60" t="s">
        <v>459</v>
      </c>
      <c r="FB3" s="60" t="s">
        <v>460</v>
      </c>
      <c r="FC3" s="60" t="s">
        <v>461</v>
      </c>
      <c r="FD3" s="60" t="s">
        <v>462</v>
      </c>
      <c r="FE3" s="60" t="s">
        <v>463</v>
      </c>
      <c r="FF3" s="56" t="s">
        <v>464</v>
      </c>
      <c r="FG3" s="59" t="s">
        <v>465</v>
      </c>
      <c r="FH3" s="60" t="s">
        <v>466</v>
      </c>
      <c r="FI3" s="60" t="s">
        <v>467</v>
      </c>
      <c r="FJ3" s="84" t="s">
        <v>468</v>
      </c>
      <c r="FK3" s="60" t="s">
        <v>469</v>
      </c>
      <c r="FL3" s="60" t="s">
        <v>470</v>
      </c>
      <c r="FM3" s="60" t="s">
        <v>471</v>
      </c>
      <c r="FN3" s="60" t="s">
        <v>472</v>
      </c>
      <c r="FO3" s="60" t="s">
        <v>473</v>
      </c>
      <c r="FP3" s="60" t="s">
        <v>474</v>
      </c>
    </row>
    <row r="4" spans="1:172" s="39" customFormat="1" ht="99.95" customHeight="1" x14ac:dyDescent="0.25">
      <c r="A4" s="145" t="s">
        <v>116</v>
      </c>
      <c r="B4" s="39" t="s">
        <v>236</v>
      </c>
      <c r="C4" s="39" t="s">
        <v>237</v>
      </c>
      <c r="D4" s="39" t="s">
        <v>237</v>
      </c>
      <c r="E4" s="39" t="s">
        <v>238</v>
      </c>
      <c r="G4" s="88" t="s">
        <v>540</v>
      </c>
      <c r="H4" s="88" t="s">
        <v>539</v>
      </c>
      <c r="I4" s="89" t="s">
        <v>381</v>
      </c>
      <c r="J4" s="39" t="s">
        <v>394</v>
      </c>
      <c r="K4" s="39" t="s">
        <v>394</v>
      </c>
      <c r="L4" s="39" t="s">
        <v>394</v>
      </c>
      <c r="M4" s="39" t="s">
        <v>394</v>
      </c>
      <c r="N4" s="39" t="s">
        <v>394</v>
      </c>
      <c r="O4" s="39" t="s">
        <v>394</v>
      </c>
      <c r="P4" s="39" t="s">
        <v>394</v>
      </c>
      <c r="Q4" s="39" t="s">
        <v>394</v>
      </c>
      <c r="R4" s="39" t="s">
        <v>394</v>
      </c>
      <c r="S4" s="89" t="s">
        <v>407</v>
      </c>
      <c r="T4" s="39" t="str">
        <f>'Dynamic Banners'!$L$4</f>
        <v>Cyber-monday-1.png</v>
      </c>
      <c r="U4" s="39" t="str">
        <f>'Dynamic Banners'!$M$4</f>
        <v xml:space="preserve">The clock is ticking away for Cyber Monday </v>
      </c>
      <c r="V4" s="39" t="s">
        <v>394</v>
      </c>
      <c r="W4" s="39" t="str">
        <f>'Dynamic Banners'!$N$4</f>
        <v xml:space="preserve">Shop amazing offers on showstopping products while supplies last. </v>
      </c>
      <c r="X4" s="39" t="s">
        <v>394</v>
      </c>
      <c r="Y4" s="39" t="str">
        <f>[1]MiscBanners!$B$4</f>
        <v>https://www.samsung.com/us/shop/all-deals/</v>
      </c>
      <c r="Z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4" s="39" t="s">
        <v>394</v>
      </c>
      <c r="AB4" s="39" t="s">
        <v>394</v>
      </c>
      <c r="AC4" s="39" t="s">
        <v>394</v>
      </c>
      <c r="AD4" s="89" t="s">
        <v>408</v>
      </c>
      <c r="AE4" s="39" t="s">
        <v>394</v>
      </c>
      <c r="AF4" s="39" t="s">
        <v>394</v>
      </c>
      <c r="AG4" s="7" t="s">
        <v>559</v>
      </c>
      <c r="AH4" s="39" t="s">
        <v>563</v>
      </c>
      <c r="AI4" s="39" t="s">
        <v>394</v>
      </c>
      <c r="AJ4" s="39" t="str">
        <f>[1]MiscBanners!$B$4</f>
        <v>https://www.samsung.com/us/shop/all-deals/</v>
      </c>
      <c r="AK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4" s="39" t="s">
        <v>394</v>
      </c>
      <c r="AM4" s="39" t="s">
        <v>394</v>
      </c>
      <c r="AN4" s="39" t="s">
        <v>394</v>
      </c>
      <c r="AO4" s="89" t="s">
        <v>257</v>
      </c>
      <c r="AP4" s="39" t="str">
        <f>DDOfferCopy!E4</f>
        <v>22_IM_HeadImage_MB_Note-500xV.jpg</v>
      </c>
      <c r="AQ4" s="39" t="str">
        <f>DDOfferCopy!F4</f>
        <v>Get up to 70% off Galaxy Note 20 5G or Note 20 Ultra 5G</v>
      </c>
      <c r="AR4" s="39" t="str">
        <f>DDOfferCopy!G4</f>
        <v>Now from only $8.34/mo for 36 mos⊕ or $299.99 with eligible trade-in.ᶿ</v>
      </c>
      <c r="AS4" s="39" t="str">
        <f>DDOfferCopy!H4</f>
        <v xml:space="preserve">Get $150 off instantly and up to $550 trade-in credit.ᶿ </v>
      </c>
      <c r="AT4" s="39" t="str">
        <f>DDOfferCopy!I4</f>
        <v>Buy now</v>
      </c>
      <c r="AU4" s="39" t="str">
        <f>DDOfferCopy!J4</f>
        <v>https://www.samsung.com/us/smartphones/galaxy-note20-5g/buy/</v>
      </c>
      <c r="AV4" s="39" t="str">
        <f>DDOfferCopy!K4</f>
        <v>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v>
      </c>
      <c r="AW4" s="39" t="str">
        <f>DDOfferCopy!L4</f>
        <v>NULL</v>
      </c>
      <c r="AX4" s="39" t="str">
        <f>DDOfferCopy!M4</f>
        <v>NULL</v>
      </c>
      <c r="AY4" s="39" t="str">
        <f>DDOfferCopy!N4</f>
        <v>NULL</v>
      </c>
      <c r="AZ4" s="89" t="s">
        <v>256</v>
      </c>
      <c r="BA4" s="39" t="str">
        <f>DDOfferCopy!E5</f>
        <v>21_IM_HeadImage_MB_Galaxy-500xV.jpg</v>
      </c>
      <c r="BB4" s="39" t="str">
        <f>DDOfferCopy!F5</f>
        <v>Get up to 73% off Galaxy S20 5G series devices</v>
      </c>
      <c r="BC4" s="39" t="str">
        <f>DDOfferCopy!G5</f>
        <v>Now from only $7.92/mo for 24 mos⊕ or $189.99 with eligible trade-in.ᶿ</v>
      </c>
      <c r="BD4" s="39" t="str">
        <f>DDOfferCopy!H5</f>
        <v xml:space="preserve">Get up to $150 off instantly and up to $460 trade-in credit.ᶿ </v>
      </c>
      <c r="BE4" s="39" t="str">
        <f>DDOfferCopy!I5</f>
        <v>Buy now</v>
      </c>
      <c r="BF4" s="39" t="str">
        <f>DDOfferCopy!J5</f>
        <v>https://www.samsung.com/us/mobile/galaxy-s20-5g/buy/</v>
      </c>
      <c r="BG4" s="39" t="str">
        <f>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BH4" s="39" t="str">
        <f>DDOfferCopy!L5</f>
        <v>NULL</v>
      </c>
      <c r="BI4" s="39" t="str">
        <f>DDOfferCopy!M5</f>
        <v>NULL</v>
      </c>
      <c r="BJ4" s="39" t="str">
        <f>DDOfferCopy!N5</f>
        <v>NULL</v>
      </c>
      <c r="BK4" s="89" t="s">
        <v>255</v>
      </c>
      <c r="BL4" s="39" t="str">
        <f>DDOfferCopy!E6</f>
        <v>23_IM_HeadImage_MB_Fold-500xV.jpg</v>
      </c>
      <c r="BM4" s="39" t="str">
        <f>DDOfferCopy!F6</f>
        <v xml:space="preserve">Get up to 50% off Galaxy Z Fold2 5G </v>
      </c>
      <c r="BN4" s="39" t="str">
        <f>DDOfferCopy!G6</f>
        <v>Now from only $20.84/mo for 48 mos⊕ or $999.99 with eligible trade-in.ᶿ</v>
      </c>
      <c r="BO4" s="39" t="str">
        <f>DDOfferCopy!H6</f>
        <v xml:space="preserve">Our best Galaxy Z Fold2 5G offer of the year. Get up to $1000 trade-in credit.ᶿ Plus, get up to $120 instant credit toward accessories.§‡ </v>
      </c>
      <c r="BP4" s="39" t="str">
        <f>DDOfferCopy!I6</f>
        <v>Buy now</v>
      </c>
      <c r="BQ4" s="39" t="str">
        <f>DDOfferCopy!J6</f>
        <v>https://www.samsung.com/us/smartphones/galaxy-z-fold2-5g/buy/</v>
      </c>
      <c r="BR4" s="39" t="str">
        <f>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S4" s="39" t="str">
        <f>DDOfferCopy!L6</f>
        <v>NULL</v>
      </c>
      <c r="BT4" s="39" t="str">
        <f>DDOfferCopy!M6</f>
        <v>NULL</v>
      </c>
      <c r="BU4" s="39" t="str">
        <f>DDOfferCopy!N6</f>
        <v>NULL</v>
      </c>
      <c r="BV4" s="90" t="s">
        <v>254</v>
      </c>
      <c r="BW4" s="39" t="str">
        <f>DDOfferCopy!E7</f>
        <v>24-IM-A71-A51-HeadImage-500xV.jpg</v>
      </c>
      <c r="BX4" s="39" t="str">
        <f>DDOfferCopy!F7</f>
        <v>Get 50% off Galaxy A71 5G with T-Mobile and Verizon</v>
      </c>
      <c r="BY4" s="39" t="str">
        <f>DDOfferCopy!G7</f>
        <v xml:space="preserve">Now from only only $8.34/mo for 36 mos⊕ or $299.99 with eligible trade-in.ᶿ </v>
      </c>
      <c r="BZ4" s="39" t="str">
        <f>DDOfferCopy!H7</f>
        <v xml:space="preserve">Save up to $250 instantly and get $75 or more trade-in credit. Treat yourself to blazing fast 5G speeds and incredible features at an amazing value. </v>
      </c>
      <c r="CA4" s="39" t="str">
        <f>DDOfferCopy!I7</f>
        <v>Buy now</v>
      </c>
      <c r="CB4" s="39" t="str">
        <f>DDOfferCopy!J7</f>
        <v>https://www.samsung.com/us/mobile/phones/galaxy-a/buy/?link=galaxy-a71-5g</v>
      </c>
      <c r="CC4" s="91" t="str">
        <f>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D4" s="39" t="str">
        <f>DDOfferCopy!L7</f>
        <v>NULL</v>
      </c>
      <c r="CE4" s="39" t="str">
        <f>DDOfferCopy!M7</f>
        <v>NULL</v>
      </c>
      <c r="CF4" s="39" t="str">
        <f>DDOfferCopy!N7</f>
        <v>NULL</v>
      </c>
      <c r="CG4" s="89" t="s">
        <v>280</v>
      </c>
      <c r="CH4" s="39" t="str">
        <f>MiscBanners!$H$4</f>
        <v>Give-wonder-500xV.jpg</v>
      </c>
      <c r="CI4" s="39" t="str">
        <f>MiscBanners!$I$4</f>
        <v>The gift that keeps on giving</v>
      </c>
      <c r="CJ4" s="39" t="str">
        <f>MiscBanners!$J$4</f>
        <v>NULL</v>
      </c>
      <c r="CK4" s="39" t="str">
        <f>MiscBanners!$K$4</f>
        <v>Discover even more exclusive offers on your favorite products and unlock the power of smart and savvy gifting.</v>
      </c>
      <c r="CL4" s="39" t="str">
        <f>MiscBanners!$L$4</f>
        <v>Shop now</v>
      </c>
      <c r="CM4" s="39" t="str">
        <f>MiscBanners!$M$4</f>
        <v>https://www.samsung.com/us/gift-ideas/</v>
      </c>
      <c r="CN4"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O4" s="39" t="str">
        <f>MiscBanners!$O$4</f>
        <v>NULL</v>
      </c>
      <c r="CP4" s="39" t="str">
        <f>MiscBanners!$P$4</f>
        <v>NULL</v>
      </c>
      <c r="CQ4" s="39" t="str">
        <f>MiscBanners!$Q$4</f>
        <v>NULL</v>
      </c>
      <c r="CR4" s="89" t="s">
        <v>273</v>
      </c>
      <c r="DC4" s="89" t="s">
        <v>440</v>
      </c>
      <c r="DD4" s="39" t="str">
        <f>TC!B2</f>
        <v>NULL</v>
      </c>
      <c r="DE4" s="39" t="str">
        <f>TC!C2</f>
        <v>NULL</v>
      </c>
      <c r="DF4" s="39" t="str">
        <f>TC!D2</f>
        <v>NULL</v>
      </c>
      <c r="DG4" s="91" t="str">
        <f>TC!E2</f>
        <v>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H4" s="39" t="str">
        <f>TC!F2</f>
        <v>NULL</v>
      </c>
      <c r="DI4" s="39" t="str">
        <f>TC!G2</f>
        <v>https://www.samsung.com/us/trade-in/terms-and-conditions/</v>
      </c>
      <c r="DJ4" s="39">
        <f>TC!H2</f>
        <v>0</v>
      </c>
      <c r="DK4" s="39" t="str">
        <f>TC!I2</f>
        <v>NULL</v>
      </c>
      <c r="DL4" s="39" t="str">
        <f>TC!J2</f>
        <v>NULL</v>
      </c>
      <c r="DM4" s="39" t="str">
        <f>TC!K2</f>
        <v>NULL</v>
      </c>
      <c r="DN4" s="89" t="s">
        <v>439</v>
      </c>
      <c r="DO4" s="39" t="str">
        <f>TC!B3</f>
        <v>NULL</v>
      </c>
      <c r="DP4" s="39" t="str">
        <f>TC!C3</f>
        <v>NULL</v>
      </c>
      <c r="DQ4" s="39" t="str">
        <f>TC!D3</f>
        <v>NULL</v>
      </c>
      <c r="DR4" s="91" t="str">
        <f>TC!E3</f>
        <v>⊕0%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S4" s="39" t="str">
        <f>TC!F3</f>
        <v>NULL</v>
      </c>
      <c r="DT4" s="39">
        <f>TC!G3</f>
        <v>0</v>
      </c>
      <c r="DU4" s="39">
        <f>TC!H3</f>
        <v>0</v>
      </c>
      <c r="DV4" s="39" t="str">
        <f>TC!I3</f>
        <v>NULL</v>
      </c>
      <c r="DW4" s="39" t="str">
        <f>TC!J3</f>
        <v>NULL</v>
      </c>
      <c r="DX4" s="39" t="str">
        <f>TC!K3</f>
        <v>NULL</v>
      </c>
      <c r="DY4" s="89" t="s">
        <v>441</v>
      </c>
      <c r="DZ4" s="39" t="str">
        <f>TC!B4</f>
        <v>NULL</v>
      </c>
      <c r="EA4" s="39" t="str">
        <f>TC!C4</f>
        <v>NULL</v>
      </c>
      <c r="EB4" s="39" t="str">
        <f>TC!D4</f>
        <v>NULL</v>
      </c>
      <c r="EC4"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4" s="39" t="str">
        <f>TC!F4</f>
        <v>NULL</v>
      </c>
      <c r="EE4" s="39" t="str">
        <f>TC!G4</f>
        <v>https://www.samsung.com/us/</v>
      </c>
      <c r="EF4" s="39">
        <f>TC!H4</f>
        <v>0</v>
      </c>
      <c r="EG4" s="39" t="str">
        <f>TC!I4</f>
        <v>NULL</v>
      </c>
      <c r="EH4" s="39" t="str">
        <f>TC!J4</f>
        <v>NULL</v>
      </c>
      <c r="EI4" s="39" t="str">
        <f>TC!K4</f>
        <v>NULL</v>
      </c>
      <c r="EJ4" s="89" t="s">
        <v>477</v>
      </c>
      <c r="EK4" s="39" t="str">
        <f>TC!B5</f>
        <v>NULL</v>
      </c>
      <c r="EL4" s="39" t="str">
        <f>TC!C5</f>
        <v>NULL</v>
      </c>
      <c r="EM4" s="39" t="str">
        <f>TC!D5</f>
        <v>NULL</v>
      </c>
      <c r="EN4"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4" s="39" t="str">
        <f>TC!F5</f>
        <v>NULL</v>
      </c>
      <c r="EP4" s="39" t="str">
        <f>TC!G5</f>
        <v>https://www.samsung.com/us/</v>
      </c>
      <c r="EQ4" s="39">
        <f>TC!H5</f>
        <v>0</v>
      </c>
      <c r="ER4" s="39" t="str">
        <f>TC!I5</f>
        <v>NULL</v>
      </c>
      <c r="ES4" s="39" t="str">
        <f>TC!J5</f>
        <v>NULL</v>
      </c>
      <c r="ET4" s="39" t="str">
        <f>TC!K5</f>
        <v>NULL</v>
      </c>
      <c r="EU4" s="89" t="s">
        <v>478</v>
      </c>
      <c r="EV4" s="39" t="str">
        <f>TC!B6</f>
        <v>NULL</v>
      </c>
      <c r="EW4" s="39" t="str">
        <f>TC!C6</f>
        <v>NULL</v>
      </c>
      <c r="EX4" s="39" t="str">
        <f>TC!D6</f>
        <v>NULL</v>
      </c>
      <c r="EY4"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Z4" s="39" t="str">
        <f>TC!F6</f>
        <v>NULL</v>
      </c>
      <c r="FA4" s="39" t="str">
        <f>TC!G6</f>
        <v>https://www.samsung.com/us/</v>
      </c>
      <c r="FB4" s="39">
        <f>TC!H6</f>
        <v>0</v>
      </c>
      <c r="FC4" s="39" t="str">
        <f>TC!I6</f>
        <v>NULL</v>
      </c>
      <c r="FD4" s="39" t="str">
        <f>TC!J6</f>
        <v>NULL</v>
      </c>
      <c r="FE4" s="39" t="str">
        <f>TC!K6</f>
        <v>NULL</v>
      </c>
      <c r="FF4" s="89"/>
      <c r="FJ4" s="91"/>
    </row>
    <row r="5" spans="1:172" s="39" customFormat="1" ht="99.95" customHeight="1" x14ac:dyDescent="0.25">
      <c r="A5" s="145" t="s">
        <v>116</v>
      </c>
      <c r="B5" s="39" t="s">
        <v>236</v>
      </c>
      <c r="C5" s="39" t="s">
        <v>237</v>
      </c>
      <c r="D5" s="39" t="s">
        <v>237</v>
      </c>
      <c r="E5" s="39" t="s">
        <v>239</v>
      </c>
      <c r="G5" s="88" t="s">
        <v>540</v>
      </c>
      <c r="H5" s="88" t="s">
        <v>539</v>
      </c>
      <c r="I5" s="89" t="s">
        <v>381</v>
      </c>
      <c r="J5" s="39" t="s">
        <v>394</v>
      </c>
      <c r="K5" s="39" t="s">
        <v>394</v>
      </c>
      <c r="L5" s="39" t="s">
        <v>394</v>
      </c>
      <c r="M5" s="39" t="s">
        <v>394</v>
      </c>
      <c r="N5" s="39" t="s">
        <v>394</v>
      </c>
      <c r="O5" s="39" t="s">
        <v>394</v>
      </c>
      <c r="P5" s="39" t="s">
        <v>394</v>
      </c>
      <c r="Q5" s="39" t="s">
        <v>394</v>
      </c>
      <c r="R5" s="39" t="s">
        <v>394</v>
      </c>
      <c r="S5" s="89" t="s">
        <v>407</v>
      </c>
      <c r="T5" s="39" t="str">
        <f>'Dynamic Banners'!$L$4</f>
        <v>Cyber-monday-1.png</v>
      </c>
      <c r="U5" s="39" t="str">
        <f>'Dynamic Banners'!$M$4</f>
        <v xml:space="preserve">The clock is ticking away for Cyber Monday </v>
      </c>
      <c r="V5" s="39" t="s">
        <v>394</v>
      </c>
      <c r="W5" s="39" t="str">
        <f>'Dynamic Banners'!$N$4</f>
        <v xml:space="preserve">Shop amazing offers on showstopping products while supplies last. </v>
      </c>
      <c r="X5" s="39" t="s">
        <v>394</v>
      </c>
      <c r="Y5" s="39" t="str">
        <f>[1]MiscBanners!$B$4</f>
        <v>https://www.samsung.com/us/shop/all-deals/</v>
      </c>
      <c r="Z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5" s="39" t="s">
        <v>394</v>
      </c>
      <c r="AB5" s="39" t="s">
        <v>394</v>
      </c>
      <c r="AC5" s="39" t="s">
        <v>394</v>
      </c>
      <c r="AD5" s="89" t="s">
        <v>408</v>
      </c>
      <c r="AE5" s="39" t="s">
        <v>394</v>
      </c>
      <c r="AF5" s="39" t="s">
        <v>394</v>
      </c>
      <c r="AG5" s="7" t="s">
        <v>559</v>
      </c>
      <c r="AH5" s="39" t="s">
        <v>562</v>
      </c>
      <c r="AI5" s="39" t="s">
        <v>394</v>
      </c>
      <c r="AJ5" s="39" t="str">
        <f>[1]MiscBanners!$B$4</f>
        <v>https://www.samsung.com/us/shop/all-deals/</v>
      </c>
      <c r="AK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5" s="39" t="s">
        <v>394</v>
      </c>
      <c r="AM5" s="39" t="s">
        <v>394</v>
      </c>
      <c r="AN5" s="39" t="s">
        <v>394</v>
      </c>
      <c r="AO5" s="89" t="s">
        <v>257</v>
      </c>
      <c r="AP5" s="39" t="str">
        <f>DDOfferCopy!E4</f>
        <v>22_IM_HeadImage_MB_Note-500xV.jpg</v>
      </c>
      <c r="AQ5" s="39" t="str">
        <f>DDOfferCopy!F4</f>
        <v>Get up to 70% off Galaxy Note 20 5G or Note 20 Ultra 5G</v>
      </c>
      <c r="AR5" s="39" t="str">
        <f>DDOfferCopy!G4</f>
        <v>Now from only $8.34/mo for 36 mos⊕ or $299.99 with eligible trade-in.ᶿ</v>
      </c>
      <c r="AS5" s="39" t="str">
        <f>DDOfferCopy!H4</f>
        <v xml:space="preserve">Get $150 off instantly and up to $550 trade-in credit.ᶿ </v>
      </c>
      <c r="AT5" s="39" t="str">
        <f>DDOfferCopy!I4</f>
        <v>Buy now</v>
      </c>
      <c r="AU5" s="39" t="str">
        <f>DDOfferCopy!P4</f>
        <v>https://www.samsung.com/us/smartphones/galaxy-note20-5g/buy/</v>
      </c>
      <c r="AV5" s="39" t="str">
        <f>DDOfferCopy!$Q$4</f>
        <v>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v>
      </c>
      <c r="AW5" s="39" t="str">
        <f>DDOfferCopy!R4</f>
        <v>NULL</v>
      </c>
      <c r="AX5" s="39" t="str">
        <f>DDOfferCopy!S4</f>
        <v>NULL</v>
      </c>
      <c r="AY5" s="39" t="str">
        <f>DDOfferCopy!T4</f>
        <v>NULL</v>
      </c>
      <c r="AZ5" s="89" t="s">
        <v>256</v>
      </c>
      <c r="BA5" s="39" t="str">
        <f>DDOfferCopy!E5</f>
        <v>21_IM_HeadImage_MB_Galaxy-500xV.jpg</v>
      </c>
      <c r="BB5" s="39" t="str">
        <f>DDOfferCopy!F5</f>
        <v>Get up to 73% off Galaxy S20 5G series devices</v>
      </c>
      <c r="BC5" s="39" t="str">
        <f>DDOfferCopy!G5</f>
        <v>Now from only $7.92/mo for 24 mos⊕ or $189.99 with eligible trade-in.ᶿ</v>
      </c>
      <c r="BD5" s="39" t="str">
        <f>DDOfferCopy!H5</f>
        <v xml:space="preserve">Get up to $150 off instantly and up to $460 trade-in credit.ᶿ </v>
      </c>
      <c r="BE5" s="39" t="str">
        <f>DDOfferCopy!I5</f>
        <v>Buy now</v>
      </c>
      <c r="BF5" s="39" t="str">
        <f>DDOfferCopy!J5</f>
        <v>https://www.samsung.com/us/mobile/galaxy-s20-5g/buy/</v>
      </c>
      <c r="BG5" s="39" t="str">
        <f>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BH5" s="39" t="str">
        <f>DDOfferCopy!L5</f>
        <v>NULL</v>
      </c>
      <c r="BI5" s="39" t="str">
        <f>DDOfferCopy!M5</f>
        <v>NULL</v>
      </c>
      <c r="BJ5" s="39" t="str">
        <f>DDOfferCopy!N5</f>
        <v>NULL</v>
      </c>
      <c r="BK5" s="89" t="s">
        <v>255</v>
      </c>
      <c r="BL5" s="39" t="str">
        <f>DDOfferCopy!E6</f>
        <v>23_IM_HeadImage_MB_Fold-500xV.jpg</v>
      </c>
      <c r="BM5" s="39" t="str">
        <f>DDOfferCopy!F6</f>
        <v xml:space="preserve">Get up to 50% off Galaxy Z Fold2 5G </v>
      </c>
      <c r="BN5" s="39" t="str">
        <f>DDOfferCopy!G6</f>
        <v>Now from only $20.84/mo for 48 mos⊕ or $999.99 with eligible trade-in.ᶿ</v>
      </c>
      <c r="BO5" s="39" t="str">
        <f>DDOfferCopy!H6</f>
        <v xml:space="preserve">Our best Galaxy Z Fold2 5G offer of the year. Get up to $1000 trade-in credit.ᶿ Plus, get up to $120 instant credit toward accessories.§‡ </v>
      </c>
      <c r="BP5" s="39" t="str">
        <f>DDOfferCopy!I6</f>
        <v>Buy now</v>
      </c>
      <c r="BQ5" s="39" t="str">
        <f>DDOfferCopy!J6</f>
        <v>https://www.samsung.com/us/smartphones/galaxy-z-fold2-5g/buy/</v>
      </c>
      <c r="BR5" s="39" t="str">
        <f>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S5" s="39" t="str">
        <f>DDOfferCopy!L6</f>
        <v>NULL</v>
      </c>
      <c r="BT5" s="39" t="str">
        <f>DDOfferCopy!M6</f>
        <v>NULL</v>
      </c>
      <c r="BU5" s="39" t="str">
        <f>DDOfferCopy!N6</f>
        <v>NULL</v>
      </c>
      <c r="BV5" s="90" t="s">
        <v>254</v>
      </c>
      <c r="BW5" s="39" t="str">
        <f>DDOfferCopy!E7</f>
        <v>24-IM-A71-A51-HeadImage-500xV.jpg</v>
      </c>
      <c r="BX5" s="39" t="str">
        <f>DDOfferCopy!F7</f>
        <v>Get 50% off Galaxy A71 5G with T-Mobile and Verizon</v>
      </c>
      <c r="BY5" s="39" t="str">
        <f>DDOfferCopy!G7</f>
        <v xml:space="preserve">Now from only only $8.34/mo for 36 mos⊕ or $299.99 with eligible trade-in.ᶿ </v>
      </c>
      <c r="BZ5" s="39" t="str">
        <f>DDOfferCopy!H7</f>
        <v xml:space="preserve">Save up to $250 instantly and get $75 or more trade-in credit. Treat yourself to blazing fast 5G speeds and incredible features at an amazing value. </v>
      </c>
      <c r="CA5" s="39" t="str">
        <f>DDOfferCopy!I7</f>
        <v>Buy now</v>
      </c>
      <c r="CB5" s="39" t="str">
        <f>DDOfferCopy!J7</f>
        <v>https://www.samsung.com/us/mobile/phones/galaxy-a/buy/?link=galaxy-a71-5g</v>
      </c>
      <c r="CC5" s="91" t="str">
        <f>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D5" s="39" t="str">
        <f>DDOfferCopy!L7</f>
        <v>NULL</v>
      </c>
      <c r="CE5" s="39" t="str">
        <f>DDOfferCopy!M7</f>
        <v>NULL</v>
      </c>
      <c r="CF5" s="39" t="str">
        <f>DDOfferCopy!N7</f>
        <v>NULL</v>
      </c>
      <c r="CG5" s="89" t="s">
        <v>280</v>
      </c>
      <c r="CH5" s="39" t="str">
        <f>MiscBanners!$H$4</f>
        <v>Give-wonder-500xV.jpg</v>
      </c>
      <c r="CI5" s="39" t="str">
        <f>MiscBanners!$I$4</f>
        <v>The gift that keeps on giving</v>
      </c>
      <c r="CJ5" s="39" t="str">
        <f>MiscBanners!$J$4</f>
        <v>NULL</v>
      </c>
      <c r="CK5" s="39" t="str">
        <f>MiscBanners!$K$4</f>
        <v>Discover even more exclusive offers on your favorite products and unlock the power of smart and savvy gifting.</v>
      </c>
      <c r="CL5" s="39" t="str">
        <f>MiscBanners!$L$4</f>
        <v>Shop now</v>
      </c>
      <c r="CM5" s="39" t="str">
        <f>MiscBanners!$M$4</f>
        <v>https://www.samsung.com/us/gift-ideas/</v>
      </c>
      <c r="CN5"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O5" s="39" t="str">
        <f>MiscBanners!$O$4</f>
        <v>NULL</v>
      </c>
      <c r="CP5" s="39" t="str">
        <f>MiscBanners!$P$4</f>
        <v>NULL</v>
      </c>
      <c r="CQ5" s="39" t="str">
        <f>MiscBanners!$Q$4</f>
        <v>NULL</v>
      </c>
      <c r="CR5" s="89" t="s">
        <v>273</v>
      </c>
      <c r="DC5" s="89" t="s">
        <v>440</v>
      </c>
      <c r="DD5" s="39" t="s">
        <v>394</v>
      </c>
      <c r="DE5" s="39" t="s">
        <v>394</v>
      </c>
      <c r="DF5" s="39" t="s">
        <v>394</v>
      </c>
      <c r="DG5" s="91" t="s">
        <v>479</v>
      </c>
      <c r="DH5" s="39" t="s">
        <v>394</v>
      </c>
      <c r="DI5" s="39" t="s">
        <v>475</v>
      </c>
      <c r="DJ5" s="39">
        <v>0</v>
      </c>
      <c r="DK5" s="39" t="s">
        <v>394</v>
      </c>
      <c r="DL5" s="39" t="s">
        <v>394</v>
      </c>
      <c r="DM5" s="39" t="s">
        <v>394</v>
      </c>
      <c r="DN5" s="89" t="s">
        <v>439</v>
      </c>
      <c r="DO5" s="39" t="s">
        <v>394</v>
      </c>
      <c r="DP5" s="39" t="s">
        <v>394</v>
      </c>
      <c r="DQ5" s="39" t="s">
        <v>394</v>
      </c>
      <c r="DR5" s="91" t="s">
        <v>480</v>
      </c>
      <c r="DS5" s="39" t="s">
        <v>394</v>
      </c>
      <c r="DT5" s="39">
        <v>0</v>
      </c>
      <c r="DU5" s="39">
        <v>0</v>
      </c>
      <c r="DV5" s="39" t="s">
        <v>394</v>
      </c>
      <c r="DW5" s="39" t="s">
        <v>394</v>
      </c>
      <c r="DX5" s="39" t="s">
        <v>394</v>
      </c>
      <c r="DY5" s="89" t="s">
        <v>441</v>
      </c>
      <c r="DZ5" s="39" t="s">
        <v>394</v>
      </c>
      <c r="EA5" s="39" t="s">
        <v>394</v>
      </c>
      <c r="EB5" s="39" t="s">
        <v>394</v>
      </c>
      <c r="EC5" s="91" t="s">
        <v>482</v>
      </c>
      <c r="ED5" s="39" t="s">
        <v>394</v>
      </c>
      <c r="EE5" s="39" t="s">
        <v>476</v>
      </c>
      <c r="EF5" s="39">
        <v>0</v>
      </c>
      <c r="EG5" s="39" t="s">
        <v>394</v>
      </c>
      <c r="EH5" s="39" t="s">
        <v>394</v>
      </c>
      <c r="EI5" s="39" t="s">
        <v>394</v>
      </c>
      <c r="EJ5" s="89" t="s">
        <v>477</v>
      </c>
      <c r="EK5" s="39" t="s">
        <v>394</v>
      </c>
      <c r="EL5" s="39" t="s">
        <v>394</v>
      </c>
      <c r="EM5" s="39" t="s">
        <v>394</v>
      </c>
      <c r="EN5" s="91" t="s">
        <v>483</v>
      </c>
      <c r="EO5" s="39" t="s">
        <v>394</v>
      </c>
      <c r="EP5" s="39" t="s">
        <v>476</v>
      </c>
      <c r="EQ5" s="39">
        <v>0</v>
      </c>
      <c r="ER5" s="39" t="s">
        <v>394</v>
      </c>
      <c r="ES5" s="39" t="s">
        <v>394</v>
      </c>
      <c r="ET5" s="39" t="s">
        <v>394</v>
      </c>
      <c r="EU5" s="89"/>
      <c r="EY5" s="91"/>
      <c r="FF5" s="89"/>
      <c r="FJ5" s="91"/>
    </row>
    <row r="6" spans="1:172" s="39" customFormat="1" ht="99.95" customHeight="1" x14ac:dyDescent="0.25">
      <c r="A6" s="146" t="s">
        <v>235</v>
      </c>
      <c r="B6" s="39" t="s">
        <v>236</v>
      </c>
      <c r="C6" s="39" t="s">
        <v>237</v>
      </c>
      <c r="D6" s="39" t="s">
        <v>237</v>
      </c>
      <c r="E6" s="147" t="s">
        <v>0</v>
      </c>
      <c r="G6" s="88" t="s">
        <v>540</v>
      </c>
      <c r="H6" s="88" t="s">
        <v>539</v>
      </c>
      <c r="I6" s="89" t="s">
        <v>381</v>
      </c>
      <c r="J6" s="39" t="s">
        <v>394</v>
      </c>
      <c r="K6" s="39" t="s">
        <v>394</v>
      </c>
      <c r="L6" s="39" t="s">
        <v>394</v>
      </c>
      <c r="M6" s="39" t="s">
        <v>394</v>
      </c>
      <c r="N6" s="39" t="s">
        <v>394</v>
      </c>
      <c r="O6" s="39" t="s">
        <v>394</v>
      </c>
      <c r="P6" s="39" t="s">
        <v>394</v>
      </c>
      <c r="Q6" s="39" t="s">
        <v>394</v>
      </c>
      <c r="R6" s="39" t="s">
        <v>394</v>
      </c>
      <c r="S6" s="89" t="s">
        <v>407</v>
      </c>
      <c r="T6" s="39" t="str">
        <f>'Dynamic Banners'!$L$4</f>
        <v>Cyber-monday-1.png</v>
      </c>
      <c r="U6" s="39" t="str">
        <f>'Dynamic Banners'!$M$4</f>
        <v xml:space="preserve">The clock is ticking away for Cyber Monday </v>
      </c>
      <c r="V6" s="39" t="s">
        <v>394</v>
      </c>
      <c r="W6" s="39" t="str">
        <f>'Dynamic Banners'!$N$4</f>
        <v xml:space="preserve">Shop amazing offers on showstopping products while supplies last. </v>
      </c>
      <c r="X6" s="39" t="s">
        <v>394</v>
      </c>
      <c r="Y6" s="39" t="str">
        <f>[1]MiscBanners!$B$4</f>
        <v>https://www.samsung.com/us/shop/all-deals/</v>
      </c>
      <c r="Z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6" s="39" t="s">
        <v>394</v>
      </c>
      <c r="AB6" s="39" t="s">
        <v>394</v>
      </c>
      <c r="AC6" s="39" t="s">
        <v>394</v>
      </c>
      <c r="AD6" s="89" t="s">
        <v>408</v>
      </c>
      <c r="AE6" s="39" t="s">
        <v>394</v>
      </c>
      <c r="AF6" s="39" t="s">
        <v>394</v>
      </c>
      <c r="AG6" s="7" t="s">
        <v>559</v>
      </c>
      <c r="AH6" s="39" t="s">
        <v>560</v>
      </c>
      <c r="AI6" s="39" t="s">
        <v>394</v>
      </c>
      <c r="AJ6" s="39" t="str">
        <f>[1]MiscBanners!$B$4</f>
        <v>https://www.samsung.com/us/shop/all-deals/</v>
      </c>
      <c r="AK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6" s="39" t="s">
        <v>394</v>
      </c>
      <c r="AM6" s="39" t="s">
        <v>394</v>
      </c>
      <c r="AN6" s="39" t="s">
        <v>394</v>
      </c>
      <c r="AO6" s="89" t="s">
        <v>267</v>
      </c>
      <c r="AP6" s="39" t="str">
        <f>CCModuleCopy!$B$3</f>
        <v>IM_HeadImage_Shop_Phones_500xV.jpg</v>
      </c>
      <c r="AQ6" s="39" t="str">
        <f>CCModuleCopy!$C$3</f>
        <v>Save up to $1000 instantly on the latest and greatest Galaxy smartphones</v>
      </c>
      <c r="AR6" s="39" t="str">
        <f>CCModuleCopy!$D$3</f>
        <v>NULL</v>
      </c>
      <c r="AS6"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AT6" s="39" t="str">
        <f>CCModuleCopy!$F$3</f>
        <v>Shop all</v>
      </c>
      <c r="AU6" s="39" t="str">
        <f>CCModuleCopy!$G$3</f>
        <v>https://www.samsung.com/us/shop/all-deals/cell-phone-deals/</v>
      </c>
      <c r="AV6"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W6" s="39" t="str">
        <f>CCModuleCopy!$I$3</f>
        <v>NULL</v>
      </c>
      <c r="AX6" s="39" t="str">
        <f>CCModuleCopy!$J$3</f>
        <v>NULL</v>
      </c>
      <c r="AY6" s="39" t="str">
        <f>CCModuleCopy!$K$3</f>
        <v>NULL</v>
      </c>
      <c r="AZ6" s="89" t="s">
        <v>265</v>
      </c>
      <c r="BA6" s="39" t="str">
        <f>CCModuleCopy!$B$7</f>
        <v>HE_HeadImage_Shop_TVs_500xV.jpg</v>
      </c>
      <c r="BB6" s="39" t="str">
        <f>CCModuleCopy!$C$7</f>
        <v>Get up to $3000 off select 8K, 4K and Lifestyle TVs</v>
      </c>
      <c r="BC6" s="39" t="str">
        <f>CCModuleCopy!$D$7</f>
        <v>NULL</v>
      </c>
      <c r="BD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6" s="39" t="str">
        <f>CCModuleCopy!$F$7</f>
        <v>Shop all</v>
      </c>
      <c r="BF6" s="39" t="str">
        <f>CCModuleCopy!$G$7</f>
        <v>https://www.samsung.com/us/shop/all-deals/tv-and-home-theater-deals/</v>
      </c>
      <c r="BG6"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H6" s="39" t="str">
        <f>CCModuleCopy!$I$7</f>
        <v>NULL</v>
      </c>
      <c r="BI6" s="39" t="str">
        <f>CCModuleCopy!$J$7</f>
        <v>NULL</v>
      </c>
      <c r="BJ6" s="39" t="str">
        <f>CCModuleCopy!$K$7</f>
        <v>NULL</v>
      </c>
      <c r="BK6" s="89" t="s">
        <v>266</v>
      </c>
      <c r="BL6" s="39" t="str">
        <f>CCModuleCopy!$B$15</f>
        <v>Tablet-HeadImage-500xV.jpg</v>
      </c>
      <c r="BM6" s="39" t="str">
        <f>CCModuleCopy!$C$15</f>
        <v>Save up to $150 on select tablets</v>
      </c>
      <c r="BN6" s="39" t="str">
        <f>CCModuleCopy!$D$15</f>
        <v>NULL</v>
      </c>
      <c r="BO6" s="39" t="str">
        <f>CCModuleCopy!$E$15</f>
        <v xml:space="preserve">Empower how you create, learn, game and more with our powerful line of tablets. Shop offers on must-have products from the new Galaxy Tab S7+ to the Galaxy Tab S6 Lite. </v>
      </c>
      <c r="BP6" s="39" t="str">
        <f>CCModuleCopy!$F$15</f>
        <v>Shop all</v>
      </c>
      <c r="BQ6" s="39" t="str">
        <f>CCModuleCopy!$G$15</f>
        <v>https://www.samsung.com/us/shop/all-deals/tablets-laptops-computers-deals/</v>
      </c>
      <c r="BR6"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6" s="39" t="str">
        <f>CCModuleCopy!$I$15</f>
        <v>NULL</v>
      </c>
      <c r="BT6" s="39" t="str">
        <f>CCModuleCopy!$J$15</f>
        <v>NULL</v>
      </c>
      <c r="BU6" s="39" t="str">
        <f>CCModuleCopy!$K$15</f>
        <v>NULL</v>
      </c>
      <c r="BV6" s="89" t="s">
        <v>367</v>
      </c>
      <c r="BW6" s="39" t="str">
        <f>CCModuleCopy!$B$11</f>
        <v>ME_HeadImage_Wearables_500xV.jpg</v>
      </c>
      <c r="BX6" s="39" t="str">
        <f>CCModuleCopy!$C$11</f>
        <v>Get up to $100 off select watches and earbuds</v>
      </c>
      <c r="BY6" s="39" t="str">
        <f>CCModuleCopy!$D$11</f>
        <v>NULL</v>
      </c>
      <c r="BZ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6" s="39" t="str">
        <f>CCModuleCopy!$F$11</f>
        <v>Shop all</v>
      </c>
      <c r="CB6" s="39" t="str">
        <f>CCModuleCopy!$G$11</f>
        <v>https://www.samsung.com/us/shop/all-deals/watches-audio-accessories-deals/</v>
      </c>
      <c r="CC6"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6" s="39" t="str">
        <f>CCModuleCopy!$I$11</f>
        <v>NULL</v>
      </c>
      <c r="CE6" s="39" t="str">
        <f>CCModuleCopy!$J$11</f>
        <v>NULL</v>
      </c>
      <c r="CF6" s="39" t="str">
        <f>CCModuleCopy!$K$11</f>
        <v>NULL</v>
      </c>
      <c r="CG6" s="89" t="s">
        <v>368</v>
      </c>
      <c r="CH6" s="39" t="str">
        <f>CCModuleCopy!$B$13</f>
        <v>CE_HeadImage_Computing_500xV.jpg</v>
      </c>
      <c r="CI6" s="39" t="str">
        <f>CCModuleCopy!$C$13</f>
        <v>Get up to 60% off memory cards, SSD, monitors and more</v>
      </c>
      <c r="CJ6" s="39" t="str">
        <f>CCModuleCopy!$D$13</f>
        <v>NULL</v>
      </c>
      <c r="CK6" s="39" t="str">
        <f>CCModuleCopy!$E$13</f>
        <v xml:space="preserve">Expand the way you play, store and create and get up to 30% off monitors, up to 60% off memory cards, up to 35% off SSD and more. Work and game smarter, not harder with these must-have computing offers. </v>
      </c>
      <c r="CL6" s="39" t="str">
        <f>CCModuleCopy!$F$13</f>
        <v>Shop all</v>
      </c>
      <c r="CM6" s="39" t="str">
        <f>CCModuleCopy!$G$13</f>
        <v>https://www.samsung.com/us/shop/all-deals/tablets-laptops-computers-deals/</v>
      </c>
      <c r="CN6"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6" s="39" t="str">
        <f>CCModuleCopy!$I$13</f>
        <v>NULL</v>
      </c>
      <c r="CP6" s="39" t="str">
        <f>CCModuleCopy!$J$13</f>
        <v>NULL</v>
      </c>
      <c r="CQ6" s="39" t="str">
        <f>CCModuleCopy!$K$13</f>
        <v>NULL</v>
      </c>
      <c r="CR6" s="89" t="s">
        <v>279</v>
      </c>
      <c r="CS6" s="39" t="str">
        <f>CCModuleCopy!$B$9</f>
        <v>HA_HeadImage_Shop_HA_500xV.jpg</v>
      </c>
      <c r="CT6" s="39" t="str">
        <f>CCModuleCopy!$C$9</f>
        <v>Save up to 50% on everything you need to upgrade your home and home care</v>
      </c>
      <c r="CU6" s="39" t="str">
        <f>CCModuleCopy!$D$9</f>
        <v>NULL</v>
      </c>
      <c r="CV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6" s="39" t="str">
        <f>CCModuleCopy!$F$9</f>
        <v>Shop all</v>
      </c>
      <c r="CX6" s="39" t="str">
        <f>CCModuleCopy!$G$9</f>
        <v>https://www.samsung.com/us/shop/all-deals/home-appliance-and-smart-home-sales/</v>
      </c>
      <c r="CY6"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6" s="39" t="str">
        <f>CCModuleCopy!$I$9</f>
        <v>NULL</v>
      </c>
      <c r="DA6" s="39" t="str">
        <f>CCModuleCopy!$J$9</f>
        <v>NULL</v>
      </c>
      <c r="DB6" s="39" t="str">
        <f>CCModuleCopy!$K$9</f>
        <v>NULL</v>
      </c>
      <c r="DC6" s="89" t="s">
        <v>280</v>
      </c>
      <c r="DD6" s="39" t="str">
        <f>MiscBanners!$H$4</f>
        <v>Give-wonder-500xV.jpg</v>
      </c>
      <c r="DE6" s="39" t="str">
        <f>MiscBanners!$I$4</f>
        <v>The gift that keeps on giving</v>
      </c>
      <c r="DF6" s="39" t="str">
        <f>MiscBanners!$J$4</f>
        <v>NULL</v>
      </c>
      <c r="DG6" s="91" t="str">
        <f>MiscBanners!$K$4</f>
        <v>Discover even more exclusive offers on your favorite products and unlock the power of smart and savvy gifting.</v>
      </c>
      <c r="DH6" s="39" t="str">
        <f>MiscBanners!$L$4</f>
        <v>Shop now</v>
      </c>
      <c r="DI6" s="39" t="str">
        <f>MiscBanners!$M$4</f>
        <v>https://www.samsung.com/us/gift-ideas/</v>
      </c>
      <c r="DJ6"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6" s="39" t="str">
        <f>MiscBanners!$O$4</f>
        <v>NULL</v>
      </c>
      <c r="DL6" s="39" t="str">
        <f>MiscBanners!$P$4</f>
        <v>NULL</v>
      </c>
      <c r="DM6" s="39" t="str">
        <f>MiscBanners!$Q$4</f>
        <v>NULL</v>
      </c>
      <c r="DN6" s="89" t="s">
        <v>273</v>
      </c>
      <c r="DR6" s="91"/>
      <c r="DY6" s="89" t="s">
        <v>481</v>
      </c>
      <c r="DZ6" s="39" t="str">
        <f>TC!B4</f>
        <v>NULL</v>
      </c>
      <c r="EA6" s="39" t="str">
        <f>TC!C4</f>
        <v>NULL</v>
      </c>
      <c r="EB6" s="39" t="str">
        <f>TC!D4</f>
        <v>NULL</v>
      </c>
      <c r="EC6"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6" s="39" t="str">
        <f>TC!F4</f>
        <v>NULL</v>
      </c>
      <c r="EE6" s="39" t="str">
        <f>TC!G4</f>
        <v>https://www.samsung.com/us/</v>
      </c>
      <c r="EF6" s="39">
        <f>TC!H4</f>
        <v>0</v>
      </c>
      <c r="EG6" s="39" t="str">
        <f>TC!I4</f>
        <v>NULL</v>
      </c>
      <c r="EH6" s="39" t="str">
        <f>TC!J4</f>
        <v>NULL</v>
      </c>
      <c r="EI6" s="39" t="str">
        <f>TC!K4</f>
        <v>NULL</v>
      </c>
      <c r="EJ6" s="89" t="s">
        <v>439</v>
      </c>
      <c r="EK6" s="39" t="str">
        <f>TC!B5</f>
        <v>NULL</v>
      </c>
      <c r="EL6" s="39" t="str">
        <f>TC!C5</f>
        <v>NULL</v>
      </c>
      <c r="EM6" s="39" t="str">
        <f>TC!D5</f>
        <v>NULL</v>
      </c>
      <c r="EN6"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6" s="39" t="str">
        <f>TC!F5</f>
        <v>NULL</v>
      </c>
      <c r="EP6" s="39" t="str">
        <f>TC!G5</f>
        <v>https://www.samsung.com/us/</v>
      </c>
      <c r="EQ6" s="39">
        <f>TC!H5</f>
        <v>0</v>
      </c>
      <c r="ER6" s="39" t="str">
        <f>TC!I5</f>
        <v>NULL</v>
      </c>
      <c r="ES6" s="39" t="str">
        <f>TC!J5</f>
        <v>NULL</v>
      </c>
      <c r="ET6" s="39" t="str">
        <f>TC!K5</f>
        <v>NULL</v>
      </c>
      <c r="EU6" s="89" t="s">
        <v>441</v>
      </c>
      <c r="EV6" s="39" t="str">
        <f>TC!B6</f>
        <v>NULL</v>
      </c>
      <c r="EW6" s="39" t="str">
        <f>TC!C6</f>
        <v>NULL</v>
      </c>
      <c r="EX6" s="39" t="str">
        <f>TC!D6</f>
        <v>NULL</v>
      </c>
      <c r="EY6"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Z6" s="39" t="str">
        <f>TC!F6</f>
        <v>NULL</v>
      </c>
      <c r="FA6" s="39" t="str">
        <f>TC!G6</f>
        <v>https://www.samsung.com/us/</v>
      </c>
      <c r="FB6" s="39">
        <f>TC!H6</f>
        <v>0</v>
      </c>
      <c r="FC6" s="39" t="str">
        <f>TC!I6</f>
        <v>NULL</v>
      </c>
      <c r="FD6" s="39" t="str">
        <f>TC!J6</f>
        <v>NULL</v>
      </c>
      <c r="FE6" s="39" t="str">
        <f>TC!K6</f>
        <v>NULL</v>
      </c>
      <c r="FF6" s="89" t="s">
        <v>477</v>
      </c>
      <c r="FG6" s="39" t="str">
        <f>TC!B7</f>
        <v>NULL</v>
      </c>
      <c r="FH6" s="39" t="str">
        <f>TC!C7</f>
        <v>NULL</v>
      </c>
      <c r="FI6" s="39" t="str">
        <f>TC!D7</f>
        <v>NULL</v>
      </c>
      <c r="FJ6"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FK6" s="39" t="str">
        <f>TC!F7</f>
        <v>NULL</v>
      </c>
      <c r="FL6" s="39">
        <f>TC!G7</f>
        <v>0</v>
      </c>
      <c r="FM6" s="39">
        <f>TC!H7</f>
        <v>0</v>
      </c>
      <c r="FN6" s="39" t="str">
        <f>TC!I7</f>
        <v>NULL</v>
      </c>
      <c r="FO6" s="39" t="str">
        <f>TC!J7</f>
        <v>NULL</v>
      </c>
      <c r="FP6" s="39" t="str">
        <f>TC!K7</f>
        <v>NULL</v>
      </c>
    </row>
    <row r="7" spans="1:172" s="39" customFormat="1" ht="99.95" customHeight="1" x14ac:dyDescent="0.25">
      <c r="A7" s="146" t="s">
        <v>235</v>
      </c>
      <c r="B7" s="39" t="s">
        <v>240</v>
      </c>
      <c r="C7" s="39" t="s">
        <v>237</v>
      </c>
      <c r="D7" s="39" t="s">
        <v>237</v>
      </c>
      <c r="E7" s="147" t="s">
        <v>0</v>
      </c>
      <c r="G7" s="88" t="s">
        <v>540</v>
      </c>
      <c r="H7" s="88" t="s">
        <v>539</v>
      </c>
      <c r="I7" s="89" t="s">
        <v>381</v>
      </c>
      <c r="J7" s="39" t="s">
        <v>394</v>
      </c>
      <c r="K7" s="39" t="s">
        <v>394</v>
      </c>
      <c r="L7" s="39" t="s">
        <v>394</v>
      </c>
      <c r="M7" s="39" t="s">
        <v>394</v>
      </c>
      <c r="N7" s="39" t="s">
        <v>394</v>
      </c>
      <c r="O7" s="39" t="s">
        <v>394</v>
      </c>
      <c r="P7" s="39" t="s">
        <v>394</v>
      </c>
      <c r="Q7" s="39" t="s">
        <v>394</v>
      </c>
      <c r="R7" s="39" t="s">
        <v>394</v>
      </c>
      <c r="S7" s="89" t="s">
        <v>407</v>
      </c>
      <c r="T7" s="39" t="str">
        <f>'Dynamic Banners'!$L$4</f>
        <v>Cyber-monday-1.png</v>
      </c>
      <c r="U7" s="39" t="str">
        <f>'Dynamic Banners'!$M$4</f>
        <v xml:space="preserve">The clock is ticking away for Cyber Monday </v>
      </c>
      <c r="V7" s="39" t="s">
        <v>394</v>
      </c>
      <c r="W7" s="39" t="str">
        <f>'Dynamic Banners'!$N$4</f>
        <v xml:space="preserve">Shop amazing offers on showstopping products while supplies last. </v>
      </c>
      <c r="X7" s="39" t="s">
        <v>394</v>
      </c>
      <c r="Y7" s="39" t="str">
        <f>[1]MiscBanners!$B$4</f>
        <v>https://www.samsung.com/us/shop/all-deals/</v>
      </c>
      <c r="Z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7" s="39" t="s">
        <v>394</v>
      </c>
      <c r="AB7" s="39" t="s">
        <v>394</v>
      </c>
      <c r="AC7" s="39" t="s">
        <v>394</v>
      </c>
      <c r="AD7" s="89" t="s">
        <v>408</v>
      </c>
      <c r="AE7" s="39" t="s">
        <v>394</v>
      </c>
      <c r="AF7" s="39" t="s">
        <v>394</v>
      </c>
      <c r="AG7" s="7" t="s">
        <v>559</v>
      </c>
      <c r="AH7" s="39" t="s">
        <v>561</v>
      </c>
      <c r="AI7" s="39" t="s">
        <v>394</v>
      </c>
      <c r="AJ7" s="39" t="str">
        <f>[1]MiscBanners!$B$4</f>
        <v>https://www.samsung.com/us/shop/all-deals/</v>
      </c>
      <c r="AK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7" s="39" t="s">
        <v>394</v>
      </c>
      <c r="AM7" s="39" t="s">
        <v>394</v>
      </c>
      <c r="AN7" s="39" t="s">
        <v>394</v>
      </c>
      <c r="AO7" s="89" t="s">
        <v>265</v>
      </c>
      <c r="AP7" s="39" t="str">
        <f>CCModuleCopy!$B$7</f>
        <v>HE_HeadImage_Shop_TVs_500xV.jpg</v>
      </c>
      <c r="AQ7" s="39" t="str">
        <f>CCModuleCopy!$C$7</f>
        <v>Get up to $3000 off select 8K, 4K and Lifestyle TVs</v>
      </c>
      <c r="AR7" s="39" t="str">
        <f>CCModuleCopy!$D$7</f>
        <v>NULL</v>
      </c>
      <c r="AS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7" s="39" t="str">
        <f>CCModuleCopy!$F$7</f>
        <v>Shop all</v>
      </c>
      <c r="AU7" s="39" t="str">
        <f>CCModuleCopy!$G$7</f>
        <v>https://www.samsung.com/us/shop/all-deals/tv-and-home-theater-deals/</v>
      </c>
      <c r="AV7"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W7" s="39" t="str">
        <f>CCModuleCopy!$I$7</f>
        <v>NULL</v>
      </c>
      <c r="AX7" s="39" t="str">
        <f>CCModuleCopy!$J$7</f>
        <v>NULL</v>
      </c>
      <c r="AY7" s="39" t="str">
        <f>CCModuleCopy!$K$7</f>
        <v>NULL</v>
      </c>
      <c r="AZ7" s="89" t="s">
        <v>267</v>
      </c>
      <c r="BA7" s="39" t="str">
        <f>CCModuleCopy!$B$3</f>
        <v>IM_HeadImage_Shop_Phones_500xV.jpg</v>
      </c>
      <c r="BB7" s="39" t="str">
        <f>CCModuleCopy!$C$3</f>
        <v>Save up to $1000 instantly on the latest and greatest Galaxy smartphones</v>
      </c>
      <c r="BC7" s="39" t="str">
        <f>CCModuleCopy!$D$3</f>
        <v>NULL</v>
      </c>
      <c r="BD7"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7" s="39" t="str">
        <f>CCModuleCopy!$F$3</f>
        <v>Shop all</v>
      </c>
      <c r="BF7" s="39" t="str">
        <f>CCModuleCopy!$G$3</f>
        <v>https://www.samsung.com/us/shop/all-deals/cell-phone-deals/</v>
      </c>
      <c r="BG7"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7" s="39" t="str">
        <f>CCModuleCopy!$I$3</f>
        <v>NULL</v>
      </c>
      <c r="BI7" s="39" t="str">
        <f>CCModuleCopy!$J$3</f>
        <v>NULL</v>
      </c>
      <c r="BJ7" s="39" t="str">
        <f>CCModuleCopy!$K$3</f>
        <v>NULL</v>
      </c>
      <c r="BK7" s="89" t="s">
        <v>266</v>
      </c>
      <c r="BL7" s="39">
        <v>0</v>
      </c>
      <c r="BM7" s="39" t="s">
        <v>365</v>
      </c>
      <c r="BN7" s="39" t="s">
        <v>394</v>
      </c>
      <c r="BO7" s="39" t="s">
        <v>366</v>
      </c>
      <c r="BP7" s="39" t="s">
        <v>89</v>
      </c>
      <c r="BQ7" s="39">
        <v>0</v>
      </c>
      <c r="BR7" s="39">
        <v>0</v>
      </c>
      <c r="BS7" s="39" t="s">
        <v>394</v>
      </c>
      <c r="BT7" s="39" t="s">
        <v>394</v>
      </c>
      <c r="BU7" s="39" t="s">
        <v>394</v>
      </c>
      <c r="BV7" s="89" t="s">
        <v>367</v>
      </c>
      <c r="BW7" s="39" t="str">
        <f>CCModuleCopy!$B$11</f>
        <v>ME_HeadImage_Wearables_500xV.jpg</v>
      </c>
      <c r="BX7" s="39" t="str">
        <f>CCModuleCopy!$C$11</f>
        <v>Get up to $100 off select watches and earbuds</v>
      </c>
      <c r="BY7" s="39" t="str">
        <f>CCModuleCopy!$D$11</f>
        <v>NULL</v>
      </c>
      <c r="BZ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7" s="39" t="str">
        <f>CCModuleCopy!$F$11</f>
        <v>Shop all</v>
      </c>
      <c r="CB7" s="39" t="str">
        <f>CCModuleCopy!$G$11</f>
        <v>https://www.samsung.com/us/shop/all-deals/watches-audio-accessories-deals/</v>
      </c>
      <c r="CC7"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7" s="39" t="str">
        <f>CCModuleCopy!$I$11</f>
        <v>NULL</v>
      </c>
      <c r="CE7" s="39" t="str">
        <f>CCModuleCopy!$J$11</f>
        <v>NULL</v>
      </c>
      <c r="CF7" s="39" t="str">
        <f>CCModuleCopy!$K$11</f>
        <v>NULL</v>
      </c>
      <c r="CG7" s="89" t="s">
        <v>368</v>
      </c>
      <c r="CH7" s="39" t="str">
        <f>CCModuleCopy!$B$13</f>
        <v>CE_HeadImage_Computing_500xV.jpg</v>
      </c>
      <c r="CI7" s="39" t="str">
        <f>CCModuleCopy!$C$13</f>
        <v>Get up to 60% off memory cards, SSD, monitors and more</v>
      </c>
      <c r="CJ7" s="39" t="str">
        <f>CCModuleCopy!$D$13</f>
        <v>NULL</v>
      </c>
      <c r="CK7" s="39" t="str">
        <f>CCModuleCopy!$E$13</f>
        <v xml:space="preserve">Expand the way you play, store and create and get up to 30% off monitors, up to 60% off memory cards, up to 35% off SSD and more. Work and game smarter, not harder with these must-have computing offers. </v>
      </c>
      <c r="CL7" s="39" t="str">
        <f>CCModuleCopy!$F$13</f>
        <v>Shop all</v>
      </c>
      <c r="CM7" s="39" t="str">
        <f>CCModuleCopy!$G$13</f>
        <v>https://www.samsung.com/us/shop/all-deals/tablets-laptops-computers-deals/</v>
      </c>
      <c r="CN7"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7" s="39" t="str">
        <f>CCModuleCopy!$I$13</f>
        <v>NULL</v>
      </c>
      <c r="CP7" s="39" t="str">
        <f>CCModuleCopy!$J$13</f>
        <v>NULL</v>
      </c>
      <c r="CQ7" s="39" t="str">
        <f>CCModuleCopy!$K$13</f>
        <v>NULL</v>
      </c>
      <c r="CR7" s="89" t="s">
        <v>279</v>
      </c>
      <c r="CS7" s="39" t="str">
        <f>CCModuleCopy!$B$9</f>
        <v>HA_HeadImage_Shop_HA_500xV.jpg</v>
      </c>
      <c r="CT7" s="39" t="str">
        <f>CCModuleCopy!$C$9</f>
        <v>Save up to 50% on everything you need to upgrade your home and home care</v>
      </c>
      <c r="CU7" s="39" t="str">
        <f>CCModuleCopy!$D$9</f>
        <v>NULL</v>
      </c>
      <c r="CV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7" s="39" t="str">
        <f>CCModuleCopy!$F$9</f>
        <v>Shop all</v>
      </c>
      <c r="CX7" s="39" t="str">
        <f>CCModuleCopy!$G$9</f>
        <v>https://www.samsung.com/us/shop/all-deals/home-appliance-and-smart-home-sales/</v>
      </c>
      <c r="CY7"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7" s="39" t="str">
        <f>CCModuleCopy!$I$9</f>
        <v>NULL</v>
      </c>
      <c r="DA7" s="39" t="str">
        <f>CCModuleCopy!$J$9</f>
        <v>NULL</v>
      </c>
      <c r="DB7" s="39" t="str">
        <f>CCModuleCopy!$K$9</f>
        <v>NULL</v>
      </c>
      <c r="DC7" s="89" t="s">
        <v>280</v>
      </c>
      <c r="DD7" s="39" t="str">
        <f>MiscBanners!$H$4</f>
        <v>Give-wonder-500xV.jpg</v>
      </c>
      <c r="DE7" s="39" t="str">
        <f>MiscBanners!$I$4</f>
        <v>The gift that keeps on giving</v>
      </c>
      <c r="DF7" s="39" t="str">
        <f>MiscBanners!$J$4</f>
        <v>NULL</v>
      </c>
      <c r="DG7" s="91" t="str">
        <f>MiscBanners!$K$4</f>
        <v>Discover even more exclusive offers on your favorite products and unlock the power of smart and savvy gifting.</v>
      </c>
      <c r="DH7" s="39" t="str">
        <f>MiscBanners!$L$4</f>
        <v>Shop now</v>
      </c>
      <c r="DI7" s="39" t="str">
        <f>MiscBanners!$M$4</f>
        <v>https://www.samsung.com/us/gift-ideas/</v>
      </c>
      <c r="DJ7"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7" s="39" t="str">
        <f>MiscBanners!$O$4</f>
        <v>NULL</v>
      </c>
      <c r="DL7" s="39" t="str">
        <f>MiscBanners!$P$4</f>
        <v>NULL</v>
      </c>
      <c r="DM7" s="39" t="str">
        <f>MiscBanners!$Q$4</f>
        <v>NULL</v>
      </c>
      <c r="DN7" s="89" t="s">
        <v>273</v>
      </c>
      <c r="DR7" s="91"/>
      <c r="DY7" s="89" t="s">
        <v>481</v>
      </c>
      <c r="DZ7" s="39" t="str">
        <f>TC!B5</f>
        <v>NULL</v>
      </c>
      <c r="EA7" s="39" t="str">
        <f>TC!C5</f>
        <v>NULL</v>
      </c>
      <c r="EB7" s="39" t="str">
        <f>TC!D5</f>
        <v>NULL</v>
      </c>
      <c r="EC7"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7" s="39" t="str">
        <f>TC!F5</f>
        <v>NULL</v>
      </c>
      <c r="EE7" s="39" t="str">
        <f>TC!G5</f>
        <v>https://www.samsung.com/us/</v>
      </c>
      <c r="EF7" s="39">
        <f>TC!H5</f>
        <v>0</v>
      </c>
      <c r="EG7" s="39" t="str">
        <f>TC!I5</f>
        <v>NULL</v>
      </c>
      <c r="EH7" s="39" t="str">
        <f>TC!J5</f>
        <v>NULL</v>
      </c>
      <c r="EI7" s="39" t="str">
        <f>TC!K5</f>
        <v>NULL</v>
      </c>
      <c r="EJ7" s="89" t="s">
        <v>439</v>
      </c>
      <c r="EK7" s="39" t="str">
        <f>TC!B6</f>
        <v>NULL</v>
      </c>
      <c r="EL7" s="39" t="str">
        <f>TC!C6</f>
        <v>NULL</v>
      </c>
      <c r="EM7" s="39" t="str">
        <f>TC!D6</f>
        <v>NULL</v>
      </c>
      <c r="EN7"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7" s="39" t="str">
        <f>TC!F6</f>
        <v>NULL</v>
      </c>
      <c r="EP7" s="39" t="str">
        <f>TC!G6</f>
        <v>https://www.samsung.com/us/</v>
      </c>
      <c r="EQ7" s="39">
        <f>TC!H6</f>
        <v>0</v>
      </c>
      <c r="ER7" s="39" t="str">
        <f>TC!I6</f>
        <v>NULL</v>
      </c>
      <c r="ES7" s="39" t="str">
        <f>TC!J6</f>
        <v>NULL</v>
      </c>
      <c r="ET7" s="39" t="str">
        <f>TC!K6</f>
        <v>NULL</v>
      </c>
      <c r="EU7" s="89" t="s">
        <v>441</v>
      </c>
      <c r="EV7" s="39" t="str">
        <f>TC!B7</f>
        <v>NULL</v>
      </c>
      <c r="EW7" s="39" t="str">
        <f>TC!C7</f>
        <v>NULL</v>
      </c>
      <c r="EX7" s="39" t="str">
        <f>TC!D7</f>
        <v>NULL</v>
      </c>
      <c r="EY7"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EZ7" s="39" t="str">
        <f>TC!F7</f>
        <v>NULL</v>
      </c>
      <c r="FA7" s="39">
        <f>TC!G7</f>
        <v>0</v>
      </c>
      <c r="FB7" s="39">
        <f>TC!H7</f>
        <v>0</v>
      </c>
      <c r="FC7" s="39" t="str">
        <f>TC!I7</f>
        <v>NULL</v>
      </c>
      <c r="FD7" s="39" t="str">
        <f>TC!J7</f>
        <v>NULL</v>
      </c>
      <c r="FE7" s="39" t="str">
        <f>TC!K7</f>
        <v>NULL</v>
      </c>
      <c r="FF7" s="89" t="s">
        <v>477</v>
      </c>
      <c r="FG7" s="39">
        <f>TC!B8</f>
        <v>0</v>
      </c>
      <c r="FH7" s="39">
        <f>TC!C8</f>
        <v>0</v>
      </c>
      <c r="FI7" s="39">
        <f>TC!D8</f>
        <v>0</v>
      </c>
      <c r="FJ7" s="91">
        <f>TC!E8</f>
        <v>0</v>
      </c>
      <c r="FK7" s="39">
        <f>TC!F8</f>
        <v>0</v>
      </c>
      <c r="FL7" s="39">
        <f>TC!G8</f>
        <v>0</v>
      </c>
      <c r="FM7" s="39">
        <f>TC!H8</f>
        <v>0</v>
      </c>
      <c r="FN7" s="39">
        <f>TC!I8</f>
        <v>0</v>
      </c>
      <c r="FO7" s="39">
        <f>TC!J8</f>
        <v>0</v>
      </c>
      <c r="FP7" s="39">
        <f>TC!K8</f>
        <v>0</v>
      </c>
    </row>
    <row r="8" spans="1:172" s="39" customFormat="1" ht="99.95" customHeight="1" x14ac:dyDescent="0.25">
      <c r="A8" s="146" t="s">
        <v>235</v>
      </c>
      <c r="B8" s="92" t="s">
        <v>241</v>
      </c>
      <c r="C8" s="39" t="s">
        <v>237</v>
      </c>
      <c r="D8" s="39" t="s">
        <v>237</v>
      </c>
      <c r="E8" s="147" t="s">
        <v>0</v>
      </c>
      <c r="G8" s="88" t="s">
        <v>540</v>
      </c>
      <c r="H8" s="88" t="s">
        <v>539</v>
      </c>
      <c r="I8" s="89" t="s">
        <v>381</v>
      </c>
      <c r="J8" s="39" t="s">
        <v>394</v>
      </c>
      <c r="K8" s="39" t="s">
        <v>394</v>
      </c>
      <c r="L8" s="39" t="s">
        <v>394</v>
      </c>
      <c r="M8" s="39" t="s">
        <v>394</v>
      </c>
      <c r="N8" s="39" t="s">
        <v>394</v>
      </c>
      <c r="O8" s="39" t="s">
        <v>394</v>
      </c>
      <c r="P8" s="39" t="s">
        <v>394</v>
      </c>
      <c r="Q8" s="39" t="s">
        <v>394</v>
      </c>
      <c r="R8" s="39" t="s">
        <v>394</v>
      </c>
      <c r="S8" s="89" t="s">
        <v>407</v>
      </c>
      <c r="T8" s="39" t="str">
        <f>'Dynamic Banners'!$L$4</f>
        <v>Cyber-monday-1.png</v>
      </c>
      <c r="U8" s="39" t="str">
        <f>'Dynamic Banners'!$M$4</f>
        <v xml:space="preserve">The clock is ticking away for Cyber Monday </v>
      </c>
      <c r="V8" s="39" t="s">
        <v>394</v>
      </c>
      <c r="W8" s="39" t="str">
        <f>'Dynamic Banners'!$N$4</f>
        <v xml:space="preserve">Shop amazing offers on showstopping products while supplies last. </v>
      </c>
      <c r="X8" s="39" t="s">
        <v>394</v>
      </c>
      <c r="Y8" s="39" t="str">
        <f>[1]MiscBanners!$B$4</f>
        <v>https://www.samsung.com/us/shop/all-deals/</v>
      </c>
      <c r="Z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8" s="39" t="s">
        <v>394</v>
      </c>
      <c r="AB8" s="39" t="s">
        <v>394</v>
      </c>
      <c r="AC8" s="39" t="s">
        <v>394</v>
      </c>
      <c r="AD8" s="89" t="s">
        <v>408</v>
      </c>
      <c r="AE8" s="39" t="s">
        <v>394</v>
      </c>
      <c r="AF8" s="39" t="s">
        <v>394</v>
      </c>
      <c r="AG8" s="7" t="s">
        <v>559</v>
      </c>
      <c r="AH8" s="39" t="s">
        <v>561</v>
      </c>
      <c r="AI8" s="39" t="s">
        <v>394</v>
      </c>
      <c r="AJ8" s="39" t="str">
        <f>[1]MiscBanners!$B$4</f>
        <v>https://www.samsung.com/us/shop/all-deals/</v>
      </c>
      <c r="AK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8" s="39" t="s">
        <v>394</v>
      </c>
      <c r="AM8" s="39" t="s">
        <v>394</v>
      </c>
      <c r="AN8" s="39" t="s">
        <v>394</v>
      </c>
      <c r="AO8" s="89" t="s">
        <v>266</v>
      </c>
      <c r="AP8" s="39" t="str">
        <f>CCModuleCopy!$B$15</f>
        <v>Tablet-HeadImage-500xV.jpg</v>
      </c>
      <c r="AQ8" s="39" t="str">
        <f>CCModuleCopy!$C$15</f>
        <v>Save up to $150 on select tablets</v>
      </c>
      <c r="AR8" s="39" t="str">
        <f>CCModuleCopy!$D$15</f>
        <v>NULL</v>
      </c>
      <c r="AS8" s="39" t="str">
        <f>CCModuleCopy!$E$15</f>
        <v xml:space="preserve">Empower how you create, learn, game and more with our powerful line of tablets. Shop offers on must-have products from the new Galaxy Tab S7+ to the Galaxy Tab S6 Lite. </v>
      </c>
      <c r="AT8" s="39" t="str">
        <f>CCModuleCopy!$F$15</f>
        <v>Shop all</v>
      </c>
      <c r="AU8" s="39" t="str">
        <f>CCModuleCopy!$G$15</f>
        <v>https://www.samsung.com/us/shop/all-deals/tablets-laptops-computers-deals/</v>
      </c>
      <c r="AV8"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W8" s="39" t="str">
        <f>CCModuleCopy!$I$15</f>
        <v>NULL</v>
      </c>
      <c r="AX8" s="39" t="str">
        <f>CCModuleCopy!$J$15</f>
        <v>NULL</v>
      </c>
      <c r="AY8" s="39" t="str">
        <f>CCModuleCopy!$K$15</f>
        <v>NULL</v>
      </c>
      <c r="AZ8" s="89" t="s">
        <v>267</v>
      </c>
      <c r="BA8" s="39" t="str">
        <f>CCModuleCopy!$B$3</f>
        <v>IM_HeadImage_Shop_Phones_500xV.jpg</v>
      </c>
      <c r="BB8" s="39" t="str">
        <f>CCModuleCopy!$C$3</f>
        <v>Save up to $1000 instantly on the latest and greatest Galaxy smartphones</v>
      </c>
      <c r="BC8" s="39" t="str">
        <f>CCModuleCopy!$D$3</f>
        <v>NULL</v>
      </c>
      <c r="BD8"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8" s="39" t="str">
        <f>CCModuleCopy!$F$3</f>
        <v>Shop all</v>
      </c>
      <c r="BF8" s="39" t="str">
        <f>CCModuleCopy!$G$3</f>
        <v>https://www.samsung.com/us/shop/all-deals/cell-phone-deals/</v>
      </c>
      <c r="BG8"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8" s="39" t="str">
        <f>CCModuleCopy!$I$3</f>
        <v>NULL</v>
      </c>
      <c r="BI8" s="39" t="str">
        <f>CCModuleCopy!$J$3</f>
        <v>NULL</v>
      </c>
      <c r="BJ8" s="39" t="str">
        <f>CCModuleCopy!$K$3</f>
        <v>NULL</v>
      </c>
      <c r="BK8" s="89" t="s">
        <v>265</v>
      </c>
      <c r="BL8" s="39" t="str">
        <f>CCModuleCopy!$B$7</f>
        <v>HE_HeadImage_Shop_TVs_500xV.jpg</v>
      </c>
      <c r="BM8" s="39" t="str">
        <f>CCModuleCopy!$C$7</f>
        <v>Get up to $3000 off select 8K, 4K and Lifestyle TVs</v>
      </c>
      <c r="BN8" s="39" t="str">
        <f>CCModuleCopy!$D$7</f>
        <v>NULL</v>
      </c>
      <c r="BO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8" s="39" t="str">
        <f>CCModuleCopy!$F$7</f>
        <v>Shop all</v>
      </c>
      <c r="BQ8" s="39" t="str">
        <f>CCModuleCopy!$G$7</f>
        <v>https://www.samsung.com/us/shop/all-deals/tv-and-home-theater-deals/</v>
      </c>
      <c r="BR8"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8" s="39" t="str">
        <f>CCModuleCopy!$I$7</f>
        <v>NULL</v>
      </c>
      <c r="BT8" s="39" t="str">
        <f>CCModuleCopy!$J$7</f>
        <v>NULL</v>
      </c>
      <c r="BU8" s="39" t="str">
        <f>CCModuleCopy!$K$7</f>
        <v>NULL</v>
      </c>
      <c r="BV8" s="89" t="s">
        <v>367</v>
      </c>
      <c r="BW8" s="39" t="str">
        <f>CCModuleCopy!$B$11</f>
        <v>ME_HeadImage_Wearables_500xV.jpg</v>
      </c>
      <c r="BX8" s="39" t="str">
        <f>CCModuleCopy!$C$11</f>
        <v>Get up to $100 off select watches and earbuds</v>
      </c>
      <c r="BY8" s="39" t="str">
        <f>CCModuleCopy!$D$11</f>
        <v>NULL</v>
      </c>
      <c r="BZ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8" s="39" t="str">
        <f>CCModuleCopy!$F$11</f>
        <v>Shop all</v>
      </c>
      <c r="CB8" s="39" t="str">
        <f>CCModuleCopy!$G$11</f>
        <v>https://www.samsung.com/us/shop/all-deals/watches-audio-accessories-deals/</v>
      </c>
      <c r="CC8"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8" s="39" t="str">
        <f>CCModuleCopy!$I$11</f>
        <v>NULL</v>
      </c>
      <c r="CE8" s="39" t="str">
        <f>CCModuleCopy!$J$11</f>
        <v>NULL</v>
      </c>
      <c r="CF8" s="39" t="str">
        <f>CCModuleCopy!$K$11</f>
        <v>NULL</v>
      </c>
      <c r="CG8" s="89" t="s">
        <v>368</v>
      </c>
      <c r="CH8" s="39" t="str">
        <f>CCModuleCopy!$B$13</f>
        <v>CE_HeadImage_Computing_500xV.jpg</v>
      </c>
      <c r="CI8" s="39" t="str">
        <f>CCModuleCopy!$C$13</f>
        <v>Get up to 60% off memory cards, SSD, monitors and more</v>
      </c>
      <c r="CJ8" s="39" t="str">
        <f>CCModuleCopy!$D$13</f>
        <v>NULL</v>
      </c>
      <c r="CK8" s="39" t="str">
        <f>CCModuleCopy!$E$13</f>
        <v xml:space="preserve">Expand the way you play, store and create and get up to 30% off monitors, up to 60% off memory cards, up to 35% off SSD and more. Work and game smarter, not harder with these must-have computing offers. </v>
      </c>
      <c r="CL8" s="39" t="str">
        <f>CCModuleCopy!$F$13</f>
        <v>Shop all</v>
      </c>
      <c r="CM8" s="39" t="str">
        <f>CCModuleCopy!$G$13</f>
        <v>https://www.samsung.com/us/shop/all-deals/tablets-laptops-computers-deals/</v>
      </c>
      <c r="CN8"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8" s="39" t="str">
        <f>CCModuleCopy!$I$13</f>
        <v>NULL</v>
      </c>
      <c r="CP8" s="39" t="str">
        <f>CCModuleCopy!$J$13</f>
        <v>NULL</v>
      </c>
      <c r="CQ8" s="39" t="str">
        <f>CCModuleCopy!$K$13</f>
        <v>NULL</v>
      </c>
      <c r="CR8" s="89" t="s">
        <v>279</v>
      </c>
      <c r="CS8" s="39" t="str">
        <f>CCModuleCopy!$B$9</f>
        <v>HA_HeadImage_Shop_HA_500xV.jpg</v>
      </c>
      <c r="CT8" s="39" t="str">
        <f>CCModuleCopy!$C$9</f>
        <v>Save up to 50% on everything you need to upgrade your home and home care</v>
      </c>
      <c r="CU8" s="39" t="str">
        <f>CCModuleCopy!$D$9</f>
        <v>NULL</v>
      </c>
      <c r="CV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8" s="39" t="str">
        <f>CCModuleCopy!$F$9</f>
        <v>Shop all</v>
      </c>
      <c r="CX8" s="39" t="str">
        <f>CCModuleCopy!$G$9</f>
        <v>https://www.samsung.com/us/shop/all-deals/home-appliance-and-smart-home-sales/</v>
      </c>
      <c r="CY8"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8" s="39" t="str">
        <f>CCModuleCopy!$I$9</f>
        <v>NULL</v>
      </c>
      <c r="DA8" s="39" t="str">
        <f>CCModuleCopy!$J$9</f>
        <v>NULL</v>
      </c>
      <c r="DB8" s="39" t="str">
        <f>CCModuleCopy!$K$9</f>
        <v>NULL</v>
      </c>
      <c r="DC8" s="89" t="s">
        <v>280</v>
      </c>
      <c r="DD8" s="39" t="str">
        <f>MiscBanners!$H$4</f>
        <v>Give-wonder-500xV.jpg</v>
      </c>
      <c r="DE8" s="39" t="str">
        <f>MiscBanners!$I$4</f>
        <v>The gift that keeps on giving</v>
      </c>
      <c r="DF8" s="39" t="str">
        <f>MiscBanners!$J$4</f>
        <v>NULL</v>
      </c>
      <c r="DG8" s="91" t="str">
        <f>MiscBanners!$K$4</f>
        <v>Discover even more exclusive offers on your favorite products and unlock the power of smart and savvy gifting.</v>
      </c>
      <c r="DH8" s="39" t="str">
        <f>MiscBanners!$L$4</f>
        <v>Shop now</v>
      </c>
      <c r="DI8" s="39" t="str">
        <f>MiscBanners!$M$4</f>
        <v>https://www.samsung.com/us/gift-ideas/</v>
      </c>
      <c r="DJ8"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8" s="39" t="str">
        <f>MiscBanners!$O$4</f>
        <v>NULL</v>
      </c>
      <c r="DL8" s="39" t="str">
        <f>MiscBanners!$P$4</f>
        <v>NULL</v>
      </c>
      <c r="DM8" s="39" t="str">
        <f>MiscBanners!$Q$4</f>
        <v>NULL</v>
      </c>
      <c r="DN8" s="89" t="s">
        <v>273</v>
      </c>
      <c r="DR8" s="91"/>
      <c r="DY8" s="89" t="s">
        <v>481</v>
      </c>
      <c r="DZ8" s="39" t="s">
        <v>394</v>
      </c>
      <c r="EA8" s="39" t="s">
        <v>394</v>
      </c>
      <c r="EB8" s="39" t="s">
        <v>394</v>
      </c>
      <c r="EC8" s="91" t="s">
        <v>482</v>
      </c>
      <c r="ED8" s="39" t="s">
        <v>394</v>
      </c>
      <c r="EE8" s="39" t="s">
        <v>476</v>
      </c>
      <c r="EF8" s="39">
        <v>0</v>
      </c>
      <c r="EG8" s="39" t="s">
        <v>394</v>
      </c>
      <c r="EH8" s="39" t="s">
        <v>394</v>
      </c>
      <c r="EI8" s="39" t="s">
        <v>394</v>
      </c>
      <c r="EJ8" s="89" t="s">
        <v>439</v>
      </c>
      <c r="EK8" s="39" t="s">
        <v>394</v>
      </c>
      <c r="EL8" s="39" t="s">
        <v>394</v>
      </c>
      <c r="EM8" s="39" t="s">
        <v>394</v>
      </c>
      <c r="EN8" s="91" t="s">
        <v>483</v>
      </c>
      <c r="EO8" s="39" t="s">
        <v>394</v>
      </c>
      <c r="EP8" s="39" t="s">
        <v>476</v>
      </c>
      <c r="EQ8" s="39">
        <v>0</v>
      </c>
      <c r="ER8" s="39" t="s">
        <v>394</v>
      </c>
      <c r="ES8" s="39" t="s">
        <v>394</v>
      </c>
      <c r="ET8" s="39" t="s">
        <v>394</v>
      </c>
      <c r="EU8" s="89" t="s">
        <v>441</v>
      </c>
      <c r="EV8" s="39" t="s">
        <v>394</v>
      </c>
      <c r="EW8" s="39" t="s">
        <v>394</v>
      </c>
      <c r="EX8" s="39" t="s">
        <v>394</v>
      </c>
      <c r="EY8" s="91" t="s">
        <v>484</v>
      </c>
      <c r="EZ8" s="39" t="s">
        <v>394</v>
      </c>
      <c r="FA8" s="39" t="s">
        <v>476</v>
      </c>
      <c r="FB8" s="39">
        <v>0</v>
      </c>
      <c r="FC8" s="39" t="s">
        <v>394</v>
      </c>
      <c r="FD8" s="39" t="s">
        <v>394</v>
      </c>
      <c r="FE8" s="39" t="s">
        <v>394</v>
      </c>
      <c r="FF8" s="89" t="s">
        <v>477</v>
      </c>
      <c r="FG8" s="39" t="s">
        <v>394</v>
      </c>
      <c r="FH8" s="39" t="s">
        <v>394</v>
      </c>
      <c r="FI8" s="39" t="s">
        <v>394</v>
      </c>
      <c r="FJ8" s="91" t="s">
        <v>485</v>
      </c>
      <c r="FK8" s="39" t="s">
        <v>394</v>
      </c>
      <c r="FL8" s="39">
        <v>0</v>
      </c>
      <c r="FM8" s="39">
        <v>0</v>
      </c>
      <c r="FN8" s="39" t="s">
        <v>394</v>
      </c>
      <c r="FO8" s="39" t="s">
        <v>394</v>
      </c>
      <c r="FP8" s="39" t="s">
        <v>394</v>
      </c>
    </row>
    <row r="9" spans="1:172" s="39" customFormat="1" ht="99.95" customHeight="1" x14ac:dyDescent="0.25">
      <c r="A9" s="146" t="s">
        <v>235</v>
      </c>
      <c r="B9" s="39" t="s">
        <v>264</v>
      </c>
      <c r="C9" s="39" t="s">
        <v>237</v>
      </c>
      <c r="D9" s="39" t="s">
        <v>237</v>
      </c>
      <c r="E9" s="147" t="s">
        <v>0</v>
      </c>
      <c r="G9" s="88" t="s">
        <v>540</v>
      </c>
      <c r="H9" s="88" t="s">
        <v>539</v>
      </c>
      <c r="I9" s="89" t="s">
        <v>381</v>
      </c>
      <c r="J9" s="39" t="s">
        <v>394</v>
      </c>
      <c r="K9" s="39" t="s">
        <v>394</v>
      </c>
      <c r="L9" s="39" t="s">
        <v>394</v>
      </c>
      <c r="M9" s="39" t="s">
        <v>394</v>
      </c>
      <c r="N9" s="39" t="s">
        <v>394</v>
      </c>
      <c r="O9" s="39" t="s">
        <v>394</v>
      </c>
      <c r="P9" s="39" t="s">
        <v>394</v>
      </c>
      <c r="Q9" s="39" t="s">
        <v>394</v>
      </c>
      <c r="R9" s="39" t="s">
        <v>394</v>
      </c>
      <c r="S9" s="89" t="s">
        <v>407</v>
      </c>
      <c r="T9" s="39" t="str">
        <f>'Dynamic Banners'!$L$4</f>
        <v>Cyber-monday-1.png</v>
      </c>
      <c r="U9" s="39" t="str">
        <f>'Dynamic Banners'!$M$4</f>
        <v xml:space="preserve">The clock is ticking away for Cyber Monday </v>
      </c>
      <c r="V9" s="39" t="s">
        <v>394</v>
      </c>
      <c r="W9" s="39" t="str">
        <f>'Dynamic Banners'!$N$4</f>
        <v xml:space="preserve">Shop amazing offers on showstopping products while supplies last. </v>
      </c>
      <c r="X9" s="39" t="s">
        <v>394</v>
      </c>
      <c r="Y9" s="39" t="str">
        <f>[1]MiscBanners!$B$4</f>
        <v>https://www.samsung.com/us/shop/all-deals/</v>
      </c>
      <c r="Z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9" s="39" t="s">
        <v>394</v>
      </c>
      <c r="AB9" s="39" t="s">
        <v>394</v>
      </c>
      <c r="AC9" s="39" t="s">
        <v>394</v>
      </c>
      <c r="AD9" s="89" t="s">
        <v>408</v>
      </c>
      <c r="AE9" s="39" t="s">
        <v>394</v>
      </c>
      <c r="AF9" s="39" t="s">
        <v>394</v>
      </c>
      <c r="AG9" s="7" t="s">
        <v>559</v>
      </c>
      <c r="AH9" s="39" t="s">
        <v>561</v>
      </c>
      <c r="AI9" s="39" t="s">
        <v>394</v>
      </c>
      <c r="AJ9" s="39" t="str">
        <f>[1]MiscBanners!$B$4</f>
        <v>https://www.samsung.com/us/shop/all-deals/</v>
      </c>
      <c r="AK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9" s="39" t="s">
        <v>394</v>
      </c>
      <c r="AM9" s="39" t="s">
        <v>394</v>
      </c>
      <c r="AN9" s="39" t="s">
        <v>394</v>
      </c>
      <c r="AO9" s="89" t="s">
        <v>367</v>
      </c>
      <c r="AP9" s="39" t="str">
        <f>CCModuleCopy!$B$11</f>
        <v>ME_HeadImage_Wearables_500xV.jpg</v>
      </c>
      <c r="AQ9" s="39" t="str">
        <f>CCModuleCopy!$C$11</f>
        <v>Get up to $100 off select watches and earbuds</v>
      </c>
      <c r="AR9" s="39" t="str">
        <f>CCModuleCopy!$D$11</f>
        <v>NULL</v>
      </c>
      <c r="AS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9" s="39" t="str">
        <f>CCModuleCopy!$F$11</f>
        <v>Shop all</v>
      </c>
      <c r="AU9" s="39" t="str">
        <f>CCModuleCopy!$G$11</f>
        <v>https://www.samsung.com/us/shop/all-deals/watches-audio-accessories-deals/</v>
      </c>
      <c r="AV9"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W9" s="39" t="str">
        <f>CCModuleCopy!$I$11</f>
        <v>NULL</v>
      </c>
      <c r="AX9" s="39" t="str">
        <f>CCModuleCopy!$J$11</f>
        <v>NULL</v>
      </c>
      <c r="AY9" s="39" t="str">
        <f>CCModuleCopy!$K$11</f>
        <v>NULL</v>
      </c>
      <c r="AZ9" s="89" t="s">
        <v>267</v>
      </c>
      <c r="BA9" s="39" t="str">
        <f>CCModuleCopy!$B$3</f>
        <v>IM_HeadImage_Shop_Phones_500xV.jpg</v>
      </c>
      <c r="BB9" s="39" t="str">
        <f>CCModuleCopy!$C$3</f>
        <v>Save up to $1000 instantly on the latest and greatest Galaxy smartphones</v>
      </c>
      <c r="BC9" s="39" t="str">
        <f>CCModuleCopy!$D$3</f>
        <v>NULL</v>
      </c>
      <c r="BD9"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9" s="39" t="str">
        <f>CCModuleCopy!$F$3</f>
        <v>Shop all</v>
      </c>
      <c r="BF9" s="39" t="str">
        <f>CCModuleCopy!$G$3</f>
        <v>https://www.samsung.com/us/shop/all-deals/cell-phone-deals/</v>
      </c>
      <c r="BG9"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9" s="39" t="str">
        <f>CCModuleCopy!$I$3</f>
        <v>NULL</v>
      </c>
      <c r="BI9" s="39" t="str">
        <f>CCModuleCopy!$J$3</f>
        <v>NULL</v>
      </c>
      <c r="BJ9" s="39" t="str">
        <f>CCModuleCopy!$K$3</f>
        <v>NULL</v>
      </c>
      <c r="BK9" s="89" t="s">
        <v>265</v>
      </c>
      <c r="BL9" s="39" t="str">
        <f>CCModuleCopy!$B$7</f>
        <v>HE_HeadImage_Shop_TVs_500xV.jpg</v>
      </c>
      <c r="BM9" s="39" t="str">
        <f>CCModuleCopy!$C$7</f>
        <v>Get up to $3000 off select 8K, 4K and Lifestyle TVs</v>
      </c>
      <c r="BN9" s="39" t="str">
        <f>CCModuleCopy!$D$7</f>
        <v>NULL</v>
      </c>
      <c r="BO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9" s="39" t="str">
        <f>CCModuleCopy!$F$7</f>
        <v>Shop all</v>
      </c>
      <c r="BQ9" s="39" t="str">
        <f>CCModuleCopy!$G$7</f>
        <v>https://www.samsung.com/us/shop/all-deals/tv-and-home-theater-deals/</v>
      </c>
      <c r="BR9"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9" s="39" t="str">
        <f>CCModuleCopy!$I$7</f>
        <v>NULL</v>
      </c>
      <c r="BT9" s="39" t="str">
        <f>CCModuleCopy!$J$7</f>
        <v>NULL</v>
      </c>
      <c r="BU9" s="39" t="str">
        <f>CCModuleCopy!$K$7</f>
        <v>NULL</v>
      </c>
      <c r="BV9" s="89" t="s">
        <v>266</v>
      </c>
      <c r="BW9" s="39" t="str">
        <f>CCModuleCopy!$B$15</f>
        <v>Tablet-HeadImage-500xV.jpg</v>
      </c>
      <c r="BX9" s="39" t="str">
        <f>CCModuleCopy!$C$15</f>
        <v>Save up to $150 on select tablets</v>
      </c>
      <c r="BY9" s="39" t="str">
        <f>CCModuleCopy!$D$15</f>
        <v>NULL</v>
      </c>
      <c r="BZ9" s="39" t="str">
        <f>CCModuleCopy!$E$15</f>
        <v xml:space="preserve">Empower how you create, learn, game and more with our powerful line of tablets. Shop offers on must-have products from the new Galaxy Tab S7+ to the Galaxy Tab S6 Lite. </v>
      </c>
      <c r="CA9" s="39" t="str">
        <f>CCModuleCopy!$F$15</f>
        <v>Shop all</v>
      </c>
      <c r="CB9" s="39" t="str">
        <f>CCModuleCopy!$G$15</f>
        <v>https://www.samsung.com/us/shop/all-deals/tablets-laptops-computers-deals/</v>
      </c>
      <c r="CC9"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9" s="39" t="str">
        <f>CCModuleCopy!$I$15</f>
        <v>NULL</v>
      </c>
      <c r="CE9" s="39" t="str">
        <f>CCModuleCopy!$J$15</f>
        <v>NULL</v>
      </c>
      <c r="CF9" s="39" t="str">
        <f>CCModuleCopy!$K$15</f>
        <v>NULL</v>
      </c>
      <c r="CG9" s="89" t="s">
        <v>368</v>
      </c>
      <c r="CH9" s="39" t="str">
        <f>CCModuleCopy!$B$13</f>
        <v>CE_HeadImage_Computing_500xV.jpg</v>
      </c>
      <c r="CI9" s="39" t="str">
        <f>CCModuleCopy!$C$13</f>
        <v>Get up to 60% off memory cards, SSD, monitors and more</v>
      </c>
      <c r="CJ9" s="39" t="str">
        <f>CCModuleCopy!$D$13</f>
        <v>NULL</v>
      </c>
      <c r="CK9" s="39" t="str">
        <f>CCModuleCopy!$E$13</f>
        <v xml:space="preserve">Expand the way you play, store and create and get up to 30% off monitors, up to 60% off memory cards, up to 35% off SSD and more. Work and game smarter, not harder with these must-have computing offers. </v>
      </c>
      <c r="CL9" s="39" t="str">
        <f>CCModuleCopy!$F$13</f>
        <v>Shop all</v>
      </c>
      <c r="CM9" s="39" t="str">
        <f>CCModuleCopy!$G$13</f>
        <v>https://www.samsung.com/us/shop/all-deals/tablets-laptops-computers-deals/</v>
      </c>
      <c r="CN9"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9" s="39" t="str">
        <f>CCModuleCopy!$I$13</f>
        <v>NULL</v>
      </c>
      <c r="CP9" s="39" t="str">
        <f>CCModuleCopy!$J$13</f>
        <v>NULL</v>
      </c>
      <c r="CQ9" s="39" t="str">
        <f>CCModuleCopy!$K$13</f>
        <v>NULL</v>
      </c>
      <c r="CR9" s="89" t="s">
        <v>279</v>
      </c>
      <c r="CS9" s="39" t="str">
        <f>CCModuleCopy!$B$9</f>
        <v>HA_HeadImage_Shop_HA_500xV.jpg</v>
      </c>
      <c r="CT9" s="39" t="str">
        <f>CCModuleCopy!$C$9</f>
        <v>Save up to 50% on everything you need to upgrade your home and home care</v>
      </c>
      <c r="CU9" s="39" t="str">
        <f>CCModuleCopy!$D$9</f>
        <v>NULL</v>
      </c>
      <c r="CV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9" s="39" t="str">
        <f>CCModuleCopy!$F$9</f>
        <v>Shop all</v>
      </c>
      <c r="CX9" s="39" t="str">
        <f>CCModuleCopy!$G$9</f>
        <v>https://www.samsung.com/us/shop/all-deals/home-appliance-and-smart-home-sales/</v>
      </c>
      <c r="CY9"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9" s="39" t="str">
        <f>CCModuleCopy!$I$9</f>
        <v>NULL</v>
      </c>
      <c r="DA9" s="39" t="str">
        <f>CCModuleCopy!$J$9</f>
        <v>NULL</v>
      </c>
      <c r="DB9" s="39" t="str">
        <f>CCModuleCopy!$K$9</f>
        <v>NULL</v>
      </c>
      <c r="DC9" s="89" t="s">
        <v>280</v>
      </c>
      <c r="DD9" s="39" t="str">
        <f>MiscBanners!$H$4</f>
        <v>Give-wonder-500xV.jpg</v>
      </c>
      <c r="DE9" s="39" t="str">
        <f>MiscBanners!$I$4</f>
        <v>The gift that keeps on giving</v>
      </c>
      <c r="DF9" s="39" t="str">
        <f>MiscBanners!$J$4</f>
        <v>NULL</v>
      </c>
      <c r="DG9" s="91" t="str">
        <f>MiscBanners!$K$4</f>
        <v>Discover even more exclusive offers on your favorite products and unlock the power of smart and savvy gifting.</v>
      </c>
      <c r="DH9" s="39" t="str">
        <f>MiscBanners!$L$4</f>
        <v>Shop now</v>
      </c>
      <c r="DI9" s="39" t="str">
        <f>MiscBanners!$M$4</f>
        <v>https://www.samsung.com/us/gift-ideas/</v>
      </c>
      <c r="DJ9"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9" s="39" t="str">
        <f>MiscBanners!$O$4</f>
        <v>NULL</v>
      </c>
      <c r="DL9" s="39" t="str">
        <f>MiscBanners!$P$4</f>
        <v>NULL</v>
      </c>
      <c r="DM9" s="39" t="str">
        <f>MiscBanners!$Q$4</f>
        <v>NULL</v>
      </c>
      <c r="DN9" s="89" t="s">
        <v>273</v>
      </c>
      <c r="DR9" s="91"/>
      <c r="DY9" s="89" t="s">
        <v>481</v>
      </c>
      <c r="DZ9" s="39" t="s">
        <v>394</v>
      </c>
      <c r="EA9" s="39" t="s">
        <v>394</v>
      </c>
      <c r="EB9" s="39" t="s">
        <v>394</v>
      </c>
      <c r="EC9" s="91" t="s">
        <v>482</v>
      </c>
      <c r="ED9" s="39" t="s">
        <v>394</v>
      </c>
      <c r="EE9" s="39" t="s">
        <v>476</v>
      </c>
      <c r="EF9" s="39">
        <v>0</v>
      </c>
      <c r="EG9" s="39" t="s">
        <v>394</v>
      </c>
      <c r="EH9" s="39" t="s">
        <v>394</v>
      </c>
      <c r="EI9" s="39" t="s">
        <v>394</v>
      </c>
      <c r="EJ9" s="89" t="s">
        <v>439</v>
      </c>
      <c r="EK9" s="39" t="s">
        <v>394</v>
      </c>
      <c r="EL9" s="39" t="s">
        <v>394</v>
      </c>
      <c r="EM9" s="39" t="s">
        <v>394</v>
      </c>
      <c r="EN9" s="91" t="s">
        <v>483</v>
      </c>
      <c r="EO9" s="39" t="s">
        <v>394</v>
      </c>
      <c r="EP9" s="39" t="s">
        <v>476</v>
      </c>
      <c r="EQ9" s="39">
        <v>0</v>
      </c>
      <c r="ER9" s="39" t="s">
        <v>394</v>
      </c>
      <c r="ES9" s="39" t="s">
        <v>394</v>
      </c>
      <c r="ET9" s="39" t="s">
        <v>394</v>
      </c>
      <c r="EU9" s="89" t="s">
        <v>441</v>
      </c>
      <c r="EV9" s="39" t="s">
        <v>394</v>
      </c>
      <c r="EW9" s="39" t="s">
        <v>394</v>
      </c>
      <c r="EX9" s="39" t="s">
        <v>394</v>
      </c>
      <c r="EY9" s="91" t="s">
        <v>484</v>
      </c>
      <c r="EZ9" s="39" t="s">
        <v>394</v>
      </c>
      <c r="FA9" s="39" t="s">
        <v>476</v>
      </c>
      <c r="FB9" s="39">
        <v>0</v>
      </c>
      <c r="FC9" s="39" t="s">
        <v>394</v>
      </c>
      <c r="FD9" s="39" t="s">
        <v>394</v>
      </c>
      <c r="FE9" s="39" t="s">
        <v>394</v>
      </c>
      <c r="FF9" s="89" t="s">
        <v>477</v>
      </c>
      <c r="FG9" s="39" t="s">
        <v>394</v>
      </c>
      <c r="FH9" s="39" t="s">
        <v>394</v>
      </c>
      <c r="FI9" s="39" t="s">
        <v>394</v>
      </c>
      <c r="FJ9" s="91" t="s">
        <v>485</v>
      </c>
      <c r="FK9" s="39" t="s">
        <v>394</v>
      </c>
      <c r="FL9" s="39">
        <v>0</v>
      </c>
      <c r="FM9" s="39">
        <v>0</v>
      </c>
      <c r="FN9" s="39" t="s">
        <v>394</v>
      </c>
      <c r="FO9" s="39" t="s">
        <v>394</v>
      </c>
      <c r="FP9" s="39" t="s">
        <v>394</v>
      </c>
    </row>
    <row r="10" spans="1:172" s="39" customFormat="1" ht="99.95" customHeight="1" x14ac:dyDescent="0.25">
      <c r="A10" s="146" t="s">
        <v>235</v>
      </c>
      <c r="B10" s="39" t="s">
        <v>361</v>
      </c>
      <c r="C10" s="39" t="s">
        <v>237</v>
      </c>
      <c r="D10" s="39" t="s">
        <v>237</v>
      </c>
      <c r="E10" s="147" t="s">
        <v>0</v>
      </c>
      <c r="G10" s="88" t="s">
        <v>540</v>
      </c>
      <c r="H10" s="88" t="s">
        <v>539</v>
      </c>
      <c r="I10" s="89" t="s">
        <v>381</v>
      </c>
      <c r="J10" s="39" t="s">
        <v>394</v>
      </c>
      <c r="K10" s="39" t="s">
        <v>394</v>
      </c>
      <c r="L10" s="39" t="s">
        <v>394</v>
      </c>
      <c r="M10" s="39" t="s">
        <v>394</v>
      </c>
      <c r="N10" s="39" t="s">
        <v>394</v>
      </c>
      <c r="O10" s="39" t="s">
        <v>394</v>
      </c>
      <c r="P10" s="39" t="s">
        <v>394</v>
      </c>
      <c r="Q10" s="39" t="s">
        <v>394</v>
      </c>
      <c r="R10" s="39" t="s">
        <v>394</v>
      </c>
      <c r="S10" s="89" t="s">
        <v>407</v>
      </c>
      <c r="T10" s="39" t="str">
        <f>'Dynamic Banners'!$L$4</f>
        <v>Cyber-monday-1.png</v>
      </c>
      <c r="U10" s="39" t="str">
        <f>'Dynamic Banners'!$M$4</f>
        <v xml:space="preserve">The clock is ticking away for Cyber Monday </v>
      </c>
      <c r="V10" s="39" t="s">
        <v>394</v>
      </c>
      <c r="W10" s="39" t="str">
        <f>'Dynamic Banners'!$N$4</f>
        <v xml:space="preserve">Shop amazing offers on showstopping products while supplies last. </v>
      </c>
      <c r="X10" s="39" t="s">
        <v>394</v>
      </c>
      <c r="Y10" s="39" t="str">
        <f>[1]MiscBanners!$B$4</f>
        <v>https://www.samsung.com/us/shop/all-deals/</v>
      </c>
      <c r="Z1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0" s="39" t="s">
        <v>394</v>
      </c>
      <c r="AB10" s="39" t="s">
        <v>394</v>
      </c>
      <c r="AC10" s="39" t="s">
        <v>394</v>
      </c>
      <c r="AD10" s="89" t="s">
        <v>408</v>
      </c>
      <c r="AE10" s="39" t="s">
        <v>394</v>
      </c>
      <c r="AF10" s="39" t="s">
        <v>394</v>
      </c>
      <c r="AG10" s="7" t="s">
        <v>559</v>
      </c>
      <c r="AH10" s="39" t="s">
        <v>561</v>
      </c>
      <c r="AI10" s="39" t="s">
        <v>394</v>
      </c>
      <c r="AJ10" s="39" t="str">
        <f>[1]MiscBanners!$B$4</f>
        <v>https://www.samsung.com/us/shop/all-deals/</v>
      </c>
      <c r="AK1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0" s="39" t="s">
        <v>394</v>
      </c>
      <c r="AM10" s="39" t="s">
        <v>394</v>
      </c>
      <c r="AN10" s="39" t="s">
        <v>394</v>
      </c>
      <c r="AO10" s="89" t="s">
        <v>368</v>
      </c>
      <c r="AP10" s="39" t="str">
        <f>CCModuleCopy!$B$13</f>
        <v>CE_HeadImage_Computing_500xV.jpg</v>
      </c>
      <c r="AQ10" s="39" t="str">
        <f>CCModuleCopy!$C$13</f>
        <v>Get up to 60% off memory cards, SSD, monitors and more</v>
      </c>
      <c r="AR10" s="39" t="str">
        <f>CCModuleCopy!$D$13</f>
        <v>NULL</v>
      </c>
      <c r="AS10" s="39" t="str">
        <f>CCModuleCopy!$E$13</f>
        <v xml:space="preserve">Expand the way you play, store and create and get up to 30% off monitors, up to 60% off memory cards, up to 35% off SSD and more. Work and game smarter, not harder with these must-have computing offers. </v>
      </c>
      <c r="AT10" s="39" t="str">
        <f>CCModuleCopy!$F$13</f>
        <v>Shop all</v>
      </c>
      <c r="AU10" s="39" t="str">
        <f>CCModuleCopy!$G$13</f>
        <v>https://www.samsung.com/us/shop/all-deals/tablets-laptops-computers-deals/</v>
      </c>
      <c r="AV10"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W10" s="39" t="str">
        <f>CCModuleCopy!$I$13</f>
        <v>NULL</v>
      </c>
      <c r="AX10" s="39" t="str">
        <f>CCModuleCopy!$J$13</f>
        <v>NULL</v>
      </c>
      <c r="AY10" s="39" t="str">
        <f>CCModuleCopy!$K$13</f>
        <v>NULL</v>
      </c>
      <c r="AZ10" s="89" t="s">
        <v>267</v>
      </c>
      <c r="BA10" s="39" t="str">
        <f>CCModuleCopy!$B$3</f>
        <v>IM_HeadImage_Shop_Phones_500xV.jpg</v>
      </c>
      <c r="BB10" s="39" t="str">
        <f>CCModuleCopy!$C$3</f>
        <v>Save up to $1000 instantly on the latest and greatest Galaxy smartphones</v>
      </c>
      <c r="BC10" s="39" t="str">
        <f>CCModuleCopy!$D$3</f>
        <v>NULL</v>
      </c>
      <c r="BD10"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0" s="39" t="str">
        <f>CCModuleCopy!$F$3</f>
        <v>Shop all</v>
      </c>
      <c r="BF10" s="39" t="str">
        <f>CCModuleCopy!$G$3</f>
        <v>https://www.samsung.com/us/shop/all-deals/cell-phone-deals/</v>
      </c>
      <c r="BG10"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0" s="39" t="str">
        <f>CCModuleCopy!$I$3</f>
        <v>NULL</v>
      </c>
      <c r="BI10" s="39" t="str">
        <f>CCModuleCopy!$J$3</f>
        <v>NULL</v>
      </c>
      <c r="BJ10" s="39" t="str">
        <f>CCModuleCopy!$K$3</f>
        <v>NULL</v>
      </c>
      <c r="BK10" s="89" t="s">
        <v>265</v>
      </c>
      <c r="BL10" s="39" t="str">
        <f>CCModuleCopy!$B$7</f>
        <v>HE_HeadImage_Shop_TVs_500xV.jpg</v>
      </c>
      <c r="BM10" s="39" t="str">
        <f>CCModuleCopy!$C$7</f>
        <v>Get up to $3000 off select 8K, 4K and Lifestyle TVs</v>
      </c>
      <c r="BN10" s="39" t="str">
        <f>CCModuleCopy!$D$7</f>
        <v>NULL</v>
      </c>
      <c r="BO10"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0" s="39" t="str">
        <f>CCModuleCopy!$F$7</f>
        <v>Shop all</v>
      </c>
      <c r="BQ10" s="39" t="str">
        <f>CCModuleCopy!$G$7</f>
        <v>https://www.samsung.com/us/shop/all-deals/tv-and-home-theater-deals/</v>
      </c>
      <c r="BR10"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10" s="39" t="str">
        <f>CCModuleCopy!$I$7</f>
        <v>NULL</v>
      </c>
      <c r="BT10" s="39" t="str">
        <f>CCModuleCopy!$J$7</f>
        <v>NULL</v>
      </c>
      <c r="BU10" s="39" t="str">
        <f>CCModuleCopy!$K$7</f>
        <v>NULL</v>
      </c>
      <c r="BV10" s="89" t="s">
        <v>266</v>
      </c>
      <c r="BW10" s="39" t="str">
        <f>CCModuleCopy!$B$15</f>
        <v>Tablet-HeadImage-500xV.jpg</v>
      </c>
      <c r="BX10" s="39" t="str">
        <f>CCModuleCopy!$C$15</f>
        <v>Save up to $150 on select tablets</v>
      </c>
      <c r="BY10" s="39" t="str">
        <f>CCModuleCopy!$D$15</f>
        <v>NULL</v>
      </c>
      <c r="BZ10" s="39" t="str">
        <f>CCModuleCopy!$E$15</f>
        <v xml:space="preserve">Empower how you create, learn, game and more with our powerful line of tablets. Shop offers on must-have products from the new Galaxy Tab S7+ to the Galaxy Tab S6 Lite. </v>
      </c>
      <c r="CA10" s="39" t="str">
        <f>CCModuleCopy!$F$15</f>
        <v>Shop all</v>
      </c>
      <c r="CB10" s="39" t="str">
        <f>CCModuleCopy!$G$15</f>
        <v>https://www.samsung.com/us/shop/all-deals/tablets-laptops-computers-deals/</v>
      </c>
      <c r="CC10"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10" s="39" t="str">
        <f>CCModuleCopy!$I$15</f>
        <v>NULL</v>
      </c>
      <c r="CE10" s="39" t="str">
        <f>CCModuleCopy!$J$15</f>
        <v>NULL</v>
      </c>
      <c r="CF10" s="39" t="str">
        <f>CCModuleCopy!$K$15</f>
        <v>NULL</v>
      </c>
      <c r="CG10" s="89" t="s">
        <v>367</v>
      </c>
      <c r="CH10" s="39" t="str">
        <f>CCModuleCopy!$B$11</f>
        <v>ME_HeadImage_Wearables_500xV.jpg</v>
      </c>
      <c r="CI10" s="39" t="str">
        <f>CCModuleCopy!$C$11</f>
        <v>Get up to $100 off select watches and earbuds</v>
      </c>
      <c r="CJ10" s="39" t="str">
        <f>CCModuleCopy!$D$11</f>
        <v>NULL</v>
      </c>
      <c r="CK10"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0" s="39" t="str">
        <f>CCModuleCopy!$F$11</f>
        <v>Shop all</v>
      </c>
      <c r="CM10" s="39" t="str">
        <f>CCModuleCopy!$G$11</f>
        <v>https://www.samsung.com/us/shop/all-deals/watches-audio-accessories-deals/</v>
      </c>
      <c r="CN10"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10" s="39" t="str">
        <f>CCModuleCopy!$I$11</f>
        <v>NULL</v>
      </c>
      <c r="CP10" s="39" t="str">
        <f>CCModuleCopy!$J$11</f>
        <v>NULL</v>
      </c>
      <c r="CQ10" s="39" t="str">
        <f>CCModuleCopy!$K$11</f>
        <v>NULL</v>
      </c>
      <c r="CR10" s="89" t="s">
        <v>279</v>
      </c>
      <c r="CS10" s="39" t="str">
        <f>CCModuleCopy!$B$9</f>
        <v>HA_HeadImage_Shop_HA_500xV.jpg</v>
      </c>
      <c r="CT10" s="39" t="str">
        <f>CCModuleCopy!$C$9</f>
        <v>Save up to 50% on everything you need to upgrade your home and home care</v>
      </c>
      <c r="CU10" s="39" t="str">
        <f>CCModuleCopy!$D$9</f>
        <v>NULL</v>
      </c>
      <c r="CV10"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0" s="39" t="str">
        <f>CCModuleCopy!$F$9</f>
        <v>Shop all</v>
      </c>
      <c r="CX10" s="39" t="str">
        <f>CCModuleCopy!$G$9</f>
        <v>https://www.samsung.com/us/shop/all-deals/home-appliance-and-smart-home-sales/</v>
      </c>
      <c r="CY10"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0" s="39" t="str">
        <f>CCModuleCopy!$I$9</f>
        <v>NULL</v>
      </c>
      <c r="DA10" s="39" t="str">
        <f>CCModuleCopy!$J$9</f>
        <v>NULL</v>
      </c>
      <c r="DB10" s="39" t="str">
        <f>CCModuleCopy!$K$9</f>
        <v>NULL</v>
      </c>
      <c r="DC10" s="89" t="s">
        <v>280</v>
      </c>
      <c r="DD10" s="39" t="str">
        <f>MiscBanners!$H$4</f>
        <v>Give-wonder-500xV.jpg</v>
      </c>
      <c r="DE10" s="39" t="str">
        <f>MiscBanners!$I$4</f>
        <v>The gift that keeps on giving</v>
      </c>
      <c r="DF10" s="39" t="str">
        <f>MiscBanners!$J$4</f>
        <v>NULL</v>
      </c>
      <c r="DG10" s="91" t="str">
        <f>MiscBanners!$K$4</f>
        <v>Discover even more exclusive offers on your favorite products and unlock the power of smart and savvy gifting.</v>
      </c>
      <c r="DH10" s="39" t="str">
        <f>MiscBanners!$L$4</f>
        <v>Shop now</v>
      </c>
      <c r="DI10" s="39" t="str">
        <f>MiscBanners!$M$4</f>
        <v>https://www.samsung.com/us/gift-ideas/</v>
      </c>
      <c r="DJ10"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0" s="39" t="str">
        <f>MiscBanners!$O$4</f>
        <v>NULL</v>
      </c>
      <c r="DL10" s="39" t="str">
        <f>MiscBanners!$P$4</f>
        <v>NULL</v>
      </c>
      <c r="DM10" s="39" t="str">
        <f>MiscBanners!$Q$4</f>
        <v>NULL</v>
      </c>
      <c r="DN10" s="89" t="s">
        <v>273</v>
      </c>
      <c r="DR10" s="91"/>
      <c r="DY10" s="89" t="s">
        <v>481</v>
      </c>
      <c r="DZ10" s="39" t="s">
        <v>394</v>
      </c>
      <c r="EA10" s="39" t="s">
        <v>394</v>
      </c>
      <c r="EB10" s="39" t="s">
        <v>394</v>
      </c>
      <c r="EC10" s="91" t="s">
        <v>482</v>
      </c>
      <c r="ED10" s="39" t="s">
        <v>394</v>
      </c>
      <c r="EE10" s="39" t="s">
        <v>476</v>
      </c>
      <c r="EF10" s="39">
        <v>0</v>
      </c>
      <c r="EG10" s="39" t="s">
        <v>394</v>
      </c>
      <c r="EH10" s="39" t="s">
        <v>394</v>
      </c>
      <c r="EI10" s="39" t="s">
        <v>394</v>
      </c>
      <c r="EJ10" s="89" t="s">
        <v>439</v>
      </c>
      <c r="EK10" s="39" t="s">
        <v>394</v>
      </c>
      <c r="EL10" s="39" t="s">
        <v>394</v>
      </c>
      <c r="EM10" s="39" t="s">
        <v>394</v>
      </c>
      <c r="EN10" s="91" t="s">
        <v>483</v>
      </c>
      <c r="EO10" s="39" t="s">
        <v>394</v>
      </c>
      <c r="EP10" s="39" t="s">
        <v>476</v>
      </c>
      <c r="EQ10" s="39">
        <v>0</v>
      </c>
      <c r="ER10" s="39" t="s">
        <v>394</v>
      </c>
      <c r="ES10" s="39" t="s">
        <v>394</v>
      </c>
      <c r="ET10" s="39" t="s">
        <v>394</v>
      </c>
      <c r="EU10" s="89" t="s">
        <v>441</v>
      </c>
      <c r="EV10" s="39" t="s">
        <v>394</v>
      </c>
      <c r="EW10" s="39" t="s">
        <v>394</v>
      </c>
      <c r="EX10" s="39" t="s">
        <v>394</v>
      </c>
      <c r="EY10" s="91" t="s">
        <v>484</v>
      </c>
      <c r="EZ10" s="39" t="s">
        <v>394</v>
      </c>
      <c r="FA10" s="39" t="s">
        <v>476</v>
      </c>
      <c r="FB10" s="39">
        <v>0</v>
      </c>
      <c r="FC10" s="39" t="s">
        <v>394</v>
      </c>
      <c r="FD10" s="39" t="s">
        <v>394</v>
      </c>
      <c r="FE10" s="39" t="s">
        <v>394</v>
      </c>
      <c r="FF10" s="89" t="s">
        <v>477</v>
      </c>
      <c r="FG10" s="39" t="s">
        <v>394</v>
      </c>
      <c r="FH10" s="39" t="s">
        <v>394</v>
      </c>
      <c r="FI10" s="39" t="s">
        <v>394</v>
      </c>
      <c r="FJ10" s="91" t="s">
        <v>485</v>
      </c>
      <c r="FK10" s="39" t="s">
        <v>394</v>
      </c>
      <c r="FL10" s="39">
        <v>0</v>
      </c>
      <c r="FM10" s="39">
        <v>0</v>
      </c>
      <c r="FN10" s="39" t="s">
        <v>394</v>
      </c>
      <c r="FO10" s="39" t="s">
        <v>394</v>
      </c>
      <c r="FP10" s="39" t="s">
        <v>394</v>
      </c>
    </row>
    <row r="11" spans="1:172" s="39" customFormat="1" ht="99.95" customHeight="1" x14ac:dyDescent="0.25">
      <c r="A11" s="146" t="s">
        <v>235</v>
      </c>
      <c r="B11" s="39" t="s">
        <v>369</v>
      </c>
      <c r="C11" s="39" t="s">
        <v>237</v>
      </c>
      <c r="D11" s="39" t="s">
        <v>237</v>
      </c>
      <c r="E11" s="147" t="s">
        <v>0</v>
      </c>
      <c r="G11" s="88" t="s">
        <v>540</v>
      </c>
      <c r="H11" s="88" t="s">
        <v>539</v>
      </c>
      <c r="I11" s="89" t="s">
        <v>381</v>
      </c>
      <c r="J11" s="39" t="s">
        <v>394</v>
      </c>
      <c r="K11" s="39" t="s">
        <v>394</v>
      </c>
      <c r="L11" s="39" t="s">
        <v>394</v>
      </c>
      <c r="M11" s="39" t="s">
        <v>394</v>
      </c>
      <c r="N11" s="39" t="s">
        <v>394</v>
      </c>
      <c r="O11" s="39" t="s">
        <v>394</v>
      </c>
      <c r="P11" s="39" t="s">
        <v>394</v>
      </c>
      <c r="Q11" s="39" t="s">
        <v>394</v>
      </c>
      <c r="R11" s="39" t="s">
        <v>394</v>
      </c>
      <c r="S11" s="89" t="s">
        <v>407</v>
      </c>
      <c r="T11" s="39" t="str">
        <f>'Dynamic Banners'!$L$4</f>
        <v>Cyber-monday-1.png</v>
      </c>
      <c r="U11" s="39" t="str">
        <f>'Dynamic Banners'!$M$4</f>
        <v xml:space="preserve">The clock is ticking away for Cyber Monday </v>
      </c>
      <c r="V11" s="39" t="s">
        <v>394</v>
      </c>
      <c r="W11" s="39" t="str">
        <f>'Dynamic Banners'!$N$4</f>
        <v xml:space="preserve">Shop amazing offers on showstopping products while supplies last. </v>
      </c>
      <c r="X11" s="39" t="s">
        <v>394</v>
      </c>
      <c r="Y11" s="39" t="str">
        <f>[1]MiscBanners!$B$4</f>
        <v>https://www.samsung.com/us/shop/all-deals/</v>
      </c>
      <c r="Z1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1" s="39" t="s">
        <v>394</v>
      </c>
      <c r="AB11" s="39" t="s">
        <v>394</v>
      </c>
      <c r="AC11" s="39" t="s">
        <v>394</v>
      </c>
      <c r="AD11" s="89" t="s">
        <v>408</v>
      </c>
      <c r="AE11" s="39" t="s">
        <v>394</v>
      </c>
      <c r="AF11" s="39" t="s">
        <v>394</v>
      </c>
      <c r="AG11" s="7" t="s">
        <v>559</v>
      </c>
      <c r="AH11" s="39" t="s">
        <v>561</v>
      </c>
      <c r="AI11" s="39" t="s">
        <v>394</v>
      </c>
      <c r="AJ11" s="39" t="str">
        <f>[1]MiscBanners!$B$4</f>
        <v>https://www.samsung.com/us/shop/all-deals/</v>
      </c>
      <c r="AK1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1" s="39" t="s">
        <v>394</v>
      </c>
      <c r="AM11" s="39" t="s">
        <v>394</v>
      </c>
      <c r="AN11" s="39" t="s">
        <v>394</v>
      </c>
      <c r="AO11" s="89" t="s">
        <v>279</v>
      </c>
      <c r="AP11" s="39" t="str">
        <f>CCModuleCopy!$B$9</f>
        <v>HA_HeadImage_Shop_HA_500xV.jpg</v>
      </c>
      <c r="AQ11" s="39" t="str">
        <f>CCModuleCopy!$C$9</f>
        <v>Save up to 50% on everything you need to upgrade your home and home care</v>
      </c>
      <c r="AR11" s="39" t="str">
        <f>CCModuleCopy!$D$9</f>
        <v>NULL</v>
      </c>
      <c r="AS11"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11" s="39" t="str">
        <f>CCModuleCopy!$F$9</f>
        <v>Shop all</v>
      </c>
      <c r="AU11" s="39" t="str">
        <f>CCModuleCopy!$G$9</f>
        <v>https://www.samsung.com/us/shop/all-deals/home-appliance-and-smart-home-sales/</v>
      </c>
      <c r="AV11"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AW11" s="39" t="str">
        <f>CCModuleCopy!$I$9</f>
        <v>NULL</v>
      </c>
      <c r="AX11" s="39" t="str">
        <f>CCModuleCopy!$J$9</f>
        <v>NULL</v>
      </c>
      <c r="AY11" s="39" t="str">
        <f>CCModuleCopy!$K$9</f>
        <v>NULL</v>
      </c>
      <c r="AZ11" s="89" t="s">
        <v>267</v>
      </c>
      <c r="BA11" s="39" t="str">
        <f>CCModuleCopy!$B$3</f>
        <v>IM_HeadImage_Shop_Phones_500xV.jpg</v>
      </c>
      <c r="BB11" s="39" t="str">
        <f>CCModuleCopy!$C$3</f>
        <v>Save up to $1000 instantly on the latest and greatest Galaxy smartphones</v>
      </c>
      <c r="BC11" s="39" t="str">
        <f>CCModuleCopy!$D$3</f>
        <v>NULL</v>
      </c>
      <c r="BD11"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1" s="39" t="str">
        <f>CCModuleCopy!$F$3</f>
        <v>Shop all</v>
      </c>
      <c r="BF11" s="39" t="str">
        <f>CCModuleCopy!$G$3</f>
        <v>https://www.samsung.com/us/shop/all-deals/cell-phone-deals/</v>
      </c>
      <c r="BG11"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1" s="39" t="str">
        <f>CCModuleCopy!$I$3</f>
        <v>NULL</v>
      </c>
      <c r="BI11" s="39" t="str">
        <f>CCModuleCopy!$J$3</f>
        <v>NULL</v>
      </c>
      <c r="BJ11" s="39" t="str">
        <f>CCModuleCopy!$K$3</f>
        <v>NULL</v>
      </c>
      <c r="BK11" s="89" t="s">
        <v>265</v>
      </c>
      <c r="BL11" s="39" t="str">
        <f>CCModuleCopy!$B$7</f>
        <v>HE_HeadImage_Shop_TVs_500xV.jpg</v>
      </c>
      <c r="BM11" s="39" t="str">
        <f>CCModuleCopy!$C$7</f>
        <v>Get up to $3000 off select 8K, 4K and Lifestyle TVs</v>
      </c>
      <c r="BN11" s="39" t="str">
        <f>CCModuleCopy!$D$7</f>
        <v>NULL</v>
      </c>
      <c r="BO11"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1" s="39" t="str">
        <f>CCModuleCopy!$F$7</f>
        <v>Shop all</v>
      </c>
      <c r="BQ11" s="39" t="str">
        <f>CCModuleCopy!$G$7</f>
        <v>https://www.samsung.com/us/shop/all-deals/tv-and-home-theater-deals/</v>
      </c>
      <c r="BR11"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11" s="39" t="str">
        <f>CCModuleCopy!$I$7</f>
        <v>NULL</v>
      </c>
      <c r="BT11" s="39" t="str">
        <f>CCModuleCopy!$J$7</f>
        <v>NULL</v>
      </c>
      <c r="BU11" s="39" t="str">
        <f>CCModuleCopy!$K$7</f>
        <v>NULL</v>
      </c>
      <c r="BV11" s="89" t="s">
        <v>266</v>
      </c>
      <c r="BW11" s="39" t="str">
        <f>CCModuleCopy!$B$15</f>
        <v>Tablet-HeadImage-500xV.jpg</v>
      </c>
      <c r="BX11" s="39" t="str">
        <f>CCModuleCopy!$C$15</f>
        <v>Save up to $150 on select tablets</v>
      </c>
      <c r="BY11" s="39" t="str">
        <f>CCModuleCopy!$D$15</f>
        <v>NULL</v>
      </c>
      <c r="BZ11" s="39" t="str">
        <f>CCModuleCopy!$E$15</f>
        <v xml:space="preserve">Empower how you create, learn, game and more with our powerful line of tablets. Shop offers on must-have products from the new Galaxy Tab S7+ to the Galaxy Tab S6 Lite. </v>
      </c>
      <c r="CA11" s="39" t="str">
        <f>CCModuleCopy!$F$15</f>
        <v>Shop all</v>
      </c>
      <c r="CB11" s="39" t="str">
        <f>CCModuleCopy!$G$15</f>
        <v>https://www.samsung.com/us/shop/all-deals/tablets-laptops-computers-deals/</v>
      </c>
      <c r="CC11"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11" s="39" t="str">
        <f>CCModuleCopy!$I$15</f>
        <v>NULL</v>
      </c>
      <c r="CE11" s="39" t="str">
        <f>CCModuleCopy!$J$15</f>
        <v>NULL</v>
      </c>
      <c r="CF11" s="39" t="str">
        <f>CCModuleCopy!$K$15</f>
        <v>NULL</v>
      </c>
      <c r="CG11" s="89" t="s">
        <v>367</v>
      </c>
      <c r="CH11" s="39" t="str">
        <f>CCModuleCopy!$B$11</f>
        <v>ME_HeadImage_Wearables_500xV.jpg</v>
      </c>
      <c r="CI11" s="39" t="str">
        <f>CCModuleCopy!$C$11</f>
        <v>Get up to $100 off select watches and earbuds</v>
      </c>
      <c r="CJ11" s="39" t="str">
        <f>CCModuleCopy!$D$11</f>
        <v>NULL</v>
      </c>
      <c r="CK11"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1" s="39" t="str">
        <f>CCModuleCopy!$F$11</f>
        <v>Shop all</v>
      </c>
      <c r="CM11" s="39" t="str">
        <f>CCModuleCopy!$G$11</f>
        <v>https://www.samsung.com/us/shop/all-deals/watches-audio-accessories-deals/</v>
      </c>
      <c r="CN11"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11" s="39" t="str">
        <f>CCModuleCopy!$I$11</f>
        <v>NULL</v>
      </c>
      <c r="CP11" s="39" t="str">
        <f>CCModuleCopy!$J$11</f>
        <v>NULL</v>
      </c>
      <c r="CQ11" s="39" t="str">
        <f>CCModuleCopy!$K$11</f>
        <v>NULL</v>
      </c>
      <c r="CR11" s="89" t="s">
        <v>368</v>
      </c>
      <c r="CS11" s="39" t="str">
        <f>CCModuleCopy!$B$13</f>
        <v>CE_HeadImage_Computing_500xV.jpg</v>
      </c>
      <c r="CT11" s="39" t="str">
        <f>CCModuleCopy!$C$13</f>
        <v>Get up to 60% off memory cards, SSD, monitors and more</v>
      </c>
      <c r="CU11" s="39" t="str">
        <f>CCModuleCopy!$D$13</f>
        <v>NULL</v>
      </c>
      <c r="CV11" s="39" t="str">
        <f>CCModuleCopy!$E$13</f>
        <v xml:space="preserve">Expand the way you play, store and create and get up to 30% off monitors, up to 60% off memory cards, up to 35% off SSD and more. Work and game smarter, not harder with these must-have computing offers. </v>
      </c>
      <c r="CW11" s="39" t="str">
        <f>CCModuleCopy!$F$13</f>
        <v>Shop all</v>
      </c>
      <c r="CX11" s="39" t="str">
        <f>CCModuleCopy!$G$13</f>
        <v>https://www.samsung.com/us/shop/all-deals/tablets-laptops-computers-deals/</v>
      </c>
      <c r="CY11"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Z11" s="39" t="str">
        <f>CCModuleCopy!$I$13</f>
        <v>NULL</v>
      </c>
      <c r="DA11" s="39" t="str">
        <f>CCModuleCopy!$J$13</f>
        <v>NULL</v>
      </c>
      <c r="DB11" s="39" t="str">
        <f>CCModuleCopy!$K$13</f>
        <v>NULL</v>
      </c>
      <c r="DC11" s="89" t="s">
        <v>280</v>
      </c>
      <c r="DD11" s="39" t="str">
        <f>MiscBanners!$H$4</f>
        <v>Give-wonder-500xV.jpg</v>
      </c>
      <c r="DE11" s="39" t="str">
        <f>MiscBanners!$I$4</f>
        <v>The gift that keeps on giving</v>
      </c>
      <c r="DF11" s="39" t="str">
        <f>MiscBanners!$J$4</f>
        <v>NULL</v>
      </c>
      <c r="DG11" s="91" t="str">
        <f>MiscBanners!$K$4</f>
        <v>Discover even more exclusive offers on your favorite products and unlock the power of smart and savvy gifting.</v>
      </c>
      <c r="DH11" s="39" t="str">
        <f>MiscBanners!$L$4</f>
        <v>Shop now</v>
      </c>
      <c r="DI11" s="39" t="str">
        <f>MiscBanners!$M$4</f>
        <v>https://www.samsung.com/us/gift-ideas/</v>
      </c>
      <c r="DJ11"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1" s="39" t="str">
        <f>MiscBanners!$O$4</f>
        <v>NULL</v>
      </c>
      <c r="DL11" s="39" t="str">
        <f>MiscBanners!$P$4</f>
        <v>NULL</v>
      </c>
      <c r="DM11" s="39" t="str">
        <f>MiscBanners!$Q$4</f>
        <v>NULL</v>
      </c>
      <c r="DN11" s="89" t="s">
        <v>273</v>
      </c>
      <c r="DR11" s="91"/>
      <c r="DY11" s="89" t="s">
        <v>481</v>
      </c>
      <c r="DZ11" s="39" t="s">
        <v>394</v>
      </c>
      <c r="EA11" s="39" t="s">
        <v>394</v>
      </c>
      <c r="EB11" s="39" t="s">
        <v>394</v>
      </c>
      <c r="EC11" s="91" t="s">
        <v>482</v>
      </c>
      <c r="ED11" s="39" t="s">
        <v>394</v>
      </c>
      <c r="EE11" s="39" t="s">
        <v>476</v>
      </c>
      <c r="EF11" s="39">
        <v>0</v>
      </c>
      <c r="EG11" s="39" t="s">
        <v>394</v>
      </c>
      <c r="EH11" s="39" t="s">
        <v>394</v>
      </c>
      <c r="EI11" s="39" t="s">
        <v>394</v>
      </c>
      <c r="EJ11" s="89" t="s">
        <v>439</v>
      </c>
      <c r="EK11" s="39" t="s">
        <v>394</v>
      </c>
      <c r="EL11" s="39" t="s">
        <v>394</v>
      </c>
      <c r="EM11" s="39" t="s">
        <v>394</v>
      </c>
      <c r="EN11" s="91" t="s">
        <v>483</v>
      </c>
      <c r="EO11" s="39" t="s">
        <v>394</v>
      </c>
      <c r="EP11" s="39" t="s">
        <v>476</v>
      </c>
      <c r="EQ11" s="39">
        <v>0</v>
      </c>
      <c r="ER11" s="39" t="s">
        <v>394</v>
      </c>
      <c r="ES11" s="39" t="s">
        <v>394</v>
      </c>
      <c r="ET11" s="39" t="s">
        <v>394</v>
      </c>
      <c r="EU11" s="89" t="s">
        <v>441</v>
      </c>
      <c r="EV11" s="39" t="s">
        <v>394</v>
      </c>
      <c r="EW11" s="39" t="s">
        <v>394</v>
      </c>
      <c r="EX11" s="39" t="s">
        <v>394</v>
      </c>
      <c r="EY11" s="91" t="s">
        <v>484</v>
      </c>
      <c r="EZ11" s="39" t="s">
        <v>394</v>
      </c>
      <c r="FA11" s="39" t="s">
        <v>476</v>
      </c>
      <c r="FB11" s="39">
        <v>0</v>
      </c>
      <c r="FC11" s="39" t="s">
        <v>394</v>
      </c>
      <c r="FD11" s="39" t="s">
        <v>394</v>
      </c>
      <c r="FE11" s="39" t="s">
        <v>394</v>
      </c>
      <c r="FF11" s="89" t="s">
        <v>477</v>
      </c>
      <c r="FG11" s="39" t="s">
        <v>394</v>
      </c>
      <c r="FH11" s="39" t="s">
        <v>394</v>
      </c>
      <c r="FI11" s="39" t="s">
        <v>394</v>
      </c>
      <c r="FJ11" s="91" t="s">
        <v>485</v>
      </c>
      <c r="FK11" s="39" t="s">
        <v>394</v>
      </c>
      <c r="FL11" s="39">
        <v>0</v>
      </c>
      <c r="FM11" s="39">
        <v>0</v>
      </c>
      <c r="FN11" s="39" t="s">
        <v>394</v>
      </c>
      <c r="FO11" s="39" t="s">
        <v>394</v>
      </c>
      <c r="FP11" s="39" t="s">
        <v>394</v>
      </c>
    </row>
    <row r="12" spans="1:172" s="39" customFormat="1" ht="99.95" customHeight="1" x14ac:dyDescent="0.25">
      <c r="A12" s="146" t="s">
        <v>235</v>
      </c>
      <c r="B12" s="39" t="s">
        <v>236</v>
      </c>
      <c r="C12" s="39" t="s">
        <v>237</v>
      </c>
      <c r="D12" s="39" t="s">
        <v>237</v>
      </c>
      <c r="E12" s="148" t="s">
        <v>370</v>
      </c>
      <c r="G12" s="88" t="s">
        <v>540</v>
      </c>
      <c r="H12" s="88" t="s">
        <v>539</v>
      </c>
      <c r="I12" s="89" t="s">
        <v>381</v>
      </c>
      <c r="J12" s="39" t="s">
        <v>394</v>
      </c>
      <c r="K12" s="39" t="s">
        <v>394</v>
      </c>
      <c r="L12" s="39" t="s">
        <v>394</v>
      </c>
      <c r="M12" s="39" t="s">
        <v>394</v>
      </c>
      <c r="N12" s="39" t="s">
        <v>394</v>
      </c>
      <c r="O12" s="39" t="s">
        <v>394</v>
      </c>
      <c r="P12" s="39" t="s">
        <v>394</v>
      </c>
      <c r="Q12" s="39" t="s">
        <v>394</v>
      </c>
      <c r="R12" s="39" t="s">
        <v>394</v>
      </c>
      <c r="S12" s="89" t="s">
        <v>407</v>
      </c>
      <c r="T12" s="39" t="str">
        <f>'Dynamic Banners'!$L$4</f>
        <v>Cyber-monday-1.png</v>
      </c>
      <c r="U12" s="39" t="str">
        <f>'Dynamic Banners'!$M$4</f>
        <v xml:space="preserve">The clock is ticking away for Cyber Monday </v>
      </c>
      <c r="V12" s="39" t="s">
        <v>394</v>
      </c>
      <c r="W12" s="39" t="str">
        <f>'Dynamic Banners'!$N$4</f>
        <v xml:space="preserve">Shop amazing offers on showstopping products while supplies last. </v>
      </c>
      <c r="X12" s="39" t="s">
        <v>394</v>
      </c>
      <c r="Y12" s="39" t="str">
        <f>[1]MiscBanners!$B$4</f>
        <v>https://www.samsung.com/us/shop/all-deals/</v>
      </c>
      <c r="Z1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2" s="39" t="s">
        <v>394</v>
      </c>
      <c r="AB12" s="39" t="s">
        <v>394</v>
      </c>
      <c r="AC12" s="39" t="s">
        <v>394</v>
      </c>
      <c r="AD12" s="89" t="s">
        <v>408</v>
      </c>
      <c r="AE12" s="39" t="s">
        <v>394</v>
      </c>
      <c r="AF12" s="39" t="s">
        <v>394</v>
      </c>
      <c r="AG12" s="7" t="s">
        <v>559</v>
      </c>
      <c r="AH12" s="39" t="s">
        <v>562</v>
      </c>
      <c r="AI12" s="39" t="s">
        <v>394</v>
      </c>
      <c r="AJ12" s="39" t="str">
        <f>[1]MiscBanners!$B$4</f>
        <v>https://www.samsung.com/us/shop/all-deals/</v>
      </c>
      <c r="AK1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2" s="39" t="s">
        <v>394</v>
      </c>
      <c r="AM12" s="39" t="s">
        <v>394</v>
      </c>
      <c r="AN12" s="39" t="s">
        <v>394</v>
      </c>
      <c r="AO12" s="89" t="s">
        <v>371</v>
      </c>
      <c r="AP12" s="39" t="str">
        <f>CCModuleCopy!$B$5</f>
        <v>IM_HeadImage_Shop_Phones_500xV.jpg</v>
      </c>
      <c r="AQ12" s="39" t="str">
        <f>CCModuleCopy!$C$5</f>
        <v>Save up to $1000 instantly on the latest and greatest Galaxy smartphones</v>
      </c>
      <c r="AR12" s="39" t="str">
        <f>CCModuleCopy!$D$5</f>
        <v>NULL</v>
      </c>
      <c r="AS12"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AT12" s="39" t="str">
        <f>CCModuleCopy!$L$5</f>
        <v>Shop all</v>
      </c>
      <c r="AU12" s="39" t="str">
        <f>CCModuleCopy!$M$5</f>
        <v>https://www.samsung.com/us/shop/all-deals/cell-phone-deals/</v>
      </c>
      <c r="AV12"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W12" s="39" t="str">
        <f>CCModuleCopy!$O$5</f>
        <v>NULL</v>
      </c>
      <c r="AX12" s="39" t="str">
        <f>CCModuleCopy!$P$5</f>
        <v>NULL</v>
      </c>
      <c r="AY12" s="39" t="str">
        <f>CCModuleCopy!$Q$5</f>
        <v>NULL</v>
      </c>
      <c r="AZ12" s="89" t="s">
        <v>265</v>
      </c>
      <c r="BA12" s="39" t="str">
        <f>CCModuleCopy!$B$7</f>
        <v>HE_HeadImage_Shop_TVs_500xV.jpg</v>
      </c>
      <c r="BB12" s="39" t="str">
        <f>CCModuleCopy!$C$7</f>
        <v>Get up to $3000 off select 8K, 4K and Lifestyle TVs</v>
      </c>
      <c r="BC12" s="39" t="str">
        <f>CCModuleCopy!$D$7</f>
        <v>NULL</v>
      </c>
      <c r="BD12"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12" s="39" t="str">
        <f>CCModuleCopy!$L$7</f>
        <v>Shop all</v>
      </c>
      <c r="BF12" s="39" t="str">
        <f>CCModuleCopy!$M$7</f>
        <v>https://www.samsung.com/us/shop/all-deals/tv-and-home-theater-deals/</v>
      </c>
      <c r="BG12"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H12" s="39" t="str">
        <f>CCModuleCopy!$O$7</f>
        <v>NULL</v>
      </c>
      <c r="BI12" s="39" t="str">
        <f>CCModuleCopy!$P$7</f>
        <v>NULL</v>
      </c>
      <c r="BJ12" s="39" t="str">
        <f>CCModuleCopy!$Q$7</f>
        <v>NULL</v>
      </c>
      <c r="BK12" s="89" t="s">
        <v>266</v>
      </c>
      <c r="BL12" s="39" t="str">
        <f>CCModuleCopy!$B$15</f>
        <v>Tablet-HeadImage-500xV.jpg</v>
      </c>
      <c r="BM12" s="39" t="str">
        <f>CCModuleCopy!$C$15</f>
        <v>Save up to $150 on select tablets</v>
      </c>
      <c r="BN12" s="39" t="str">
        <f>CCModuleCopy!$D$15</f>
        <v>NULL</v>
      </c>
      <c r="BO12" s="39" t="str">
        <f>CCModuleCopy!$E$15</f>
        <v xml:space="preserve">Empower how you create, learn, game and more with our powerful line of tablets. Shop offers on must-have products from the new Galaxy Tab S7+ to the Galaxy Tab S6 Lite. </v>
      </c>
      <c r="BP12" s="39" t="str">
        <f>CCModuleCopy!$L$15</f>
        <v>Shop all</v>
      </c>
      <c r="BQ12" s="39" t="str">
        <f>CCModuleCopy!$M$15</f>
        <v>https://www.samsung.com/us/shop/all-deals/tablets-laptops-computers-deals/</v>
      </c>
      <c r="BR12"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12" s="39" t="str">
        <f>CCModuleCopy!$O$15</f>
        <v>NULL</v>
      </c>
      <c r="BT12" s="39" t="str">
        <f>CCModuleCopy!$P$15</f>
        <v>NULL</v>
      </c>
      <c r="BU12" s="39" t="str">
        <f>CCModuleCopy!$Q$15</f>
        <v>NULL</v>
      </c>
      <c r="BV12" s="89" t="s">
        <v>367</v>
      </c>
      <c r="BW12" s="39" t="str">
        <f>CCModuleCopy!$B$11</f>
        <v>ME_HeadImage_Wearables_500xV.jpg</v>
      </c>
      <c r="BX12" s="39" t="str">
        <f>CCModuleCopy!$C$11</f>
        <v>Get up to $100 off select watches and earbuds</v>
      </c>
      <c r="BY12" s="39" t="str">
        <f>CCModuleCopy!$D$11</f>
        <v>NULL</v>
      </c>
      <c r="BZ12"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2" s="39" t="str">
        <f>CCModuleCopy!$L$11</f>
        <v>Shop all</v>
      </c>
      <c r="CB12" s="39" t="str">
        <f>CCModuleCopy!$M$11</f>
        <v>https://www.samsung.com/us/shop/all-deals/tablets-wearables-cell-phone-accessories-deals/</v>
      </c>
      <c r="CC12"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2" s="39" t="str">
        <f>CCModuleCopy!$O$11</f>
        <v>NULL</v>
      </c>
      <c r="CE12" s="39" t="str">
        <f>CCModuleCopy!$P$11</f>
        <v>NULL</v>
      </c>
      <c r="CF12" s="39" t="str">
        <f>CCModuleCopy!$Q$11</f>
        <v>NULL</v>
      </c>
      <c r="CG12" s="89" t="s">
        <v>368</v>
      </c>
      <c r="CH12" s="39" t="str">
        <f>CCModuleCopy!$B$13</f>
        <v>CE_HeadImage_Computing_500xV.jpg</v>
      </c>
      <c r="CI12" s="39" t="str">
        <f>CCModuleCopy!$C$13</f>
        <v>Get up to 60% off memory cards, SSD, monitors and more</v>
      </c>
      <c r="CJ12" s="39" t="str">
        <f>CCModuleCopy!$D$13</f>
        <v>NULL</v>
      </c>
      <c r="CK12" s="39" t="str">
        <f>CCModuleCopy!$E$13</f>
        <v xml:space="preserve">Expand the way you play, store and create and get up to 30% off monitors, up to 60% off memory cards, up to 35% off SSD and more. Work and game smarter, not harder with these must-have computing offers. </v>
      </c>
      <c r="CL12" s="39" t="str">
        <f>CCModuleCopy!$L$13</f>
        <v>Shop all</v>
      </c>
      <c r="CM12" s="39" t="str">
        <f>CCModuleCopy!$M$13</f>
        <v>https://www.samsung.com/us/shop/all-deals/laptop-and-computer-deals/</v>
      </c>
      <c r="CN12"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2" s="39" t="str">
        <f>CCModuleCopy!$O$13</f>
        <v>NULL</v>
      </c>
      <c r="CP12" s="39" t="str">
        <f>CCModuleCopy!$P$13</f>
        <v>NULL</v>
      </c>
      <c r="CQ12" s="39" t="str">
        <f>CCModuleCopy!$Q$13</f>
        <v>NULL</v>
      </c>
      <c r="CR12" s="89" t="s">
        <v>279</v>
      </c>
      <c r="CS12" s="39" t="str">
        <f>CCModuleCopy!$B$9</f>
        <v>HA_HeadImage_Shop_HA_500xV.jpg</v>
      </c>
      <c r="CT12" s="39" t="str">
        <f>CCModuleCopy!$C$9</f>
        <v>Save up to 50% on everything you need to upgrade your home and home care</v>
      </c>
      <c r="CU12" s="39" t="str">
        <f>CCModuleCopy!$D$9</f>
        <v>NULL</v>
      </c>
      <c r="CV12"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2" s="39" t="str">
        <f>CCModuleCopy!$L$9</f>
        <v>Shop all</v>
      </c>
      <c r="CX12" s="39" t="str">
        <f>CCModuleCopy!$M$9</f>
        <v>https://www.samsung.com/us/shop/all-deals/home-appliance-and-smart-home-sales/</v>
      </c>
      <c r="CY12"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2" s="39" t="str">
        <f>CCModuleCopy!$O$9</f>
        <v>NULL</v>
      </c>
      <c r="DA12" s="39" t="str">
        <f>CCModuleCopy!$P$9</f>
        <v>NULL</v>
      </c>
      <c r="DB12" s="39" t="str">
        <f>CCModuleCopy!$Q$9</f>
        <v>NULL</v>
      </c>
      <c r="DC12" s="89" t="s">
        <v>280</v>
      </c>
      <c r="DD12" s="39" t="str">
        <f>MiscBanners!$H$4</f>
        <v>Give-wonder-500xV.jpg</v>
      </c>
      <c r="DE12" s="39" t="str">
        <f>MiscBanners!$I$4</f>
        <v>The gift that keeps on giving</v>
      </c>
      <c r="DF12" s="39" t="str">
        <f>MiscBanners!$J$4</f>
        <v>NULL</v>
      </c>
      <c r="DG12" s="91" t="str">
        <f>MiscBanners!$K$4</f>
        <v>Discover even more exclusive offers on your favorite products and unlock the power of smart and savvy gifting.</v>
      </c>
      <c r="DH12" s="39" t="str">
        <f>MiscBanners!$L$4</f>
        <v>Shop now</v>
      </c>
      <c r="DI12" s="39" t="str">
        <f>MiscBanners!$M$4</f>
        <v>https://www.samsung.com/us/gift-ideas/</v>
      </c>
      <c r="DJ12"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2" s="39" t="str">
        <f>MiscBanners!$O$4</f>
        <v>NULL</v>
      </c>
      <c r="DL12" s="39" t="str">
        <f>MiscBanners!$P$4</f>
        <v>NULL</v>
      </c>
      <c r="DM12" s="39" t="str">
        <f>MiscBanners!$Q$4</f>
        <v>NULL</v>
      </c>
      <c r="DN12" s="89" t="s">
        <v>273</v>
      </c>
      <c r="DR12" s="91"/>
      <c r="DY12" s="89" t="s">
        <v>481</v>
      </c>
      <c r="DZ12" s="39" t="str">
        <f>TC!B4</f>
        <v>NULL</v>
      </c>
      <c r="EA12" s="39" t="str">
        <f>TC!C4</f>
        <v>NULL</v>
      </c>
      <c r="EB12" s="39" t="str">
        <f>TC!D4</f>
        <v>NULL</v>
      </c>
      <c r="EC12"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12" s="39" t="str">
        <f>TC!F4</f>
        <v>NULL</v>
      </c>
      <c r="EE12" s="39" t="str">
        <f>TC!G4</f>
        <v>https://www.samsung.com/us/</v>
      </c>
      <c r="EF12" s="39">
        <f>TC!H4</f>
        <v>0</v>
      </c>
      <c r="EG12" s="39" t="str">
        <f>TC!I4</f>
        <v>NULL</v>
      </c>
      <c r="EH12" s="39" t="str">
        <f>TC!J4</f>
        <v>NULL</v>
      </c>
      <c r="EI12" s="39" t="str">
        <f>TC!K4</f>
        <v>NULL</v>
      </c>
      <c r="EJ12" s="89" t="s">
        <v>439</v>
      </c>
      <c r="EK12" s="39" t="str">
        <f>TC!B5</f>
        <v>NULL</v>
      </c>
      <c r="EL12" s="39" t="str">
        <f>TC!C5</f>
        <v>NULL</v>
      </c>
      <c r="EM12" s="39" t="str">
        <f>TC!D5</f>
        <v>NULL</v>
      </c>
      <c r="EN12"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12" s="39" t="str">
        <f>TC!F5</f>
        <v>NULL</v>
      </c>
      <c r="EP12" s="39" t="str">
        <f>TC!G5</f>
        <v>https://www.samsung.com/us/</v>
      </c>
      <c r="EQ12" s="39">
        <f>TC!H5</f>
        <v>0</v>
      </c>
      <c r="ER12" s="39" t="str">
        <f>TC!I5</f>
        <v>NULL</v>
      </c>
      <c r="ES12" s="39" t="str">
        <f>TC!J5</f>
        <v>NULL</v>
      </c>
      <c r="ET12" s="39" t="str">
        <f>TC!K5</f>
        <v>NULL</v>
      </c>
      <c r="EU12" s="89" t="s">
        <v>441</v>
      </c>
      <c r="EV12" s="39" t="str">
        <f>TC!B7</f>
        <v>NULL</v>
      </c>
      <c r="EW12" s="39" t="str">
        <f>TC!C7</f>
        <v>NULL</v>
      </c>
      <c r="EX12" s="39" t="str">
        <f>TC!D7</f>
        <v>NULL</v>
      </c>
      <c r="EY12"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EZ12" s="39" t="str">
        <f>TC!F7</f>
        <v>NULL</v>
      </c>
      <c r="FA12" s="39">
        <f>TC!G7</f>
        <v>0</v>
      </c>
      <c r="FB12" s="39">
        <f>TC!H7</f>
        <v>0</v>
      </c>
      <c r="FC12" s="39" t="str">
        <f>TC!I7</f>
        <v>NULL</v>
      </c>
      <c r="FD12" s="39" t="str">
        <f>TC!J7</f>
        <v>NULL</v>
      </c>
      <c r="FE12" s="39" t="str">
        <f>TC!K7</f>
        <v>NULL</v>
      </c>
      <c r="FF12" s="89"/>
      <c r="FJ12" s="91"/>
    </row>
    <row r="13" spans="1:172" s="39" customFormat="1" ht="99.95" customHeight="1" x14ac:dyDescent="0.25">
      <c r="A13" s="146" t="s">
        <v>235</v>
      </c>
      <c r="B13" s="39" t="s">
        <v>240</v>
      </c>
      <c r="C13" s="39" t="s">
        <v>237</v>
      </c>
      <c r="D13" s="39" t="s">
        <v>237</v>
      </c>
      <c r="E13" s="148" t="s">
        <v>370</v>
      </c>
      <c r="G13" s="88" t="s">
        <v>540</v>
      </c>
      <c r="H13" s="88" t="s">
        <v>539</v>
      </c>
      <c r="I13" s="89" t="s">
        <v>381</v>
      </c>
      <c r="J13" s="39" t="s">
        <v>394</v>
      </c>
      <c r="K13" s="39" t="s">
        <v>394</v>
      </c>
      <c r="L13" s="39" t="s">
        <v>394</v>
      </c>
      <c r="M13" s="39" t="s">
        <v>394</v>
      </c>
      <c r="N13" s="39" t="s">
        <v>394</v>
      </c>
      <c r="O13" s="39" t="s">
        <v>394</v>
      </c>
      <c r="P13" s="39" t="s">
        <v>394</v>
      </c>
      <c r="Q13" s="39" t="s">
        <v>394</v>
      </c>
      <c r="R13" s="39" t="s">
        <v>394</v>
      </c>
      <c r="S13" s="89" t="s">
        <v>407</v>
      </c>
      <c r="T13" s="39" t="str">
        <f>'Dynamic Banners'!$L$4</f>
        <v>Cyber-monday-1.png</v>
      </c>
      <c r="U13" s="39" t="str">
        <f>'Dynamic Banners'!$M$4</f>
        <v xml:space="preserve">The clock is ticking away for Cyber Monday </v>
      </c>
      <c r="V13" s="39" t="s">
        <v>394</v>
      </c>
      <c r="W13" s="39" t="str">
        <f>'Dynamic Banners'!$N$4</f>
        <v xml:space="preserve">Shop amazing offers on showstopping products while supplies last. </v>
      </c>
      <c r="X13" s="39" t="s">
        <v>394</v>
      </c>
      <c r="Y13" s="39" t="str">
        <f>[1]MiscBanners!$B$4</f>
        <v>https://www.samsung.com/us/shop/all-deals/</v>
      </c>
      <c r="Z1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3" s="39" t="s">
        <v>394</v>
      </c>
      <c r="AB13" s="39" t="s">
        <v>394</v>
      </c>
      <c r="AC13" s="39" t="s">
        <v>394</v>
      </c>
      <c r="AD13" s="89" t="s">
        <v>408</v>
      </c>
      <c r="AE13" s="39" t="s">
        <v>394</v>
      </c>
      <c r="AF13" s="39" t="s">
        <v>394</v>
      </c>
      <c r="AG13" s="7" t="s">
        <v>559</v>
      </c>
      <c r="AH13" s="39" t="s">
        <v>561</v>
      </c>
      <c r="AI13" s="39" t="s">
        <v>394</v>
      </c>
      <c r="AJ13" s="39" t="str">
        <f>[1]MiscBanners!$B$4</f>
        <v>https://www.samsung.com/us/shop/all-deals/</v>
      </c>
      <c r="AK1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3" s="39" t="s">
        <v>394</v>
      </c>
      <c r="AM13" s="39" t="s">
        <v>394</v>
      </c>
      <c r="AN13" s="39" t="s">
        <v>394</v>
      </c>
      <c r="AO13" s="89" t="s">
        <v>265</v>
      </c>
      <c r="AP13" s="39" t="str">
        <f>CCModuleCopy!$B$7</f>
        <v>HE_HeadImage_Shop_TVs_500xV.jpg</v>
      </c>
      <c r="AQ13" s="39" t="str">
        <f>CCModuleCopy!$C$7</f>
        <v>Get up to $3000 off select 8K, 4K and Lifestyle TVs</v>
      </c>
      <c r="AR13" s="39" t="str">
        <f>CCModuleCopy!$D$7</f>
        <v>NULL</v>
      </c>
      <c r="AS13"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13" s="39" t="str">
        <f>CCModuleCopy!$L$7</f>
        <v>Shop all</v>
      </c>
      <c r="AU13" s="39" t="str">
        <f>CCModuleCopy!$M$7</f>
        <v>https://www.samsung.com/us/shop/all-deals/tv-and-home-theater-deals/</v>
      </c>
      <c r="AV13"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W13" s="39" t="str">
        <f>CCModuleCopy!$O$7</f>
        <v>NULL</v>
      </c>
      <c r="AX13" s="39" t="str">
        <f>CCModuleCopy!$P$7</f>
        <v>NULL</v>
      </c>
      <c r="AY13" s="39" t="str">
        <f>CCModuleCopy!$Q$7</f>
        <v>NULL</v>
      </c>
      <c r="AZ13" s="89" t="s">
        <v>371</v>
      </c>
      <c r="BA13" s="39" t="str">
        <f>CCModuleCopy!$B$5</f>
        <v>IM_HeadImage_Shop_Phones_500xV.jpg</v>
      </c>
      <c r="BB13" s="39" t="str">
        <f>CCModuleCopy!$C$5</f>
        <v>Save up to $1000 instantly on the latest and greatest Galaxy smartphones</v>
      </c>
      <c r="BC13" s="39" t="str">
        <f>CCModuleCopy!$D$5</f>
        <v>NULL</v>
      </c>
      <c r="BD13"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3" s="39" t="str">
        <f>CCModuleCopy!$L$5</f>
        <v>Shop all</v>
      </c>
      <c r="BF13" s="39" t="str">
        <f>CCModuleCopy!$M$5</f>
        <v>https://www.samsung.com/us/shop/all-deals/cell-phone-deals/</v>
      </c>
      <c r="BG13"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3" s="39" t="str">
        <f>CCModuleCopy!$O$5</f>
        <v>NULL</v>
      </c>
      <c r="BI13" s="39" t="str">
        <f>CCModuleCopy!$P$5</f>
        <v>NULL</v>
      </c>
      <c r="BJ13" s="39" t="str">
        <f>CCModuleCopy!$Q$5</f>
        <v>NULL</v>
      </c>
      <c r="BK13" s="89" t="s">
        <v>266</v>
      </c>
      <c r="BL13" s="39" t="str">
        <f>CCModuleCopy!$B$15</f>
        <v>Tablet-HeadImage-500xV.jpg</v>
      </c>
      <c r="BM13" s="39" t="str">
        <f>CCModuleCopy!$C$15</f>
        <v>Save up to $150 on select tablets</v>
      </c>
      <c r="BN13" s="39" t="str">
        <f>CCModuleCopy!$D$15</f>
        <v>NULL</v>
      </c>
      <c r="BO13" s="39" t="str">
        <f>CCModuleCopy!$E$15</f>
        <v xml:space="preserve">Empower how you create, learn, game and more with our powerful line of tablets. Shop offers on must-have products from the new Galaxy Tab S7+ to the Galaxy Tab S6 Lite. </v>
      </c>
      <c r="BP13" s="39" t="str">
        <f>CCModuleCopy!$L$15</f>
        <v>Shop all</v>
      </c>
      <c r="BQ13" s="39" t="str">
        <f>CCModuleCopy!$M$15</f>
        <v>https://www.samsung.com/us/shop/all-deals/tablets-laptops-computers-deals/</v>
      </c>
      <c r="BR13"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13" s="39" t="str">
        <f>CCModuleCopy!$O$15</f>
        <v>NULL</v>
      </c>
      <c r="BT13" s="39" t="str">
        <f>CCModuleCopy!$P$15</f>
        <v>NULL</v>
      </c>
      <c r="BU13" s="39" t="str">
        <f>CCModuleCopy!$Q$15</f>
        <v>NULL</v>
      </c>
      <c r="BV13" s="89" t="s">
        <v>367</v>
      </c>
      <c r="BW13" s="39" t="str">
        <f>CCModuleCopy!$B$11</f>
        <v>ME_HeadImage_Wearables_500xV.jpg</v>
      </c>
      <c r="BX13" s="39" t="str">
        <f>CCModuleCopy!$C$11</f>
        <v>Get up to $100 off select watches and earbuds</v>
      </c>
      <c r="BY13" s="39" t="str">
        <f>CCModuleCopy!$D$11</f>
        <v>NULL</v>
      </c>
      <c r="BZ13"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3" s="39" t="str">
        <f>CCModuleCopy!$L$11</f>
        <v>Shop all</v>
      </c>
      <c r="CB13" s="39" t="str">
        <f>CCModuleCopy!$M$11</f>
        <v>https://www.samsung.com/us/shop/all-deals/tablets-wearables-cell-phone-accessories-deals/</v>
      </c>
      <c r="CC13"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3" s="39" t="str">
        <f>CCModuleCopy!$O$11</f>
        <v>NULL</v>
      </c>
      <c r="CE13" s="39" t="str">
        <f>CCModuleCopy!$P$11</f>
        <v>NULL</v>
      </c>
      <c r="CF13" s="39" t="str">
        <f>CCModuleCopy!$Q$11</f>
        <v>NULL</v>
      </c>
      <c r="CG13" s="89" t="s">
        <v>368</v>
      </c>
      <c r="CH13" s="39" t="str">
        <f>CCModuleCopy!$B$13</f>
        <v>CE_HeadImage_Computing_500xV.jpg</v>
      </c>
      <c r="CI13" s="39" t="str">
        <f>CCModuleCopy!$C$13</f>
        <v>Get up to 60% off memory cards, SSD, monitors and more</v>
      </c>
      <c r="CJ13" s="39" t="str">
        <f>CCModuleCopy!$D$13</f>
        <v>NULL</v>
      </c>
      <c r="CK13" s="39" t="str">
        <f>CCModuleCopy!$E$13</f>
        <v xml:space="preserve">Expand the way you play, store and create and get up to 30% off monitors, up to 60% off memory cards, up to 35% off SSD and more. Work and game smarter, not harder with these must-have computing offers. </v>
      </c>
      <c r="CL13" s="39" t="str">
        <f>CCModuleCopy!$L$13</f>
        <v>Shop all</v>
      </c>
      <c r="CM13" s="39" t="str">
        <f>CCModuleCopy!$M$13</f>
        <v>https://www.samsung.com/us/shop/all-deals/laptop-and-computer-deals/</v>
      </c>
      <c r="CN13"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3" s="39" t="str">
        <f>CCModuleCopy!$O$13</f>
        <v>NULL</v>
      </c>
      <c r="CP13" s="39" t="str">
        <f>CCModuleCopy!$P$13</f>
        <v>NULL</v>
      </c>
      <c r="CQ13" s="39" t="str">
        <f>CCModuleCopy!$Q$13</f>
        <v>NULL</v>
      </c>
      <c r="CR13" s="89" t="s">
        <v>279</v>
      </c>
      <c r="CS13" s="39" t="str">
        <f>CCModuleCopy!$B$9</f>
        <v>HA_HeadImage_Shop_HA_500xV.jpg</v>
      </c>
      <c r="CT13" s="39" t="str">
        <f>CCModuleCopy!$C$9</f>
        <v>Save up to 50% on everything you need to upgrade your home and home care</v>
      </c>
      <c r="CU13" s="39" t="str">
        <f>CCModuleCopy!$D$9</f>
        <v>NULL</v>
      </c>
      <c r="CV13"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3" s="39" t="str">
        <f>CCModuleCopy!$L$9</f>
        <v>Shop all</v>
      </c>
      <c r="CX13" s="39" t="str">
        <f>CCModuleCopy!$M$9</f>
        <v>https://www.samsung.com/us/shop/all-deals/home-appliance-and-smart-home-sales/</v>
      </c>
      <c r="CY13"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3" s="39" t="str">
        <f>CCModuleCopy!$O$9</f>
        <v>NULL</v>
      </c>
      <c r="DA13" s="39" t="str">
        <f>CCModuleCopy!$P$9</f>
        <v>NULL</v>
      </c>
      <c r="DB13" s="39" t="str">
        <f>CCModuleCopy!$Q$9</f>
        <v>NULL</v>
      </c>
      <c r="DC13" s="89" t="s">
        <v>280</v>
      </c>
      <c r="DD13" s="39" t="str">
        <f>MiscBanners!$H$4</f>
        <v>Give-wonder-500xV.jpg</v>
      </c>
      <c r="DE13" s="39" t="str">
        <f>MiscBanners!$I$4</f>
        <v>The gift that keeps on giving</v>
      </c>
      <c r="DF13" s="39" t="str">
        <f>MiscBanners!$J$4</f>
        <v>NULL</v>
      </c>
      <c r="DG13" s="91" t="str">
        <f>MiscBanners!$K$4</f>
        <v>Discover even more exclusive offers on your favorite products and unlock the power of smart and savvy gifting.</v>
      </c>
      <c r="DH13" s="39" t="str">
        <f>MiscBanners!$L$4</f>
        <v>Shop now</v>
      </c>
      <c r="DI13" s="39" t="str">
        <f>MiscBanners!$M$4</f>
        <v>https://www.samsung.com/us/gift-ideas/</v>
      </c>
      <c r="DJ13"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3" s="39" t="str">
        <f>MiscBanners!$O$4</f>
        <v>NULL</v>
      </c>
      <c r="DL13" s="39" t="str">
        <f>MiscBanners!$P$4</f>
        <v>NULL</v>
      </c>
      <c r="DM13" s="39" t="str">
        <f>MiscBanners!$Q$4</f>
        <v>NULL</v>
      </c>
      <c r="DN13" s="89" t="s">
        <v>273</v>
      </c>
      <c r="DR13" s="91"/>
      <c r="DY13" s="89" t="s">
        <v>481</v>
      </c>
      <c r="DZ13" s="39" t="s">
        <v>394</v>
      </c>
      <c r="EA13" s="39" t="s">
        <v>394</v>
      </c>
      <c r="EB13" s="39" t="s">
        <v>394</v>
      </c>
      <c r="EC13" s="91" t="s">
        <v>482</v>
      </c>
      <c r="ED13" s="39" t="s">
        <v>394</v>
      </c>
      <c r="EE13" s="39" t="s">
        <v>476</v>
      </c>
      <c r="EF13" s="39">
        <v>0</v>
      </c>
      <c r="EG13" s="39" t="s">
        <v>394</v>
      </c>
      <c r="EH13" s="39" t="s">
        <v>394</v>
      </c>
      <c r="EI13" s="39" t="s">
        <v>394</v>
      </c>
      <c r="EJ13" s="89" t="s">
        <v>439</v>
      </c>
      <c r="EK13" s="39" t="s">
        <v>394</v>
      </c>
      <c r="EL13" s="39" t="s">
        <v>394</v>
      </c>
      <c r="EM13" s="39" t="s">
        <v>394</v>
      </c>
      <c r="EN13" s="91" t="s">
        <v>483</v>
      </c>
      <c r="EO13" s="39" t="s">
        <v>394</v>
      </c>
      <c r="EP13" s="39" t="s">
        <v>476</v>
      </c>
      <c r="EQ13" s="39">
        <v>0</v>
      </c>
      <c r="ER13" s="39" t="s">
        <v>394</v>
      </c>
      <c r="ES13" s="39" t="s">
        <v>394</v>
      </c>
      <c r="ET13" s="39" t="s">
        <v>394</v>
      </c>
      <c r="EU13" s="89" t="s">
        <v>441</v>
      </c>
      <c r="EV13" s="39" t="s">
        <v>394</v>
      </c>
      <c r="EW13" s="39" t="s">
        <v>394</v>
      </c>
      <c r="EX13" s="39" t="s">
        <v>394</v>
      </c>
      <c r="EY13" s="91" t="s">
        <v>485</v>
      </c>
      <c r="EZ13" s="39" t="s">
        <v>394</v>
      </c>
      <c r="FA13" s="39">
        <v>0</v>
      </c>
      <c r="FB13" s="39">
        <v>0</v>
      </c>
      <c r="FC13" s="39" t="s">
        <v>394</v>
      </c>
      <c r="FD13" s="39" t="s">
        <v>394</v>
      </c>
      <c r="FE13" s="39" t="s">
        <v>394</v>
      </c>
      <c r="FF13" s="89"/>
      <c r="FJ13" s="91"/>
    </row>
    <row r="14" spans="1:172" s="39" customFormat="1" ht="99.95" customHeight="1" x14ac:dyDescent="0.25">
      <c r="A14" s="146" t="s">
        <v>235</v>
      </c>
      <c r="B14" s="92" t="s">
        <v>241</v>
      </c>
      <c r="C14" s="39" t="s">
        <v>237</v>
      </c>
      <c r="D14" s="39" t="s">
        <v>237</v>
      </c>
      <c r="E14" s="148" t="s">
        <v>370</v>
      </c>
      <c r="G14" s="88" t="s">
        <v>540</v>
      </c>
      <c r="H14" s="88" t="s">
        <v>539</v>
      </c>
      <c r="I14" s="89" t="s">
        <v>381</v>
      </c>
      <c r="J14" s="39" t="s">
        <v>394</v>
      </c>
      <c r="K14" s="39" t="s">
        <v>394</v>
      </c>
      <c r="L14" s="39" t="s">
        <v>394</v>
      </c>
      <c r="M14" s="39" t="s">
        <v>394</v>
      </c>
      <c r="N14" s="39" t="s">
        <v>394</v>
      </c>
      <c r="O14" s="39" t="s">
        <v>394</v>
      </c>
      <c r="P14" s="39" t="s">
        <v>394</v>
      </c>
      <c r="Q14" s="39" t="s">
        <v>394</v>
      </c>
      <c r="R14" s="39" t="s">
        <v>394</v>
      </c>
      <c r="S14" s="89" t="s">
        <v>407</v>
      </c>
      <c r="T14" s="39" t="str">
        <f>'Dynamic Banners'!$L$4</f>
        <v>Cyber-monday-1.png</v>
      </c>
      <c r="U14" s="39" t="str">
        <f>'Dynamic Banners'!$M$4</f>
        <v xml:space="preserve">The clock is ticking away for Cyber Monday </v>
      </c>
      <c r="V14" s="39" t="s">
        <v>394</v>
      </c>
      <c r="W14" s="39" t="str">
        <f>'Dynamic Banners'!$N$4</f>
        <v xml:space="preserve">Shop amazing offers on showstopping products while supplies last. </v>
      </c>
      <c r="X14" s="39" t="s">
        <v>394</v>
      </c>
      <c r="Y14" s="39" t="str">
        <f>[1]MiscBanners!$B$4</f>
        <v>https://www.samsung.com/us/shop/all-deals/</v>
      </c>
      <c r="Z1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4" s="39" t="s">
        <v>394</v>
      </c>
      <c r="AB14" s="39" t="s">
        <v>394</v>
      </c>
      <c r="AC14" s="39" t="s">
        <v>394</v>
      </c>
      <c r="AD14" s="89" t="s">
        <v>408</v>
      </c>
      <c r="AE14" s="39" t="s">
        <v>394</v>
      </c>
      <c r="AF14" s="39" t="s">
        <v>394</v>
      </c>
      <c r="AG14" s="7" t="s">
        <v>559</v>
      </c>
      <c r="AH14" s="39" t="s">
        <v>561</v>
      </c>
      <c r="AI14" s="39" t="s">
        <v>394</v>
      </c>
      <c r="AJ14" s="39" t="str">
        <f>[1]MiscBanners!$B$4</f>
        <v>https://www.samsung.com/us/shop/all-deals/</v>
      </c>
      <c r="AK1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4" s="39" t="s">
        <v>394</v>
      </c>
      <c r="AM14" s="39" t="s">
        <v>394</v>
      </c>
      <c r="AN14" s="39" t="s">
        <v>394</v>
      </c>
      <c r="AO14" s="89" t="s">
        <v>266</v>
      </c>
      <c r="AP14" s="39" t="str">
        <f>CCModuleCopy!$B$15</f>
        <v>Tablet-HeadImage-500xV.jpg</v>
      </c>
      <c r="AQ14" s="39" t="str">
        <f>CCModuleCopy!$C$15</f>
        <v>Save up to $150 on select tablets</v>
      </c>
      <c r="AR14" s="39" t="str">
        <f>CCModuleCopy!$D$15</f>
        <v>NULL</v>
      </c>
      <c r="AS14" s="39" t="str">
        <f>CCModuleCopy!$E$15</f>
        <v xml:space="preserve">Empower how you create, learn, game and more with our powerful line of tablets. Shop offers on must-have products from the new Galaxy Tab S7+ to the Galaxy Tab S6 Lite. </v>
      </c>
      <c r="AT14" s="39" t="str">
        <f>CCModuleCopy!$L$15</f>
        <v>Shop all</v>
      </c>
      <c r="AU14" s="39" t="str">
        <f>CCModuleCopy!$M$15</f>
        <v>https://www.samsung.com/us/shop/all-deals/tablets-laptops-computers-deals/</v>
      </c>
      <c r="AV14"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W14" s="39" t="str">
        <f>CCModuleCopy!$O$15</f>
        <v>NULL</v>
      </c>
      <c r="AX14" s="39" t="str">
        <f>CCModuleCopy!$P$15</f>
        <v>NULL</v>
      </c>
      <c r="AY14" s="39" t="str">
        <f>CCModuleCopy!$Q$15</f>
        <v>NULL</v>
      </c>
      <c r="AZ14" s="89" t="s">
        <v>371</v>
      </c>
      <c r="BA14" s="39" t="str">
        <f>CCModuleCopy!$B$5</f>
        <v>IM_HeadImage_Shop_Phones_500xV.jpg</v>
      </c>
      <c r="BB14" s="39" t="str">
        <f>CCModuleCopy!$C$5</f>
        <v>Save up to $1000 instantly on the latest and greatest Galaxy smartphones</v>
      </c>
      <c r="BC14" s="39" t="str">
        <f>CCModuleCopy!$D$5</f>
        <v>NULL</v>
      </c>
      <c r="BD14"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4" s="39" t="str">
        <f>CCModuleCopy!$L$5</f>
        <v>Shop all</v>
      </c>
      <c r="BF14" s="39" t="str">
        <f>CCModuleCopy!$M$5</f>
        <v>https://www.samsung.com/us/shop/all-deals/cell-phone-deals/</v>
      </c>
      <c r="BG14"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4" s="39" t="str">
        <f>CCModuleCopy!$O$5</f>
        <v>NULL</v>
      </c>
      <c r="BI14" s="39" t="str">
        <f>CCModuleCopy!$P$5</f>
        <v>NULL</v>
      </c>
      <c r="BJ14" s="39" t="str">
        <f>CCModuleCopy!$Q$5</f>
        <v>NULL</v>
      </c>
      <c r="BK14" s="89" t="s">
        <v>265</v>
      </c>
      <c r="BL14" s="39" t="str">
        <f>CCModuleCopy!$B$7</f>
        <v>HE_HeadImage_Shop_TVs_500xV.jpg</v>
      </c>
      <c r="BM14" s="39" t="str">
        <f>CCModuleCopy!$C$7</f>
        <v>Get up to $3000 off select 8K, 4K and Lifestyle TVs</v>
      </c>
      <c r="BN14" s="39" t="str">
        <f>CCModuleCopy!$D$7</f>
        <v>NULL</v>
      </c>
      <c r="BO14"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4" s="39" t="str">
        <f>CCModuleCopy!$L$7</f>
        <v>Shop all</v>
      </c>
      <c r="BQ14" s="39" t="str">
        <f>CCModuleCopy!$M$7</f>
        <v>https://www.samsung.com/us/shop/all-deals/tv-and-home-theater-deals/</v>
      </c>
      <c r="BR14"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4" s="39" t="str">
        <f>CCModuleCopy!$O$7</f>
        <v>NULL</v>
      </c>
      <c r="BT14" s="39" t="str">
        <f>CCModuleCopy!$P$7</f>
        <v>NULL</v>
      </c>
      <c r="BU14" s="39" t="str">
        <f>CCModuleCopy!$Q$7</f>
        <v>NULL</v>
      </c>
      <c r="BV14" s="89" t="s">
        <v>367</v>
      </c>
      <c r="BW14" s="39" t="str">
        <f>CCModuleCopy!$B$11</f>
        <v>ME_HeadImage_Wearables_500xV.jpg</v>
      </c>
      <c r="BX14" s="39" t="str">
        <f>CCModuleCopy!$C$11</f>
        <v>Get up to $100 off select watches and earbuds</v>
      </c>
      <c r="BY14" s="39" t="str">
        <f>CCModuleCopy!$D$11</f>
        <v>NULL</v>
      </c>
      <c r="BZ14"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4" s="39" t="str">
        <f>CCModuleCopy!$L$11</f>
        <v>Shop all</v>
      </c>
      <c r="CB14" s="39" t="str">
        <f>CCModuleCopy!$M$11</f>
        <v>https://www.samsung.com/us/shop/all-deals/tablets-wearables-cell-phone-accessories-deals/</v>
      </c>
      <c r="CC14"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4" s="39" t="str">
        <f>CCModuleCopy!$O$11</f>
        <v>NULL</v>
      </c>
      <c r="CE14" s="39" t="str">
        <f>CCModuleCopy!$P$11</f>
        <v>NULL</v>
      </c>
      <c r="CF14" s="39" t="str">
        <f>CCModuleCopy!$Q$11</f>
        <v>NULL</v>
      </c>
      <c r="CG14" s="89" t="s">
        <v>368</v>
      </c>
      <c r="CH14" s="39" t="str">
        <f>CCModuleCopy!$B$13</f>
        <v>CE_HeadImage_Computing_500xV.jpg</v>
      </c>
      <c r="CI14" s="39" t="str">
        <f>CCModuleCopy!$C$13</f>
        <v>Get up to 60% off memory cards, SSD, monitors and more</v>
      </c>
      <c r="CJ14" s="39" t="str">
        <f>CCModuleCopy!$D$13</f>
        <v>NULL</v>
      </c>
      <c r="CK14" s="39" t="str">
        <f>CCModuleCopy!$E$13</f>
        <v xml:space="preserve">Expand the way you play, store and create and get up to 30% off monitors, up to 60% off memory cards, up to 35% off SSD and more. Work and game smarter, not harder with these must-have computing offers. </v>
      </c>
      <c r="CL14" s="39" t="str">
        <f>CCModuleCopy!$L$13</f>
        <v>Shop all</v>
      </c>
      <c r="CM14" s="39" t="str">
        <f>CCModuleCopy!$M$13</f>
        <v>https://www.samsung.com/us/shop/all-deals/laptop-and-computer-deals/</v>
      </c>
      <c r="CN14"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4" s="39" t="str">
        <f>CCModuleCopy!$O$13</f>
        <v>NULL</v>
      </c>
      <c r="CP14" s="39" t="str">
        <f>CCModuleCopy!$P$13</f>
        <v>NULL</v>
      </c>
      <c r="CQ14" s="39" t="str">
        <f>CCModuleCopy!$Q$13</f>
        <v>NULL</v>
      </c>
      <c r="CR14" s="89" t="s">
        <v>279</v>
      </c>
      <c r="CS14" s="39" t="str">
        <f>CCModuleCopy!$B$9</f>
        <v>HA_HeadImage_Shop_HA_500xV.jpg</v>
      </c>
      <c r="CT14" s="39" t="str">
        <f>CCModuleCopy!$C$9</f>
        <v>Save up to 50% on everything you need to upgrade your home and home care</v>
      </c>
      <c r="CU14" s="39" t="str">
        <f>CCModuleCopy!$D$9</f>
        <v>NULL</v>
      </c>
      <c r="CV14"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4" s="39" t="str">
        <f>CCModuleCopy!$L$9</f>
        <v>Shop all</v>
      </c>
      <c r="CX14" s="39" t="str">
        <f>CCModuleCopy!$M$9</f>
        <v>https://www.samsung.com/us/shop/all-deals/home-appliance-and-smart-home-sales/</v>
      </c>
      <c r="CY14"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4" s="39" t="str">
        <f>CCModuleCopy!$O$9</f>
        <v>NULL</v>
      </c>
      <c r="DA14" s="39" t="str">
        <f>CCModuleCopy!$P$9</f>
        <v>NULL</v>
      </c>
      <c r="DB14" s="39" t="str">
        <f>CCModuleCopy!$Q$9</f>
        <v>NULL</v>
      </c>
      <c r="DC14" s="89" t="s">
        <v>280</v>
      </c>
      <c r="DD14" s="39" t="str">
        <f>MiscBanners!$H$4</f>
        <v>Give-wonder-500xV.jpg</v>
      </c>
      <c r="DE14" s="39" t="str">
        <f>MiscBanners!$I$4</f>
        <v>The gift that keeps on giving</v>
      </c>
      <c r="DF14" s="39" t="str">
        <f>MiscBanners!$J$4</f>
        <v>NULL</v>
      </c>
      <c r="DG14" s="91" t="str">
        <f>MiscBanners!$K$4</f>
        <v>Discover even more exclusive offers on your favorite products and unlock the power of smart and savvy gifting.</v>
      </c>
      <c r="DH14" s="39" t="str">
        <f>MiscBanners!$L$4</f>
        <v>Shop now</v>
      </c>
      <c r="DI14" s="39" t="str">
        <f>MiscBanners!$M$4</f>
        <v>https://www.samsung.com/us/gift-ideas/</v>
      </c>
      <c r="DJ14"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4" s="39" t="str">
        <f>MiscBanners!$O$4</f>
        <v>NULL</v>
      </c>
      <c r="DL14" s="39" t="str">
        <f>MiscBanners!$P$4</f>
        <v>NULL</v>
      </c>
      <c r="DM14" s="39" t="str">
        <f>MiscBanners!$Q$4</f>
        <v>NULL</v>
      </c>
      <c r="DN14" s="89" t="s">
        <v>273</v>
      </c>
      <c r="DR14" s="91"/>
      <c r="DY14" s="89" t="s">
        <v>481</v>
      </c>
      <c r="DZ14" s="39" t="s">
        <v>394</v>
      </c>
      <c r="EA14" s="39" t="s">
        <v>394</v>
      </c>
      <c r="EB14" s="39" t="s">
        <v>394</v>
      </c>
      <c r="EC14" s="91" t="s">
        <v>482</v>
      </c>
      <c r="ED14" s="39" t="s">
        <v>394</v>
      </c>
      <c r="EE14" s="39" t="s">
        <v>476</v>
      </c>
      <c r="EF14" s="39">
        <v>0</v>
      </c>
      <c r="EG14" s="39" t="s">
        <v>394</v>
      </c>
      <c r="EH14" s="39" t="s">
        <v>394</v>
      </c>
      <c r="EI14" s="39" t="s">
        <v>394</v>
      </c>
      <c r="EJ14" s="89" t="s">
        <v>439</v>
      </c>
      <c r="EK14" s="39" t="s">
        <v>394</v>
      </c>
      <c r="EL14" s="39" t="s">
        <v>394</v>
      </c>
      <c r="EM14" s="39" t="s">
        <v>394</v>
      </c>
      <c r="EN14" s="91" t="s">
        <v>483</v>
      </c>
      <c r="EO14" s="39" t="s">
        <v>394</v>
      </c>
      <c r="EP14" s="39" t="s">
        <v>476</v>
      </c>
      <c r="EQ14" s="39">
        <v>0</v>
      </c>
      <c r="ER14" s="39" t="s">
        <v>394</v>
      </c>
      <c r="ES14" s="39" t="s">
        <v>394</v>
      </c>
      <c r="ET14" s="39" t="s">
        <v>394</v>
      </c>
      <c r="EU14" s="89" t="s">
        <v>441</v>
      </c>
      <c r="EV14" s="39" t="s">
        <v>394</v>
      </c>
      <c r="EW14" s="39" t="s">
        <v>394</v>
      </c>
      <c r="EX14" s="39" t="s">
        <v>394</v>
      </c>
      <c r="EY14" s="91" t="s">
        <v>485</v>
      </c>
      <c r="EZ14" s="39" t="s">
        <v>394</v>
      </c>
      <c r="FA14" s="39">
        <v>0</v>
      </c>
      <c r="FB14" s="39">
        <v>0</v>
      </c>
      <c r="FC14" s="39" t="s">
        <v>394</v>
      </c>
      <c r="FD14" s="39" t="s">
        <v>394</v>
      </c>
      <c r="FE14" s="39" t="s">
        <v>394</v>
      </c>
      <c r="FF14" s="89"/>
      <c r="FJ14" s="91"/>
    </row>
    <row r="15" spans="1:172" s="39" customFormat="1" ht="99.95" customHeight="1" x14ac:dyDescent="0.25">
      <c r="A15" s="146" t="s">
        <v>235</v>
      </c>
      <c r="B15" s="39" t="s">
        <v>264</v>
      </c>
      <c r="C15" s="39" t="s">
        <v>237</v>
      </c>
      <c r="D15" s="39" t="s">
        <v>237</v>
      </c>
      <c r="E15" s="148" t="s">
        <v>370</v>
      </c>
      <c r="G15" s="88" t="s">
        <v>540</v>
      </c>
      <c r="H15" s="88" t="s">
        <v>539</v>
      </c>
      <c r="I15" s="89" t="s">
        <v>381</v>
      </c>
      <c r="J15" s="39" t="s">
        <v>394</v>
      </c>
      <c r="K15" s="39" t="s">
        <v>394</v>
      </c>
      <c r="L15" s="39" t="s">
        <v>394</v>
      </c>
      <c r="M15" s="39" t="s">
        <v>394</v>
      </c>
      <c r="N15" s="39" t="s">
        <v>394</v>
      </c>
      <c r="O15" s="39" t="s">
        <v>394</v>
      </c>
      <c r="P15" s="39" t="s">
        <v>394</v>
      </c>
      <c r="Q15" s="39" t="s">
        <v>394</v>
      </c>
      <c r="R15" s="39" t="s">
        <v>394</v>
      </c>
      <c r="S15" s="89" t="s">
        <v>407</v>
      </c>
      <c r="T15" s="39" t="str">
        <f>'Dynamic Banners'!$L$4</f>
        <v>Cyber-monday-1.png</v>
      </c>
      <c r="U15" s="39" t="str">
        <f>'Dynamic Banners'!$M$4</f>
        <v xml:space="preserve">The clock is ticking away for Cyber Monday </v>
      </c>
      <c r="V15" s="39" t="s">
        <v>394</v>
      </c>
      <c r="W15" s="39" t="str">
        <f>'Dynamic Banners'!$N$4</f>
        <v xml:space="preserve">Shop amazing offers on showstopping products while supplies last. </v>
      </c>
      <c r="X15" s="39" t="s">
        <v>394</v>
      </c>
      <c r="Y15" s="39" t="str">
        <f>[1]MiscBanners!$B$4</f>
        <v>https://www.samsung.com/us/shop/all-deals/</v>
      </c>
      <c r="Z1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5" s="39" t="s">
        <v>394</v>
      </c>
      <c r="AB15" s="39" t="s">
        <v>394</v>
      </c>
      <c r="AC15" s="39" t="s">
        <v>394</v>
      </c>
      <c r="AD15" s="89" t="s">
        <v>408</v>
      </c>
      <c r="AE15" s="39" t="s">
        <v>394</v>
      </c>
      <c r="AF15" s="39" t="s">
        <v>394</v>
      </c>
      <c r="AG15" s="7" t="s">
        <v>559</v>
      </c>
      <c r="AH15" s="39" t="s">
        <v>561</v>
      </c>
      <c r="AI15" s="39" t="s">
        <v>394</v>
      </c>
      <c r="AJ15" s="39" t="str">
        <f>[1]MiscBanners!$B$4</f>
        <v>https://www.samsung.com/us/shop/all-deals/</v>
      </c>
      <c r="AK1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5" s="39" t="s">
        <v>394</v>
      </c>
      <c r="AM15" s="39" t="s">
        <v>394</v>
      </c>
      <c r="AN15" s="39" t="s">
        <v>394</v>
      </c>
      <c r="AO15" s="89" t="s">
        <v>367</v>
      </c>
      <c r="AP15" s="39" t="str">
        <f>CCModuleCopy!$B$11</f>
        <v>ME_HeadImage_Wearables_500xV.jpg</v>
      </c>
      <c r="AQ15" s="39" t="str">
        <f>CCModuleCopy!$C$11</f>
        <v>Get up to $100 off select watches and earbuds</v>
      </c>
      <c r="AR15" s="39" t="str">
        <f>CCModuleCopy!$D$11</f>
        <v>NULL</v>
      </c>
      <c r="AS15"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15" s="39" t="str">
        <f>CCModuleCopy!$L$11</f>
        <v>Shop all</v>
      </c>
      <c r="AU15" s="39" t="str">
        <f>CCModuleCopy!$M$11</f>
        <v>https://www.samsung.com/us/shop/all-deals/tablets-wearables-cell-phone-accessories-deals/</v>
      </c>
      <c r="AV15"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W15" s="39" t="str">
        <f>CCModuleCopy!$O$11</f>
        <v>NULL</v>
      </c>
      <c r="AX15" s="39" t="str">
        <f>CCModuleCopy!$P$11</f>
        <v>NULL</v>
      </c>
      <c r="AY15" s="39" t="str">
        <f>CCModuleCopy!$Q$11</f>
        <v>NULL</v>
      </c>
      <c r="AZ15" s="89" t="s">
        <v>371</v>
      </c>
      <c r="BA15" s="39" t="str">
        <f>CCModuleCopy!$B$5</f>
        <v>IM_HeadImage_Shop_Phones_500xV.jpg</v>
      </c>
      <c r="BB15" s="39" t="str">
        <f>CCModuleCopy!$C$5</f>
        <v>Save up to $1000 instantly on the latest and greatest Galaxy smartphones</v>
      </c>
      <c r="BC15" s="39" t="str">
        <f>CCModuleCopy!$D$5</f>
        <v>NULL</v>
      </c>
      <c r="BD15"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5" s="39" t="str">
        <f>CCModuleCopy!$L$5</f>
        <v>Shop all</v>
      </c>
      <c r="BF15" s="39" t="str">
        <f>CCModuleCopy!$M$5</f>
        <v>https://www.samsung.com/us/shop/all-deals/cell-phone-deals/</v>
      </c>
      <c r="BG15"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5" s="39" t="str">
        <f>CCModuleCopy!$O$5</f>
        <v>NULL</v>
      </c>
      <c r="BI15" s="39" t="str">
        <f>CCModuleCopy!$P$5</f>
        <v>NULL</v>
      </c>
      <c r="BJ15" s="39" t="str">
        <f>CCModuleCopy!$Q$5</f>
        <v>NULL</v>
      </c>
      <c r="BK15" s="89" t="s">
        <v>265</v>
      </c>
      <c r="BL15" s="39" t="str">
        <f>CCModuleCopy!$B$7</f>
        <v>HE_HeadImage_Shop_TVs_500xV.jpg</v>
      </c>
      <c r="BM15" s="39" t="str">
        <f>CCModuleCopy!$C$7</f>
        <v>Get up to $3000 off select 8K, 4K and Lifestyle TVs</v>
      </c>
      <c r="BN15" s="39" t="str">
        <f>CCModuleCopy!$D$7</f>
        <v>NULL</v>
      </c>
      <c r="BO15"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5" s="39" t="str">
        <f>CCModuleCopy!$L$7</f>
        <v>Shop all</v>
      </c>
      <c r="BQ15" s="39" t="str">
        <f>CCModuleCopy!$M$7</f>
        <v>https://www.samsung.com/us/shop/all-deals/tv-and-home-theater-deals/</v>
      </c>
      <c r="BR15"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5" s="39" t="str">
        <f>CCModuleCopy!$O$7</f>
        <v>NULL</v>
      </c>
      <c r="BT15" s="39" t="str">
        <f>CCModuleCopy!$P$7</f>
        <v>NULL</v>
      </c>
      <c r="BU15" s="39" t="str">
        <f>CCModuleCopy!$Q$7</f>
        <v>NULL</v>
      </c>
      <c r="BV15" s="89" t="s">
        <v>266</v>
      </c>
      <c r="BW15" s="39" t="str">
        <f>CCModuleCopy!$B$15</f>
        <v>Tablet-HeadImage-500xV.jpg</v>
      </c>
      <c r="BX15" s="39" t="str">
        <f>CCModuleCopy!$C$15</f>
        <v>Save up to $150 on select tablets</v>
      </c>
      <c r="BY15" s="39" t="str">
        <f>CCModuleCopy!$D$15</f>
        <v>NULL</v>
      </c>
      <c r="BZ15" s="39" t="str">
        <f>CCModuleCopy!$E$15</f>
        <v xml:space="preserve">Empower how you create, learn, game and more with our powerful line of tablets. Shop offers on must-have products from the new Galaxy Tab S7+ to the Galaxy Tab S6 Lite. </v>
      </c>
      <c r="CA15" s="39" t="str">
        <f>CCModuleCopy!$L$15</f>
        <v>Shop all</v>
      </c>
      <c r="CB15" s="39" t="str">
        <f>CCModuleCopy!$M$15</f>
        <v>https://www.samsung.com/us/shop/all-deals/tablets-laptops-computers-deals/</v>
      </c>
      <c r="CC15"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5" s="39" t="str">
        <f>CCModuleCopy!$O$15</f>
        <v>NULL</v>
      </c>
      <c r="CE15" s="39" t="str">
        <f>CCModuleCopy!$P$15</f>
        <v>NULL</v>
      </c>
      <c r="CF15" s="39" t="str">
        <f>CCModuleCopy!$Q$15</f>
        <v>NULL</v>
      </c>
      <c r="CG15" s="89" t="s">
        <v>368</v>
      </c>
      <c r="CH15" s="39" t="str">
        <f>CCModuleCopy!$B$13</f>
        <v>CE_HeadImage_Computing_500xV.jpg</v>
      </c>
      <c r="CI15" s="39" t="str">
        <f>CCModuleCopy!$C$13</f>
        <v>Get up to 60% off memory cards, SSD, monitors and more</v>
      </c>
      <c r="CJ15" s="39" t="str">
        <f>CCModuleCopy!$D$13</f>
        <v>NULL</v>
      </c>
      <c r="CK15" s="39" t="str">
        <f>CCModuleCopy!$E$13</f>
        <v xml:space="preserve">Expand the way you play, store and create and get up to 30% off monitors, up to 60% off memory cards, up to 35% off SSD and more. Work and game smarter, not harder with these must-have computing offers. </v>
      </c>
      <c r="CL15" s="39" t="str">
        <f>CCModuleCopy!$L$13</f>
        <v>Shop all</v>
      </c>
      <c r="CM15" s="39" t="str">
        <f>CCModuleCopy!$M$13</f>
        <v>https://www.samsung.com/us/shop/all-deals/laptop-and-computer-deals/</v>
      </c>
      <c r="CN15"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5" s="39" t="str">
        <f>CCModuleCopy!$O$13</f>
        <v>NULL</v>
      </c>
      <c r="CP15" s="39" t="str">
        <f>CCModuleCopy!$P$13</f>
        <v>NULL</v>
      </c>
      <c r="CQ15" s="39" t="str">
        <f>CCModuleCopy!$Q$13</f>
        <v>NULL</v>
      </c>
      <c r="CR15" s="89" t="s">
        <v>279</v>
      </c>
      <c r="CS15" s="39" t="str">
        <f>CCModuleCopy!$B$9</f>
        <v>HA_HeadImage_Shop_HA_500xV.jpg</v>
      </c>
      <c r="CT15" s="39" t="str">
        <f>CCModuleCopy!$C$9</f>
        <v>Save up to 50% on everything you need to upgrade your home and home care</v>
      </c>
      <c r="CU15" s="39" t="str">
        <f>CCModuleCopy!$D$9</f>
        <v>NULL</v>
      </c>
      <c r="CV15"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5" s="39" t="str">
        <f>CCModuleCopy!$L$9</f>
        <v>Shop all</v>
      </c>
      <c r="CX15" s="39" t="str">
        <f>CCModuleCopy!$M$9</f>
        <v>https://www.samsung.com/us/shop/all-deals/home-appliance-and-smart-home-sales/</v>
      </c>
      <c r="CY15"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5" s="39" t="str">
        <f>CCModuleCopy!$O$9</f>
        <v>NULL</v>
      </c>
      <c r="DA15" s="39" t="str">
        <f>CCModuleCopy!$P$9</f>
        <v>NULL</v>
      </c>
      <c r="DB15" s="39" t="str">
        <f>CCModuleCopy!$Q$9</f>
        <v>NULL</v>
      </c>
      <c r="DC15" s="89" t="s">
        <v>280</v>
      </c>
      <c r="DD15" s="39" t="str">
        <f>MiscBanners!$H$4</f>
        <v>Give-wonder-500xV.jpg</v>
      </c>
      <c r="DE15" s="39" t="str">
        <f>MiscBanners!$I$4</f>
        <v>The gift that keeps on giving</v>
      </c>
      <c r="DF15" s="39" t="str">
        <f>MiscBanners!$J$4</f>
        <v>NULL</v>
      </c>
      <c r="DG15" s="91" t="str">
        <f>MiscBanners!$K$4</f>
        <v>Discover even more exclusive offers on your favorite products and unlock the power of smart and savvy gifting.</v>
      </c>
      <c r="DH15" s="39" t="str">
        <f>MiscBanners!$L$4</f>
        <v>Shop now</v>
      </c>
      <c r="DI15" s="39" t="str">
        <f>MiscBanners!$M$4</f>
        <v>https://www.samsung.com/us/gift-ideas/</v>
      </c>
      <c r="DJ15"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5" s="39" t="str">
        <f>MiscBanners!$O$4</f>
        <v>NULL</v>
      </c>
      <c r="DL15" s="39" t="str">
        <f>MiscBanners!$P$4</f>
        <v>NULL</v>
      </c>
      <c r="DM15" s="39" t="str">
        <f>MiscBanners!$Q$4</f>
        <v>NULL</v>
      </c>
      <c r="DN15" s="89" t="s">
        <v>273</v>
      </c>
      <c r="DR15" s="91"/>
      <c r="DY15" s="89" t="s">
        <v>481</v>
      </c>
      <c r="DZ15" s="39" t="s">
        <v>394</v>
      </c>
      <c r="EA15" s="39" t="s">
        <v>394</v>
      </c>
      <c r="EB15" s="39" t="s">
        <v>394</v>
      </c>
      <c r="EC15" s="91" t="s">
        <v>482</v>
      </c>
      <c r="ED15" s="39" t="s">
        <v>394</v>
      </c>
      <c r="EE15" s="39" t="s">
        <v>476</v>
      </c>
      <c r="EF15" s="39">
        <v>0</v>
      </c>
      <c r="EG15" s="39" t="s">
        <v>394</v>
      </c>
      <c r="EH15" s="39" t="s">
        <v>394</v>
      </c>
      <c r="EI15" s="39" t="s">
        <v>394</v>
      </c>
      <c r="EJ15" s="89" t="s">
        <v>439</v>
      </c>
      <c r="EK15" s="39" t="s">
        <v>394</v>
      </c>
      <c r="EL15" s="39" t="s">
        <v>394</v>
      </c>
      <c r="EM15" s="39" t="s">
        <v>394</v>
      </c>
      <c r="EN15" s="91" t="s">
        <v>483</v>
      </c>
      <c r="EO15" s="39" t="s">
        <v>394</v>
      </c>
      <c r="EP15" s="39" t="s">
        <v>476</v>
      </c>
      <c r="EQ15" s="39">
        <v>0</v>
      </c>
      <c r="ER15" s="39" t="s">
        <v>394</v>
      </c>
      <c r="ES15" s="39" t="s">
        <v>394</v>
      </c>
      <c r="ET15" s="39" t="s">
        <v>394</v>
      </c>
      <c r="EU15" s="89" t="s">
        <v>441</v>
      </c>
      <c r="EV15" s="39" t="s">
        <v>394</v>
      </c>
      <c r="EW15" s="39" t="s">
        <v>394</v>
      </c>
      <c r="EX15" s="39" t="s">
        <v>394</v>
      </c>
      <c r="EY15" s="91" t="s">
        <v>485</v>
      </c>
      <c r="EZ15" s="39" t="s">
        <v>394</v>
      </c>
      <c r="FA15" s="39">
        <v>0</v>
      </c>
      <c r="FB15" s="39">
        <v>0</v>
      </c>
      <c r="FC15" s="39" t="s">
        <v>394</v>
      </c>
      <c r="FD15" s="39" t="s">
        <v>394</v>
      </c>
      <c r="FE15" s="39" t="s">
        <v>394</v>
      </c>
      <c r="FF15" s="89"/>
      <c r="FJ15" s="91"/>
    </row>
    <row r="16" spans="1:172" s="39" customFormat="1" ht="99.95" customHeight="1" x14ac:dyDescent="0.25">
      <c r="A16" s="146" t="s">
        <v>235</v>
      </c>
      <c r="B16" s="39" t="s">
        <v>361</v>
      </c>
      <c r="C16" s="39" t="s">
        <v>237</v>
      </c>
      <c r="D16" s="39" t="s">
        <v>237</v>
      </c>
      <c r="E16" s="148" t="s">
        <v>370</v>
      </c>
      <c r="G16" s="88" t="s">
        <v>540</v>
      </c>
      <c r="H16" s="88" t="s">
        <v>539</v>
      </c>
      <c r="I16" s="89" t="s">
        <v>381</v>
      </c>
      <c r="J16" s="39" t="s">
        <v>394</v>
      </c>
      <c r="K16" s="39" t="s">
        <v>394</v>
      </c>
      <c r="L16" s="39" t="s">
        <v>394</v>
      </c>
      <c r="M16" s="39" t="s">
        <v>394</v>
      </c>
      <c r="N16" s="39" t="s">
        <v>394</v>
      </c>
      <c r="O16" s="39" t="s">
        <v>394</v>
      </c>
      <c r="P16" s="39" t="s">
        <v>394</v>
      </c>
      <c r="Q16" s="39" t="s">
        <v>394</v>
      </c>
      <c r="R16" s="39" t="s">
        <v>394</v>
      </c>
      <c r="S16" s="89" t="s">
        <v>407</v>
      </c>
      <c r="T16" s="39" t="str">
        <f>'Dynamic Banners'!$L$4</f>
        <v>Cyber-monday-1.png</v>
      </c>
      <c r="U16" s="39" t="str">
        <f>'Dynamic Banners'!$M$4</f>
        <v xml:space="preserve">The clock is ticking away for Cyber Monday </v>
      </c>
      <c r="V16" s="39" t="s">
        <v>394</v>
      </c>
      <c r="W16" s="39" t="str">
        <f>'Dynamic Banners'!$N$4</f>
        <v xml:space="preserve">Shop amazing offers on showstopping products while supplies last. </v>
      </c>
      <c r="X16" s="39" t="s">
        <v>394</v>
      </c>
      <c r="Y16" s="39" t="str">
        <f>[1]MiscBanners!$B$4</f>
        <v>https://www.samsung.com/us/shop/all-deals/</v>
      </c>
      <c r="Z1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6" s="39" t="s">
        <v>394</v>
      </c>
      <c r="AB16" s="39" t="s">
        <v>394</v>
      </c>
      <c r="AC16" s="39" t="s">
        <v>394</v>
      </c>
      <c r="AD16" s="89" t="s">
        <v>408</v>
      </c>
      <c r="AE16" s="39" t="s">
        <v>394</v>
      </c>
      <c r="AF16" s="39" t="s">
        <v>394</v>
      </c>
      <c r="AG16" s="7" t="s">
        <v>559</v>
      </c>
      <c r="AH16" s="39" t="s">
        <v>561</v>
      </c>
      <c r="AI16" s="39" t="s">
        <v>394</v>
      </c>
      <c r="AJ16" s="39" t="str">
        <f>[1]MiscBanners!$B$4</f>
        <v>https://www.samsung.com/us/shop/all-deals/</v>
      </c>
      <c r="AK1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6" s="39" t="s">
        <v>394</v>
      </c>
      <c r="AM16" s="39" t="s">
        <v>394</v>
      </c>
      <c r="AN16" s="39" t="s">
        <v>394</v>
      </c>
      <c r="AO16" s="89" t="s">
        <v>368</v>
      </c>
      <c r="AP16" s="39" t="str">
        <f>CCModuleCopy!$B$13</f>
        <v>CE_HeadImage_Computing_500xV.jpg</v>
      </c>
      <c r="AQ16" s="39" t="str">
        <f>CCModuleCopy!$C$13</f>
        <v>Get up to 60% off memory cards, SSD, monitors and more</v>
      </c>
      <c r="AR16" s="39" t="str">
        <f>CCModuleCopy!$D$13</f>
        <v>NULL</v>
      </c>
      <c r="AS16" s="39" t="str">
        <f>CCModuleCopy!$E$13</f>
        <v xml:space="preserve">Expand the way you play, store and create and get up to 30% off monitors, up to 60% off memory cards, up to 35% off SSD and more. Work and game smarter, not harder with these must-have computing offers. </v>
      </c>
      <c r="AT16" s="39" t="str">
        <f>CCModuleCopy!$L$13</f>
        <v>Shop all</v>
      </c>
      <c r="AU16" s="39" t="str">
        <f>CCModuleCopy!$M$13</f>
        <v>https://www.samsung.com/us/shop/all-deals/laptop-and-computer-deals/</v>
      </c>
      <c r="AV16"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W16" s="39" t="str">
        <f>CCModuleCopy!$O$13</f>
        <v>NULL</v>
      </c>
      <c r="AX16" s="39" t="str">
        <f>CCModuleCopy!$P$13</f>
        <v>NULL</v>
      </c>
      <c r="AY16" s="39" t="str">
        <f>CCModuleCopy!$Q$13</f>
        <v>NULL</v>
      </c>
      <c r="AZ16" s="89" t="s">
        <v>371</v>
      </c>
      <c r="BA16" s="39" t="str">
        <f>CCModuleCopy!$B$5</f>
        <v>IM_HeadImage_Shop_Phones_500xV.jpg</v>
      </c>
      <c r="BB16" s="39" t="str">
        <f>CCModuleCopy!$C$5</f>
        <v>Save up to $1000 instantly on the latest and greatest Galaxy smartphones</v>
      </c>
      <c r="BC16" s="39" t="str">
        <f>CCModuleCopy!$D$5</f>
        <v>NULL</v>
      </c>
      <c r="BD16"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6" s="39" t="str">
        <f>CCModuleCopy!$L$5</f>
        <v>Shop all</v>
      </c>
      <c r="BF16" s="39" t="str">
        <f>CCModuleCopy!$M$5</f>
        <v>https://www.samsung.com/us/shop/all-deals/cell-phone-deals/</v>
      </c>
      <c r="BG16"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6" s="39" t="str">
        <f>CCModuleCopy!$O$5</f>
        <v>NULL</v>
      </c>
      <c r="BI16" s="39" t="str">
        <f>CCModuleCopy!$P$5</f>
        <v>NULL</v>
      </c>
      <c r="BJ16" s="39" t="str">
        <f>CCModuleCopy!$Q$5</f>
        <v>NULL</v>
      </c>
      <c r="BK16" s="89" t="s">
        <v>265</v>
      </c>
      <c r="BL16" s="39" t="str">
        <f>CCModuleCopy!$B$7</f>
        <v>HE_HeadImage_Shop_TVs_500xV.jpg</v>
      </c>
      <c r="BM16" s="39" t="str">
        <f>CCModuleCopy!$C$7</f>
        <v>Get up to $3000 off select 8K, 4K and Lifestyle TVs</v>
      </c>
      <c r="BN16" s="39" t="str">
        <f>CCModuleCopy!$D$7</f>
        <v>NULL</v>
      </c>
      <c r="BO1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6" s="39" t="str">
        <f>CCModuleCopy!$L$7</f>
        <v>Shop all</v>
      </c>
      <c r="BQ16" s="39" t="str">
        <f>CCModuleCopy!$M$7</f>
        <v>https://www.samsung.com/us/shop/all-deals/tv-and-home-theater-deals/</v>
      </c>
      <c r="BR16"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6" s="39" t="str">
        <f>CCModuleCopy!$O$7</f>
        <v>NULL</v>
      </c>
      <c r="BT16" s="39" t="str">
        <f>CCModuleCopy!$P$7</f>
        <v>NULL</v>
      </c>
      <c r="BU16" s="39" t="str">
        <f>CCModuleCopy!$Q$7</f>
        <v>NULL</v>
      </c>
      <c r="BV16" s="89" t="s">
        <v>266</v>
      </c>
      <c r="BW16" s="39" t="str">
        <f>CCModuleCopy!$B$15</f>
        <v>Tablet-HeadImage-500xV.jpg</v>
      </c>
      <c r="BX16" s="39" t="str">
        <f>CCModuleCopy!$C$15</f>
        <v>Save up to $150 on select tablets</v>
      </c>
      <c r="BY16" s="39" t="str">
        <f>CCModuleCopy!$D$15</f>
        <v>NULL</v>
      </c>
      <c r="BZ16" s="39" t="str">
        <f>CCModuleCopy!$E$15</f>
        <v xml:space="preserve">Empower how you create, learn, game and more with our powerful line of tablets. Shop offers on must-have products from the new Galaxy Tab S7+ to the Galaxy Tab S6 Lite. </v>
      </c>
      <c r="CA16" s="39" t="str">
        <f>CCModuleCopy!$L$15</f>
        <v>Shop all</v>
      </c>
      <c r="CB16" s="39" t="str">
        <f>CCModuleCopy!$M$15</f>
        <v>https://www.samsung.com/us/shop/all-deals/tablets-laptops-computers-deals/</v>
      </c>
      <c r="CC16"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6" s="39" t="str">
        <f>CCModuleCopy!$O$15</f>
        <v>NULL</v>
      </c>
      <c r="CE16" s="39" t="str">
        <f>CCModuleCopy!$P$15</f>
        <v>NULL</v>
      </c>
      <c r="CF16" s="39" t="str">
        <f>CCModuleCopy!$Q$15</f>
        <v>NULL</v>
      </c>
      <c r="CG16" s="89" t="s">
        <v>367</v>
      </c>
      <c r="CH16" s="39" t="str">
        <f>CCModuleCopy!$B$11</f>
        <v>ME_HeadImage_Wearables_500xV.jpg</v>
      </c>
      <c r="CI16" s="39" t="str">
        <f>CCModuleCopy!$C$11</f>
        <v>Get up to $100 off select watches and earbuds</v>
      </c>
      <c r="CJ16" s="39" t="str">
        <f>CCModuleCopy!$D$11</f>
        <v>NULL</v>
      </c>
      <c r="CK1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6" s="39" t="str">
        <f>CCModuleCopy!$L$11</f>
        <v>Shop all</v>
      </c>
      <c r="CM16" s="39" t="str">
        <f>CCModuleCopy!$M$11</f>
        <v>https://www.samsung.com/us/shop/all-deals/tablets-wearables-cell-phone-accessories-deals/</v>
      </c>
      <c r="CN16"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16" s="39" t="str">
        <f>CCModuleCopy!$O$11</f>
        <v>NULL</v>
      </c>
      <c r="CP16" s="39" t="str">
        <f>CCModuleCopy!$P$11</f>
        <v>NULL</v>
      </c>
      <c r="CQ16" s="39" t="str">
        <f>CCModuleCopy!$Q$11</f>
        <v>NULL</v>
      </c>
      <c r="CR16" s="89" t="s">
        <v>279</v>
      </c>
      <c r="CS16" s="39" t="str">
        <f>CCModuleCopy!$B$9</f>
        <v>HA_HeadImage_Shop_HA_500xV.jpg</v>
      </c>
      <c r="CT16" s="39" t="str">
        <f>CCModuleCopy!$C$9</f>
        <v>Save up to 50% on everything you need to upgrade your home and home care</v>
      </c>
      <c r="CU16" s="39" t="str">
        <f>CCModuleCopy!$D$9</f>
        <v>NULL</v>
      </c>
      <c r="CV1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6" s="39" t="str">
        <f>CCModuleCopy!$L$9</f>
        <v>Shop all</v>
      </c>
      <c r="CX16" s="39" t="str">
        <f>CCModuleCopy!$M$9</f>
        <v>https://www.samsung.com/us/shop/all-deals/home-appliance-and-smart-home-sales/</v>
      </c>
      <c r="CY16"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6" s="39" t="str">
        <f>CCModuleCopy!$O$9</f>
        <v>NULL</v>
      </c>
      <c r="DA16" s="39" t="str">
        <f>CCModuleCopy!$P$9</f>
        <v>NULL</v>
      </c>
      <c r="DB16" s="39" t="str">
        <f>CCModuleCopy!$Q$9</f>
        <v>NULL</v>
      </c>
      <c r="DC16" s="89" t="s">
        <v>280</v>
      </c>
      <c r="DD16" s="39" t="str">
        <f>MiscBanners!$H$4</f>
        <v>Give-wonder-500xV.jpg</v>
      </c>
      <c r="DE16" s="39" t="str">
        <f>MiscBanners!$I$4</f>
        <v>The gift that keeps on giving</v>
      </c>
      <c r="DF16" s="39" t="str">
        <f>MiscBanners!$J$4</f>
        <v>NULL</v>
      </c>
      <c r="DG16" s="91" t="str">
        <f>MiscBanners!$K$4</f>
        <v>Discover even more exclusive offers on your favorite products and unlock the power of smart and savvy gifting.</v>
      </c>
      <c r="DH16" s="39" t="str">
        <f>MiscBanners!$L$4</f>
        <v>Shop now</v>
      </c>
      <c r="DI16" s="39" t="str">
        <f>MiscBanners!$M$4</f>
        <v>https://www.samsung.com/us/gift-ideas/</v>
      </c>
      <c r="DJ16"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6" s="39" t="str">
        <f>MiscBanners!$O$4</f>
        <v>NULL</v>
      </c>
      <c r="DL16" s="39" t="str">
        <f>MiscBanners!$P$4</f>
        <v>NULL</v>
      </c>
      <c r="DM16" s="39" t="str">
        <f>MiscBanners!$Q$4</f>
        <v>NULL</v>
      </c>
      <c r="DN16" s="89" t="s">
        <v>273</v>
      </c>
      <c r="DR16" s="91"/>
      <c r="DY16" s="89" t="s">
        <v>481</v>
      </c>
      <c r="DZ16" s="39" t="s">
        <v>394</v>
      </c>
      <c r="EA16" s="39" t="s">
        <v>394</v>
      </c>
      <c r="EB16" s="39" t="s">
        <v>394</v>
      </c>
      <c r="EC16" s="91" t="s">
        <v>482</v>
      </c>
      <c r="ED16" s="39" t="s">
        <v>394</v>
      </c>
      <c r="EE16" s="39" t="s">
        <v>476</v>
      </c>
      <c r="EF16" s="39">
        <v>0</v>
      </c>
      <c r="EG16" s="39" t="s">
        <v>394</v>
      </c>
      <c r="EH16" s="39" t="s">
        <v>394</v>
      </c>
      <c r="EI16" s="39" t="s">
        <v>394</v>
      </c>
      <c r="EJ16" s="89" t="s">
        <v>439</v>
      </c>
      <c r="EK16" s="39" t="s">
        <v>394</v>
      </c>
      <c r="EL16" s="39" t="s">
        <v>394</v>
      </c>
      <c r="EM16" s="39" t="s">
        <v>394</v>
      </c>
      <c r="EN16" s="91" t="s">
        <v>483</v>
      </c>
      <c r="EO16" s="39" t="s">
        <v>394</v>
      </c>
      <c r="EP16" s="39" t="s">
        <v>476</v>
      </c>
      <c r="EQ16" s="39">
        <v>0</v>
      </c>
      <c r="ER16" s="39" t="s">
        <v>394</v>
      </c>
      <c r="ES16" s="39" t="s">
        <v>394</v>
      </c>
      <c r="ET16" s="39" t="s">
        <v>394</v>
      </c>
      <c r="EU16" s="89" t="s">
        <v>441</v>
      </c>
      <c r="EV16" s="39" t="s">
        <v>394</v>
      </c>
      <c r="EW16" s="39" t="s">
        <v>394</v>
      </c>
      <c r="EX16" s="39" t="s">
        <v>394</v>
      </c>
      <c r="EY16" s="91" t="s">
        <v>485</v>
      </c>
      <c r="EZ16" s="39" t="s">
        <v>394</v>
      </c>
      <c r="FA16" s="39">
        <v>0</v>
      </c>
      <c r="FB16" s="39">
        <v>0</v>
      </c>
      <c r="FC16" s="39" t="s">
        <v>394</v>
      </c>
      <c r="FD16" s="39" t="s">
        <v>394</v>
      </c>
      <c r="FE16" s="39" t="s">
        <v>394</v>
      </c>
      <c r="FF16" s="89"/>
      <c r="FJ16" s="91"/>
    </row>
    <row r="17" spans="1:172" s="39" customFormat="1" ht="99.95" customHeight="1" x14ac:dyDescent="0.25">
      <c r="A17" s="146" t="s">
        <v>235</v>
      </c>
      <c r="B17" s="39" t="s">
        <v>369</v>
      </c>
      <c r="C17" s="39" t="s">
        <v>237</v>
      </c>
      <c r="D17" s="39" t="s">
        <v>237</v>
      </c>
      <c r="E17" s="148" t="s">
        <v>370</v>
      </c>
      <c r="G17" s="88" t="s">
        <v>540</v>
      </c>
      <c r="H17" s="88" t="s">
        <v>539</v>
      </c>
      <c r="I17" s="89" t="s">
        <v>381</v>
      </c>
      <c r="J17" s="39" t="s">
        <v>394</v>
      </c>
      <c r="K17" s="39" t="s">
        <v>394</v>
      </c>
      <c r="L17" s="39" t="s">
        <v>394</v>
      </c>
      <c r="M17" s="39" t="s">
        <v>394</v>
      </c>
      <c r="N17" s="39" t="s">
        <v>394</v>
      </c>
      <c r="O17" s="39" t="s">
        <v>394</v>
      </c>
      <c r="P17" s="39" t="s">
        <v>394</v>
      </c>
      <c r="Q17" s="39" t="s">
        <v>394</v>
      </c>
      <c r="R17" s="39" t="s">
        <v>394</v>
      </c>
      <c r="S17" s="89" t="s">
        <v>407</v>
      </c>
      <c r="T17" s="39" t="str">
        <f>'Dynamic Banners'!$L$4</f>
        <v>Cyber-monday-1.png</v>
      </c>
      <c r="U17" s="39" t="str">
        <f>'Dynamic Banners'!$M$4</f>
        <v xml:space="preserve">The clock is ticking away for Cyber Monday </v>
      </c>
      <c r="V17" s="39" t="s">
        <v>394</v>
      </c>
      <c r="W17" s="39" t="str">
        <f>'Dynamic Banners'!$N$4</f>
        <v xml:space="preserve">Shop amazing offers on showstopping products while supplies last. </v>
      </c>
      <c r="X17" s="39" t="s">
        <v>394</v>
      </c>
      <c r="Y17" s="39" t="str">
        <f>[1]MiscBanners!$B$4</f>
        <v>https://www.samsung.com/us/shop/all-deals/</v>
      </c>
      <c r="Z1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7" s="39" t="s">
        <v>394</v>
      </c>
      <c r="AB17" s="39" t="s">
        <v>394</v>
      </c>
      <c r="AC17" s="39" t="s">
        <v>394</v>
      </c>
      <c r="AD17" s="89" t="s">
        <v>408</v>
      </c>
      <c r="AE17" s="39" t="s">
        <v>394</v>
      </c>
      <c r="AF17" s="39" t="s">
        <v>394</v>
      </c>
      <c r="AG17" s="7" t="s">
        <v>559</v>
      </c>
      <c r="AH17" s="39" t="s">
        <v>561</v>
      </c>
      <c r="AI17" s="39" t="s">
        <v>394</v>
      </c>
      <c r="AJ17" s="39" t="str">
        <f>[1]MiscBanners!$B$4</f>
        <v>https://www.samsung.com/us/shop/all-deals/</v>
      </c>
      <c r="AK1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7" s="39" t="s">
        <v>394</v>
      </c>
      <c r="AM17" s="39" t="s">
        <v>394</v>
      </c>
      <c r="AN17" s="39" t="s">
        <v>394</v>
      </c>
      <c r="AO17" s="89" t="s">
        <v>279</v>
      </c>
      <c r="AP17" s="39" t="str">
        <f>CCModuleCopy!$B$9</f>
        <v>HA_HeadImage_Shop_HA_500xV.jpg</v>
      </c>
      <c r="AQ17" s="39" t="str">
        <f>CCModuleCopy!$C$9</f>
        <v>Save up to 50% on everything you need to upgrade your home and home care</v>
      </c>
      <c r="AR17" s="39" t="str">
        <f>CCModuleCopy!$D$9</f>
        <v>NULL</v>
      </c>
      <c r="AS1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17" s="39" t="str">
        <f>CCModuleCopy!$L$9</f>
        <v>Shop all</v>
      </c>
      <c r="AU17" s="39" t="str">
        <f>CCModuleCopy!$M$9</f>
        <v>https://www.samsung.com/us/shop/all-deals/home-appliance-and-smart-home-sales/</v>
      </c>
      <c r="AV17"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AW17" s="39" t="str">
        <f>CCModuleCopy!$O$9</f>
        <v>NULL</v>
      </c>
      <c r="AX17" s="39" t="str">
        <f>CCModuleCopy!$P$9</f>
        <v>NULL</v>
      </c>
      <c r="AY17" s="39" t="str">
        <f>CCModuleCopy!$Q$9</f>
        <v>NULL</v>
      </c>
      <c r="AZ17" s="89" t="s">
        <v>371</v>
      </c>
      <c r="BA17" s="39" t="str">
        <f>CCModuleCopy!$B$5</f>
        <v>IM_HeadImage_Shop_Phones_500xV.jpg</v>
      </c>
      <c r="BB17" s="39" t="str">
        <f>CCModuleCopy!$C$5</f>
        <v>Save up to $1000 instantly on the latest and greatest Galaxy smartphones</v>
      </c>
      <c r="BC17" s="39" t="str">
        <f>CCModuleCopy!$D$5</f>
        <v>NULL</v>
      </c>
      <c r="BD17"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7" s="39" t="str">
        <f>CCModuleCopy!$L$5</f>
        <v>Shop all</v>
      </c>
      <c r="BF17" s="39" t="str">
        <f>CCModuleCopy!$M$5</f>
        <v>https://www.samsung.com/us/shop/all-deals/cell-phone-deals/</v>
      </c>
      <c r="BG17"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7" s="39" t="str">
        <f>CCModuleCopy!$O$5</f>
        <v>NULL</v>
      </c>
      <c r="BI17" s="39" t="str">
        <f>CCModuleCopy!$P$5</f>
        <v>NULL</v>
      </c>
      <c r="BJ17" s="39" t="str">
        <f>CCModuleCopy!$Q$5</f>
        <v>NULL</v>
      </c>
      <c r="BK17" s="89" t="s">
        <v>265</v>
      </c>
      <c r="BL17" s="39" t="str">
        <f>CCModuleCopy!$B$7</f>
        <v>HE_HeadImage_Shop_TVs_500xV.jpg</v>
      </c>
      <c r="BM17" s="39" t="str">
        <f>CCModuleCopy!$C$7</f>
        <v>Get up to $3000 off select 8K, 4K and Lifestyle TVs</v>
      </c>
      <c r="BN17" s="39" t="str">
        <f>CCModuleCopy!$D$7</f>
        <v>NULL</v>
      </c>
      <c r="BO1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7" s="39" t="str">
        <f>CCModuleCopy!$L$7</f>
        <v>Shop all</v>
      </c>
      <c r="BQ17" s="39" t="str">
        <f>CCModuleCopy!$M$7</f>
        <v>https://www.samsung.com/us/shop/all-deals/tv-and-home-theater-deals/</v>
      </c>
      <c r="BR17"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7" s="39" t="str">
        <f>CCModuleCopy!$O$7</f>
        <v>NULL</v>
      </c>
      <c r="BT17" s="39" t="str">
        <f>CCModuleCopy!$P$7</f>
        <v>NULL</v>
      </c>
      <c r="BU17" s="39" t="str">
        <f>CCModuleCopy!$Q$7</f>
        <v>NULL</v>
      </c>
      <c r="BV17" s="89" t="s">
        <v>266</v>
      </c>
      <c r="BW17" s="39" t="str">
        <f>CCModuleCopy!$B$15</f>
        <v>Tablet-HeadImage-500xV.jpg</v>
      </c>
      <c r="BX17" s="39" t="str">
        <f>CCModuleCopy!$C$15</f>
        <v>Save up to $150 on select tablets</v>
      </c>
      <c r="BY17" s="39" t="str">
        <f>CCModuleCopy!$D$15</f>
        <v>NULL</v>
      </c>
      <c r="BZ17" s="39" t="str">
        <f>CCModuleCopy!$E$15</f>
        <v xml:space="preserve">Empower how you create, learn, game and more with our powerful line of tablets. Shop offers on must-have products from the new Galaxy Tab S7+ to the Galaxy Tab S6 Lite. </v>
      </c>
      <c r="CA17" s="39" t="str">
        <f>CCModuleCopy!$L$15</f>
        <v>Shop all</v>
      </c>
      <c r="CB17" s="39" t="str">
        <f>CCModuleCopy!$M$15</f>
        <v>https://www.samsung.com/us/shop/all-deals/tablets-laptops-computers-deals/</v>
      </c>
      <c r="CC17"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7" s="39" t="str">
        <f>CCModuleCopy!$O$15</f>
        <v>NULL</v>
      </c>
      <c r="CE17" s="39" t="str">
        <f>CCModuleCopy!$P$15</f>
        <v>NULL</v>
      </c>
      <c r="CF17" s="39" t="str">
        <f>CCModuleCopy!$Q$15</f>
        <v>NULL</v>
      </c>
      <c r="CG17" s="89" t="s">
        <v>367</v>
      </c>
      <c r="CH17" s="39" t="str">
        <f>CCModuleCopy!$B$11</f>
        <v>ME_HeadImage_Wearables_500xV.jpg</v>
      </c>
      <c r="CI17" s="39" t="str">
        <f>CCModuleCopy!$C$11</f>
        <v>Get up to $100 off select watches and earbuds</v>
      </c>
      <c r="CJ17" s="39" t="str">
        <f>CCModuleCopy!$D$11</f>
        <v>NULL</v>
      </c>
      <c r="CK1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7" s="39" t="str">
        <f>CCModuleCopy!$L$11</f>
        <v>Shop all</v>
      </c>
      <c r="CM17" s="39" t="str">
        <f>CCModuleCopy!$M$11</f>
        <v>https://www.samsung.com/us/shop/all-deals/tablets-wearables-cell-phone-accessories-deals/</v>
      </c>
      <c r="CN17"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17" s="39" t="str">
        <f>CCModuleCopy!$O$11</f>
        <v>NULL</v>
      </c>
      <c r="CP17" s="39" t="str">
        <f>CCModuleCopy!$P$11</f>
        <v>NULL</v>
      </c>
      <c r="CQ17" s="39" t="str">
        <f>CCModuleCopy!$Q$11</f>
        <v>NULL</v>
      </c>
      <c r="CR17" s="89" t="s">
        <v>368</v>
      </c>
      <c r="CS17" s="39" t="str">
        <f>CCModuleCopy!$B$13</f>
        <v>CE_HeadImage_Computing_500xV.jpg</v>
      </c>
      <c r="CT17" s="39" t="str">
        <f>CCModuleCopy!$C$13</f>
        <v>Get up to 60% off memory cards, SSD, monitors and more</v>
      </c>
      <c r="CU17" s="39" t="str">
        <f>CCModuleCopy!$D$13</f>
        <v>NULL</v>
      </c>
      <c r="CV17" s="39" t="str">
        <f>CCModuleCopy!$E$13</f>
        <v xml:space="preserve">Expand the way you play, store and create and get up to 30% off monitors, up to 60% off memory cards, up to 35% off SSD and more. Work and game smarter, not harder with these must-have computing offers. </v>
      </c>
      <c r="CW17" s="39" t="str">
        <f>CCModuleCopy!$L$13</f>
        <v>Shop all</v>
      </c>
      <c r="CX17" s="39" t="str">
        <f>CCModuleCopy!$M$13</f>
        <v>https://www.samsung.com/us/shop/all-deals/laptop-and-computer-deals/</v>
      </c>
      <c r="CY17"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Z17" s="39" t="str">
        <f>CCModuleCopy!$O$13</f>
        <v>NULL</v>
      </c>
      <c r="DA17" s="39" t="str">
        <f>CCModuleCopy!$P$13</f>
        <v>NULL</v>
      </c>
      <c r="DB17" s="39" t="str">
        <f>CCModuleCopy!$Q$13</f>
        <v>NULL</v>
      </c>
      <c r="DC17" s="89" t="s">
        <v>280</v>
      </c>
      <c r="DD17" s="39" t="str">
        <f>MiscBanners!$H$4</f>
        <v>Give-wonder-500xV.jpg</v>
      </c>
      <c r="DE17" s="39" t="str">
        <f>MiscBanners!$I$4</f>
        <v>The gift that keeps on giving</v>
      </c>
      <c r="DF17" s="39" t="str">
        <f>MiscBanners!$J$4</f>
        <v>NULL</v>
      </c>
      <c r="DG17" s="91" t="str">
        <f>MiscBanners!$K$4</f>
        <v>Discover even more exclusive offers on your favorite products and unlock the power of smart and savvy gifting.</v>
      </c>
      <c r="DH17" s="39" t="str">
        <f>MiscBanners!$L$4</f>
        <v>Shop now</v>
      </c>
      <c r="DI17" s="39" t="str">
        <f>MiscBanners!$M$4</f>
        <v>https://www.samsung.com/us/gift-ideas/</v>
      </c>
      <c r="DJ17"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7" s="39" t="str">
        <f>MiscBanners!$O$4</f>
        <v>NULL</v>
      </c>
      <c r="DL17" s="39" t="str">
        <f>MiscBanners!$P$4</f>
        <v>NULL</v>
      </c>
      <c r="DM17" s="39" t="str">
        <f>MiscBanners!$Q$4</f>
        <v>NULL</v>
      </c>
      <c r="DN17" s="89" t="s">
        <v>273</v>
      </c>
      <c r="DR17" s="91"/>
      <c r="DY17" s="89" t="s">
        <v>481</v>
      </c>
      <c r="DZ17" s="39" t="s">
        <v>394</v>
      </c>
      <c r="EA17" s="39" t="s">
        <v>394</v>
      </c>
      <c r="EB17" s="39" t="s">
        <v>394</v>
      </c>
      <c r="EC17" s="91" t="s">
        <v>482</v>
      </c>
      <c r="ED17" s="39" t="s">
        <v>394</v>
      </c>
      <c r="EE17" s="39" t="s">
        <v>476</v>
      </c>
      <c r="EF17" s="39">
        <v>0</v>
      </c>
      <c r="EG17" s="39" t="s">
        <v>394</v>
      </c>
      <c r="EH17" s="39" t="s">
        <v>394</v>
      </c>
      <c r="EI17" s="39" t="s">
        <v>394</v>
      </c>
      <c r="EJ17" s="89" t="s">
        <v>439</v>
      </c>
      <c r="EK17" s="39" t="s">
        <v>394</v>
      </c>
      <c r="EL17" s="39" t="s">
        <v>394</v>
      </c>
      <c r="EM17" s="39" t="s">
        <v>394</v>
      </c>
      <c r="EN17" s="91" t="s">
        <v>483</v>
      </c>
      <c r="EO17" s="39" t="s">
        <v>394</v>
      </c>
      <c r="EP17" s="39" t="s">
        <v>476</v>
      </c>
      <c r="EQ17" s="39">
        <v>0</v>
      </c>
      <c r="ER17" s="39" t="s">
        <v>394</v>
      </c>
      <c r="ES17" s="39" t="s">
        <v>394</v>
      </c>
      <c r="ET17" s="39" t="s">
        <v>394</v>
      </c>
      <c r="EU17" s="89" t="s">
        <v>441</v>
      </c>
      <c r="EV17" s="39" t="s">
        <v>394</v>
      </c>
      <c r="EW17" s="39" t="s">
        <v>394</v>
      </c>
      <c r="EX17" s="39" t="s">
        <v>394</v>
      </c>
      <c r="EY17" s="91" t="s">
        <v>485</v>
      </c>
      <c r="EZ17" s="39" t="s">
        <v>394</v>
      </c>
      <c r="FA17" s="39">
        <v>0</v>
      </c>
      <c r="FB17" s="39">
        <v>0</v>
      </c>
      <c r="FC17" s="39" t="s">
        <v>394</v>
      </c>
      <c r="FD17" s="39" t="s">
        <v>394</v>
      </c>
      <c r="FE17" s="39" t="s">
        <v>394</v>
      </c>
      <c r="FF17" s="89"/>
      <c r="FJ17" s="91"/>
    </row>
    <row r="18" spans="1:172" s="39" customFormat="1" ht="99.95" customHeight="1" x14ac:dyDescent="0.25">
      <c r="A18" s="146" t="s">
        <v>235</v>
      </c>
      <c r="B18" s="39" t="s">
        <v>236</v>
      </c>
      <c r="C18" s="39" t="s">
        <v>237</v>
      </c>
      <c r="D18" s="39" t="s">
        <v>237</v>
      </c>
      <c r="E18" s="149" t="s">
        <v>382</v>
      </c>
      <c r="G18" s="88" t="s">
        <v>540</v>
      </c>
      <c r="H18" s="88" t="s">
        <v>539</v>
      </c>
      <c r="I18" s="89" t="s">
        <v>381</v>
      </c>
      <c r="J18" s="39" t="str">
        <f>[1]MiscBanners!$G$4</f>
        <v>Cross-Category_Black_Friday_Week_01.jpg</v>
      </c>
      <c r="K18" s="92" t="s">
        <v>392</v>
      </c>
      <c r="L18" s="92" t="s">
        <v>393</v>
      </c>
      <c r="M18" s="39" t="s">
        <v>394</v>
      </c>
      <c r="N18" s="39" t="s">
        <v>394</v>
      </c>
      <c r="O18" s="39" t="str">
        <f>[1]MiscBanners!$B$4</f>
        <v>https://www.samsung.com/us/shop/all-deals/</v>
      </c>
      <c r="P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18" s="39" t="s">
        <v>394</v>
      </c>
      <c r="R18" s="39" t="s">
        <v>394</v>
      </c>
      <c r="S18" s="89" t="s">
        <v>407</v>
      </c>
      <c r="T18" s="39" t="str">
        <f>'Dynamic Banners'!$L$4</f>
        <v>Cyber-monday-1.png</v>
      </c>
      <c r="U18" s="39" t="str">
        <f>'Dynamic Banners'!$M$4</f>
        <v xml:space="preserve">The clock is ticking away for Cyber Monday </v>
      </c>
      <c r="V18" s="39" t="s">
        <v>394</v>
      </c>
      <c r="W18" s="39" t="str">
        <f>'Dynamic Banners'!$N$4</f>
        <v xml:space="preserve">Shop amazing offers on showstopping products while supplies last. </v>
      </c>
      <c r="X18" s="39" t="s">
        <v>394</v>
      </c>
      <c r="Y18" s="39" t="str">
        <f>[1]MiscBanners!$B$4</f>
        <v>https://www.samsung.com/us/shop/all-deals/</v>
      </c>
      <c r="Z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8" s="39" t="s">
        <v>394</v>
      </c>
      <c r="AB18" s="39" t="s">
        <v>394</v>
      </c>
      <c r="AC18" s="39" t="s">
        <v>394</v>
      </c>
      <c r="AD18" s="89" t="s">
        <v>408</v>
      </c>
      <c r="AE18" s="39" t="s">
        <v>394</v>
      </c>
      <c r="AF18" s="39" t="s">
        <v>394</v>
      </c>
      <c r="AG18" s="7" t="s">
        <v>559</v>
      </c>
      <c r="AH18" s="39" t="s">
        <v>563</v>
      </c>
      <c r="AI18" s="39" t="s">
        <v>394</v>
      </c>
      <c r="AJ18" s="39" t="str">
        <f>[1]MiscBanners!$B$4</f>
        <v>https://www.samsung.com/us/shop/all-deals/</v>
      </c>
      <c r="AK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8" s="39" t="s">
        <v>394</v>
      </c>
      <c r="AM18" s="39" t="s">
        <v>394</v>
      </c>
      <c r="AN18" s="39" t="s">
        <v>394</v>
      </c>
      <c r="AO18" s="89" t="s">
        <v>267</v>
      </c>
      <c r="AP18" s="39" t="str">
        <f>CCModuleCopy!$B$3</f>
        <v>IM_HeadImage_Shop_Phones_500xV.jpg</v>
      </c>
      <c r="AQ18" s="39" t="str">
        <f>CCModuleCopy!$C$3</f>
        <v>Save up to $1000 instantly on the latest and greatest Galaxy smartphones</v>
      </c>
      <c r="AR18" s="39" t="str">
        <f>CCModuleCopy!$D$3</f>
        <v>NULL</v>
      </c>
      <c r="AS18"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AT18" s="39" t="str">
        <f>CCModuleCopy!$F$3</f>
        <v>Shop all</v>
      </c>
      <c r="AU18" s="39" t="str">
        <f>CCModuleCopy!$G$3</f>
        <v>https://www.samsung.com/us/shop/all-deals/cell-phone-deals/</v>
      </c>
      <c r="AV18"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W18" s="39" t="str">
        <f>CCModuleCopy!$I$3</f>
        <v>NULL</v>
      </c>
      <c r="AX18" s="39" t="str">
        <f>CCModuleCopy!$J$3</f>
        <v>NULL</v>
      </c>
      <c r="AY18" s="39" t="str">
        <f>CCModuleCopy!$K$3</f>
        <v>NULL</v>
      </c>
      <c r="AZ18" s="89" t="s">
        <v>265</v>
      </c>
      <c r="BA18" s="39" t="str">
        <f>CCModuleCopy!$B$7</f>
        <v>HE_HeadImage_Shop_TVs_500xV.jpg</v>
      </c>
      <c r="BB18" s="39" t="str">
        <f>CCModuleCopy!$C$7</f>
        <v>Get up to $3000 off select 8K, 4K and Lifestyle TVs</v>
      </c>
      <c r="BC18" s="39" t="str">
        <f>CCModuleCopy!$D$7</f>
        <v>NULL</v>
      </c>
      <c r="BD1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18" s="39" t="str">
        <f>CCModuleCopy!$F$7</f>
        <v>Shop all</v>
      </c>
      <c r="BF18" s="39" t="str">
        <f>CCModuleCopy!$G$7</f>
        <v>https://www.samsung.com/us/shop/all-deals/tv-and-home-theater-deals/</v>
      </c>
      <c r="BG18"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H18" s="39" t="str">
        <f>CCModuleCopy!$I$7</f>
        <v>NULL</v>
      </c>
      <c r="BI18" s="39" t="str">
        <f>CCModuleCopy!$J$7</f>
        <v>NULL</v>
      </c>
      <c r="BJ18" s="39" t="str">
        <f>CCModuleCopy!$K$7</f>
        <v>NULL</v>
      </c>
      <c r="BK18" s="89" t="s">
        <v>266</v>
      </c>
      <c r="BL18" s="39" t="str">
        <f>CCModuleCopy!$B$15</f>
        <v>Tablet-HeadImage-500xV.jpg</v>
      </c>
      <c r="BM18" s="39" t="str">
        <f>CCModuleCopy!$C$15</f>
        <v>Save up to $150 on select tablets</v>
      </c>
      <c r="BN18" s="39" t="str">
        <f>CCModuleCopy!$D$15</f>
        <v>NULL</v>
      </c>
      <c r="BO18" s="39" t="str">
        <f>CCModuleCopy!$E$15</f>
        <v xml:space="preserve">Empower how you create, learn, game and more with our powerful line of tablets. Shop offers on must-have products from the new Galaxy Tab S7+ to the Galaxy Tab S6 Lite. </v>
      </c>
      <c r="BP18" s="39" t="str">
        <f>CCModuleCopy!$F$15</f>
        <v>Shop all</v>
      </c>
      <c r="BQ18" s="39" t="str">
        <f>CCModuleCopy!$G$15</f>
        <v>https://www.samsung.com/us/shop/all-deals/tablets-laptops-computers-deals/</v>
      </c>
      <c r="BR18"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18" s="39" t="str">
        <f>CCModuleCopy!$I$15</f>
        <v>NULL</v>
      </c>
      <c r="BT18" s="39" t="str">
        <f>CCModuleCopy!$J$15</f>
        <v>NULL</v>
      </c>
      <c r="BU18" s="39" t="str">
        <f>CCModuleCopy!$K$15</f>
        <v>NULL</v>
      </c>
      <c r="BV18" s="89" t="s">
        <v>367</v>
      </c>
      <c r="BW18" s="39" t="str">
        <f>CCModuleCopy!$B$11</f>
        <v>ME_HeadImage_Wearables_500xV.jpg</v>
      </c>
      <c r="BX18" s="39" t="str">
        <f>CCModuleCopy!$C$11</f>
        <v>Get up to $100 off select watches and earbuds</v>
      </c>
      <c r="BY18" s="39" t="str">
        <f>CCModuleCopy!$D$11</f>
        <v>NULL</v>
      </c>
      <c r="BZ1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8" s="39" t="str">
        <f>CCModuleCopy!$F$11</f>
        <v>Shop all</v>
      </c>
      <c r="CB18" s="39" t="str">
        <f>CCModuleCopy!$G$11</f>
        <v>https://www.samsung.com/us/shop/all-deals/watches-audio-accessories-deals/</v>
      </c>
      <c r="CC18"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18" s="39" t="str">
        <f>CCModuleCopy!$I$11</f>
        <v>NULL</v>
      </c>
      <c r="CE18" s="39" t="str">
        <f>CCModuleCopy!$J$11</f>
        <v>NULL</v>
      </c>
      <c r="CF18" s="39" t="str">
        <f>CCModuleCopy!$K$11</f>
        <v>NULL</v>
      </c>
      <c r="CG18" s="89" t="s">
        <v>368</v>
      </c>
      <c r="CH18" s="39" t="str">
        <f>CCModuleCopy!$B$13</f>
        <v>CE_HeadImage_Computing_500xV.jpg</v>
      </c>
      <c r="CI18" s="39" t="str">
        <f>CCModuleCopy!$C$13</f>
        <v>Get up to 60% off memory cards, SSD, monitors and more</v>
      </c>
      <c r="CJ18" s="39" t="str">
        <f>CCModuleCopy!$D$13</f>
        <v>NULL</v>
      </c>
      <c r="CK18" s="39" t="str">
        <f>CCModuleCopy!$E$13</f>
        <v xml:space="preserve">Expand the way you play, store and create and get up to 30% off monitors, up to 60% off memory cards, up to 35% off SSD and more. Work and game smarter, not harder with these must-have computing offers. </v>
      </c>
      <c r="CL18" s="39" t="str">
        <f>CCModuleCopy!$F$13</f>
        <v>Shop all</v>
      </c>
      <c r="CM18" s="39" t="str">
        <f>CCModuleCopy!$G$13</f>
        <v>https://www.samsung.com/us/shop/all-deals/tablets-laptops-computers-deals/</v>
      </c>
      <c r="CN18"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18" s="39" t="str">
        <f>CCModuleCopy!$I$13</f>
        <v>NULL</v>
      </c>
      <c r="CP18" s="39" t="str">
        <f>CCModuleCopy!$J$13</f>
        <v>NULL</v>
      </c>
      <c r="CQ18" s="39" t="str">
        <f>CCModuleCopy!$K$13</f>
        <v>NULL</v>
      </c>
      <c r="CR18" s="89" t="s">
        <v>279</v>
      </c>
      <c r="CS18" s="39" t="str">
        <f>CCModuleCopy!$B$9</f>
        <v>HA_HeadImage_Shop_HA_500xV.jpg</v>
      </c>
      <c r="CT18" s="39" t="str">
        <f>CCModuleCopy!$C$9</f>
        <v>Save up to 50% on everything you need to upgrade your home and home care</v>
      </c>
      <c r="CU18" s="39" t="str">
        <f>CCModuleCopy!$D$9</f>
        <v>NULL</v>
      </c>
      <c r="CV1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8" s="39" t="str">
        <f>CCModuleCopy!$F$9</f>
        <v>Shop all</v>
      </c>
      <c r="CX18" s="39" t="str">
        <f>CCModuleCopy!$G$9</f>
        <v>https://www.samsung.com/us/shop/all-deals/home-appliance-and-smart-home-sales/</v>
      </c>
      <c r="CY18"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8" s="39" t="str">
        <f>CCModuleCopy!$I$9</f>
        <v>NULL</v>
      </c>
      <c r="DA18" s="39" t="str">
        <f>CCModuleCopy!$J$9</f>
        <v>NULL</v>
      </c>
      <c r="DB18" s="39" t="str">
        <f>CCModuleCopy!$K$9</f>
        <v>NULL</v>
      </c>
      <c r="DC18" s="89" t="s">
        <v>280</v>
      </c>
      <c r="DD18" s="39" t="str">
        <f>MiscBanners!$H$4</f>
        <v>Give-wonder-500xV.jpg</v>
      </c>
      <c r="DE18" s="39" t="str">
        <f>MiscBanners!$I$4</f>
        <v>The gift that keeps on giving</v>
      </c>
      <c r="DF18" s="39" t="str">
        <f>MiscBanners!$J$4</f>
        <v>NULL</v>
      </c>
      <c r="DG18" s="91" t="str">
        <f>MiscBanners!$K$4</f>
        <v>Discover even more exclusive offers on your favorite products and unlock the power of smart and savvy gifting.</v>
      </c>
      <c r="DH18" s="39" t="str">
        <f>MiscBanners!$L$4</f>
        <v>Shop now</v>
      </c>
      <c r="DI18" s="39" t="str">
        <f>MiscBanners!$M$4</f>
        <v>https://www.samsung.com/us/gift-ideas/</v>
      </c>
      <c r="DJ18"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8" s="39" t="str">
        <f>MiscBanners!$O$4</f>
        <v>NULL</v>
      </c>
      <c r="DL18" s="39" t="str">
        <f>MiscBanners!$P$4</f>
        <v>NULL</v>
      </c>
      <c r="DM18" s="39" t="str">
        <f>MiscBanners!$Q$4</f>
        <v>NULL</v>
      </c>
      <c r="DN18" s="89" t="s">
        <v>273</v>
      </c>
      <c r="DR18" s="91"/>
      <c r="DY18" s="89" t="s">
        <v>481</v>
      </c>
      <c r="DZ18" s="39" t="s">
        <v>394</v>
      </c>
      <c r="EA18" s="39" t="s">
        <v>394</v>
      </c>
      <c r="EB18" s="39" t="s">
        <v>394</v>
      </c>
      <c r="EC18" s="91" t="s">
        <v>482</v>
      </c>
      <c r="ED18" s="39" t="s">
        <v>394</v>
      </c>
      <c r="EE18" s="39" t="s">
        <v>476</v>
      </c>
      <c r="EF18" s="39">
        <v>0</v>
      </c>
      <c r="EG18" s="39" t="s">
        <v>394</v>
      </c>
      <c r="EH18" s="39" t="s">
        <v>394</v>
      </c>
      <c r="EI18" s="39" t="s">
        <v>394</v>
      </c>
      <c r="EJ18" s="89" t="s">
        <v>439</v>
      </c>
      <c r="EK18" s="39" t="s">
        <v>394</v>
      </c>
      <c r="EL18" s="39" t="s">
        <v>394</v>
      </c>
      <c r="EM18" s="39" t="s">
        <v>394</v>
      </c>
      <c r="EN18" s="91" t="s">
        <v>483</v>
      </c>
      <c r="EO18" s="39" t="s">
        <v>394</v>
      </c>
      <c r="EP18" s="39" t="s">
        <v>476</v>
      </c>
      <c r="EQ18" s="39">
        <v>0</v>
      </c>
      <c r="ER18" s="39" t="s">
        <v>394</v>
      </c>
      <c r="ES18" s="39" t="s">
        <v>394</v>
      </c>
      <c r="ET18" s="39" t="s">
        <v>394</v>
      </c>
      <c r="EU18" s="89" t="s">
        <v>441</v>
      </c>
      <c r="EV18" s="39" t="s">
        <v>394</v>
      </c>
      <c r="EW18" s="39" t="s">
        <v>394</v>
      </c>
      <c r="EX18" s="39" t="s">
        <v>394</v>
      </c>
      <c r="EY18" s="91" t="s">
        <v>484</v>
      </c>
      <c r="EZ18" s="39" t="s">
        <v>394</v>
      </c>
      <c r="FA18" s="39" t="s">
        <v>476</v>
      </c>
      <c r="FB18" s="39">
        <v>0</v>
      </c>
      <c r="FC18" s="39" t="s">
        <v>394</v>
      </c>
      <c r="FD18" s="39" t="s">
        <v>394</v>
      </c>
      <c r="FE18" s="39" t="s">
        <v>394</v>
      </c>
      <c r="FF18" s="89" t="s">
        <v>477</v>
      </c>
      <c r="FG18" s="39" t="s">
        <v>394</v>
      </c>
      <c r="FH18" s="39" t="s">
        <v>394</v>
      </c>
      <c r="FI18" s="39" t="s">
        <v>394</v>
      </c>
      <c r="FJ18" s="91" t="s">
        <v>485</v>
      </c>
      <c r="FK18" s="39" t="s">
        <v>394</v>
      </c>
      <c r="FL18" s="39">
        <v>0</v>
      </c>
      <c r="FM18" s="39">
        <v>0</v>
      </c>
      <c r="FN18" s="39" t="s">
        <v>394</v>
      </c>
      <c r="FO18" s="39" t="s">
        <v>394</v>
      </c>
      <c r="FP18" s="39" t="s">
        <v>394</v>
      </c>
    </row>
    <row r="19" spans="1:172" s="39" customFormat="1" ht="99.95" customHeight="1" x14ac:dyDescent="0.25">
      <c r="A19" s="146" t="s">
        <v>235</v>
      </c>
      <c r="B19" s="39" t="s">
        <v>240</v>
      </c>
      <c r="C19" s="39" t="s">
        <v>237</v>
      </c>
      <c r="D19" s="39" t="s">
        <v>237</v>
      </c>
      <c r="E19" s="149" t="s">
        <v>382</v>
      </c>
      <c r="G19" s="88" t="s">
        <v>540</v>
      </c>
      <c r="H19" s="88" t="s">
        <v>539</v>
      </c>
      <c r="I19" s="89" t="s">
        <v>381</v>
      </c>
      <c r="J19" s="39" t="str">
        <f>[1]MiscBanners!$G$4</f>
        <v>Cross-Category_Black_Friday_Week_01.jpg</v>
      </c>
      <c r="K19" s="92" t="s">
        <v>392</v>
      </c>
      <c r="L19" s="92" t="s">
        <v>393</v>
      </c>
      <c r="M19" s="39" t="s">
        <v>394</v>
      </c>
      <c r="N19" s="39" t="s">
        <v>394</v>
      </c>
      <c r="O19" s="39" t="str">
        <f>[1]MiscBanners!$B$4</f>
        <v>https://www.samsung.com/us/shop/all-deals/</v>
      </c>
      <c r="P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19" s="39" t="s">
        <v>394</v>
      </c>
      <c r="R19" s="39" t="s">
        <v>394</v>
      </c>
      <c r="S19" s="89" t="s">
        <v>407</v>
      </c>
      <c r="T19" s="39" t="str">
        <f>'Dynamic Banners'!$L$4</f>
        <v>Cyber-monday-1.png</v>
      </c>
      <c r="U19" s="39" t="str">
        <f>'Dynamic Banners'!$M$4</f>
        <v xml:space="preserve">The clock is ticking away for Cyber Monday </v>
      </c>
      <c r="V19" s="39" t="s">
        <v>394</v>
      </c>
      <c r="W19" s="39" t="str">
        <f>'Dynamic Banners'!$N$4</f>
        <v xml:space="preserve">Shop amazing offers on showstopping products while supplies last. </v>
      </c>
      <c r="X19" s="39" t="s">
        <v>394</v>
      </c>
      <c r="Y19" s="39" t="str">
        <f>[1]MiscBanners!$B$4</f>
        <v>https://www.samsung.com/us/shop/all-deals/</v>
      </c>
      <c r="Z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9" s="39" t="s">
        <v>394</v>
      </c>
      <c r="AB19" s="39" t="s">
        <v>394</v>
      </c>
      <c r="AC19" s="39" t="s">
        <v>394</v>
      </c>
      <c r="AD19" s="89" t="s">
        <v>408</v>
      </c>
      <c r="AE19" s="39" t="s">
        <v>394</v>
      </c>
      <c r="AF19" s="39" t="s">
        <v>394</v>
      </c>
      <c r="AG19" s="7" t="s">
        <v>559</v>
      </c>
      <c r="AH19" s="39" t="s">
        <v>561</v>
      </c>
      <c r="AI19" s="39" t="s">
        <v>394</v>
      </c>
      <c r="AJ19" s="39" t="str">
        <f>[1]MiscBanners!$B$4</f>
        <v>https://www.samsung.com/us/shop/all-deals/</v>
      </c>
      <c r="AK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9" s="39" t="s">
        <v>394</v>
      </c>
      <c r="AM19" s="39" t="s">
        <v>394</v>
      </c>
      <c r="AN19" s="39" t="s">
        <v>394</v>
      </c>
      <c r="AO19" s="89" t="s">
        <v>265</v>
      </c>
      <c r="AP19" s="39" t="str">
        <f>CCModuleCopy!$B$7</f>
        <v>HE_HeadImage_Shop_TVs_500xV.jpg</v>
      </c>
      <c r="AQ19" s="39" t="str">
        <f>CCModuleCopy!$C$7</f>
        <v>Get up to $3000 off select 8K, 4K and Lifestyle TVs</v>
      </c>
      <c r="AR19" s="39" t="str">
        <f>CCModuleCopy!$D$7</f>
        <v>NULL</v>
      </c>
      <c r="AS1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19" s="39" t="str">
        <f>CCModuleCopy!$F$7</f>
        <v>Shop all</v>
      </c>
      <c r="AU19" s="39" t="str">
        <f>CCModuleCopy!$G$7</f>
        <v>https://www.samsung.com/us/shop/all-deals/tv-and-home-theater-deals/</v>
      </c>
      <c r="AV19"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W19" s="39" t="str">
        <f>CCModuleCopy!$I$7</f>
        <v>NULL</v>
      </c>
      <c r="AX19" s="39" t="str">
        <f>CCModuleCopy!$J$7</f>
        <v>NULL</v>
      </c>
      <c r="AY19" s="39" t="str">
        <f>CCModuleCopy!$K$7</f>
        <v>NULL</v>
      </c>
      <c r="AZ19" s="89" t="s">
        <v>267</v>
      </c>
      <c r="BA19" s="39" t="str">
        <f>CCModuleCopy!$B$3</f>
        <v>IM_HeadImage_Shop_Phones_500xV.jpg</v>
      </c>
      <c r="BB19" s="39" t="str">
        <f>CCModuleCopy!$C$3</f>
        <v>Save up to $1000 instantly on the latest and greatest Galaxy smartphones</v>
      </c>
      <c r="BC19" s="39" t="str">
        <f>CCModuleCopy!$D$3</f>
        <v>NULL</v>
      </c>
      <c r="BD19"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9" s="39" t="str">
        <f>CCModuleCopy!$F$3</f>
        <v>Shop all</v>
      </c>
      <c r="BF19" s="39" t="str">
        <f>CCModuleCopy!$G$3</f>
        <v>https://www.samsung.com/us/shop/all-deals/cell-phone-deals/</v>
      </c>
      <c r="BG19"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9" s="39" t="str">
        <f>CCModuleCopy!$I$3</f>
        <v>NULL</v>
      </c>
      <c r="BI19" s="39" t="str">
        <f>CCModuleCopy!$J$3</f>
        <v>NULL</v>
      </c>
      <c r="BJ19" s="39" t="str">
        <f>CCModuleCopy!$K$3</f>
        <v>NULL</v>
      </c>
      <c r="BK19" s="89" t="s">
        <v>266</v>
      </c>
      <c r="BL19" s="39" t="str">
        <f>CCModuleCopy!$B$15</f>
        <v>Tablet-HeadImage-500xV.jpg</v>
      </c>
      <c r="BM19" s="39" t="str">
        <f>CCModuleCopy!$C$15</f>
        <v>Save up to $150 on select tablets</v>
      </c>
      <c r="BN19" s="39" t="str">
        <f>CCModuleCopy!$D$15</f>
        <v>NULL</v>
      </c>
      <c r="BO19" s="39" t="str">
        <f>CCModuleCopy!$E$15</f>
        <v xml:space="preserve">Empower how you create, learn, game and more with our powerful line of tablets. Shop offers on must-have products from the new Galaxy Tab S7+ to the Galaxy Tab S6 Lite. </v>
      </c>
      <c r="BP19" s="39" t="str">
        <f>CCModuleCopy!$F$15</f>
        <v>Shop all</v>
      </c>
      <c r="BQ19" s="39" t="str">
        <f>CCModuleCopy!$G$15</f>
        <v>https://www.samsung.com/us/shop/all-deals/tablets-laptops-computers-deals/</v>
      </c>
      <c r="BR19"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19" s="39" t="str">
        <f>CCModuleCopy!$I$15</f>
        <v>NULL</v>
      </c>
      <c r="BT19" s="39" t="str">
        <f>CCModuleCopy!$J$15</f>
        <v>NULL</v>
      </c>
      <c r="BU19" s="39" t="str">
        <f>CCModuleCopy!$K$15</f>
        <v>NULL</v>
      </c>
      <c r="BV19" s="89" t="s">
        <v>367</v>
      </c>
      <c r="BW19" s="39" t="str">
        <f>CCModuleCopy!$B$11</f>
        <v>ME_HeadImage_Wearables_500xV.jpg</v>
      </c>
      <c r="BX19" s="39" t="str">
        <f>CCModuleCopy!$C$11</f>
        <v>Get up to $100 off select watches and earbuds</v>
      </c>
      <c r="BY19" s="39" t="str">
        <f>CCModuleCopy!$D$11</f>
        <v>NULL</v>
      </c>
      <c r="BZ1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9" s="39" t="str">
        <f>CCModuleCopy!$F$11</f>
        <v>Shop all</v>
      </c>
      <c r="CB19" s="39" t="str">
        <f>CCModuleCopy!$G$11</f>
        <v>https://www.samsung.com/us/shop/all-deals/watches-audio-accessories-deals/</v>
      </c>
      <c r="CC19"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19" s="39" t="str">
        <f>CCModuleCopy!$I$11</f>
        <v>NULL</v>
      </c>
      <c r="CE19" s="39" t="str">
        <f>CCModuleCopy!$J$11</f>
        <v>NULL</v>
      </c>
      <c r="CF19" s="39" t="str">
        <f>CCModuleCopy!$K$11</f>
        <v>NULL</v>
      </c>
      <c r="CG19" s="89" t="s">
        <v>368</v>
      </c>
      <c r="CH19" s="39" t="str">
        <f>CCModuleCopy!$B$13</f>
        <v>CE_HeadImage_Computing_500xV.jpg</v>
      </c>
      <c r="CI19" s="39" t="str">
        <f>CCModuleCopy!$C$13</f>
        <v>Get up to 60% off memory cards, SSD, monitors and more</v>
      </c>
      <c r="CJ19" s="39" t="str">
        <f>CCModuleCopy!$D$13</f>
        <v>NULL</v>
      </c>
      <c r="CK19" s="39" t="str">
        <f>CCModuleCopy!$E$13</f>
        <v xml:space="preserve">Expand the way you play, store and create and get up to 30% off monitors, up to 60% off memory cards, up to 35% off SSD and more. Work and game smarter, not harder with these must-have computing offers. </v>
      </c>
      <c r="CL19" s="39" t="str">
        <f>CCModuleCopy!$F$13</f>
        <v>Shop all</v>
      </c>
      <c r="CM19" s="39" t="str">
        <f>CCModuleCopy!$G$13</f>
        <v>https://www.samsung.com/us/shop/all-deals/tablets-laptops-computers-deals/</v>
      </c>
      <c r="CN19"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19" s="39" t="str">
        <f>CCModuleCopy!$I$13</f>
        <v>NULL</v>
      </c>
      <c r="CP19" s="39" t="str">
        <f>CCModuleCopy!$J$13</f>
        <v>NULL</v>
      </c>
      <c r="CQ19" s="39" t="str">
        <f>CCModuleCopy!$K$13</f>
        <v>NULL</v>
      </c>
      <c r="CR19" s="89" t="s">
        <v>279</v>
      </c>
      <c r="CS19" s="39" t="str">
        <f>CCModuleCopy!$B$9</f>
        <v>HA_HeadImage_Shop_HA_500xV.jpg</v>
      </c>
      <c r="CT19" s="39" t="str">
        <f>CCModuleCopy!$C$9</f>
        <v>Save up to 50% on everything you need to upgrade your home and home care</v>
      </c>
      <c r="CU19" s="39" t="str">
        <f>CCModuleCopy!$D$9</f>
        <v>NULL</v>
      </c>
      <c r="CV1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9" s="39" t="str">
        <f>CCModuleCopy!$F$9</f>
        <v>Shop all</v>
      </c>
      <c r="CX19" s="39" t="str">
        <f>CCModuleCopy!$G$9</f>
        <v>https://www.samsung.com/us/shop/all-deals/home-appliance-and-smart-home-sales/</v>
      </c>
      <c r="CY19"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9" s="39" t="str">
        <f>CCModuleCopy!$I$9</f>
        <v>NULL</v>
      </c>
      <c r="DA19" s="39" t="str">
        <f>CCModuleCopy!$J$9</f>
        <v>NULL</v>
      </c>
      <c r="DB19" s="39" t="str">
        <f>CCModuleCopy!$K$9</f>
        <v>NULL</v>
      </c>
      <c r="DC19" s="89" t="s">
        <v>280</v>
      </c>
      <c r="DD19" s="39" t="str">
        <f>MiscBanners!$H$4</f>
        <v>Give-wonder-500xV.jpg</v>
      </c>
      <c r="DE19" s="39" t="str">
        <f>MiscBanners!$I$4</f>
        <v>The gift that keeps on giving</v>
      </c>
      <c r="DF19" s="39" t="str">
        <f>MiscBanners!$J$4</f>
        <v>NULL</v>
      </c>
      <c r="DG19" s="91" t="str">
        <f>MiscBanners!$K$4</f>
        <v>Discover even more exclusive offers on your favorite products and unlock the power of smart and savvy gifting.</v>
      </c>
      <c r="DH19" s="39" t="str">
        <f>MiscBanners!$L$4</f>
        <v>Shop now</v>
      </c>
      <c r="DI19" s="39" t="str">
        <f>MiscBanners!$M$4</f>
        <v>https://www.samsung.com/us/gift-ideas/</v>
      </c>
      <c r="DJ19"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9" s="39" t="str">
        <f>MiscBanners!$O$4</f>
        <v>NULL</v>
      </c>
      <c r="DL19" s="39" t="str">
        <f>MiscBanners!$P$4</f>
        <v>NULL</v>
      </c>
      <c r="DM19" s="39" t="str">
        <f>MiscBanners!$Q$4</f>
        <v>NULL</v>
      </c>
      <c r="DN19" s="89" t="s">
        <v>273</v>
      </c>
      <c r="DR19" s="91"/>
      <c r="DY19" s="89" t="s">
        <v>481</v>
      </c>
      <c r="DZ19" s="39" t="s">
        <v>394</v>
      </c>
      <c r="EA19" s="39" t="s">
        <v>394</v>
      </c>
      <c r="EB19" s="39" t="s">
        <v>394</v>
      </c>
      <c r="EC19" s="91" t="s">
        <v>482</v>
      </c>
      <c r="ED19" s="39" t="s">
        <v>394</v>
      </c>
      <c r="EE19" s="39" t="s">
        <v>476</v>
      </c>
      <c r="EF19" s="39">
        <v>0</v>
      </c>
      <c r="EG19" s="39" t="s">
        <v>394</v>
      </c>
      <c r="EH19" s="39" t="s">
        <v>394</v>
      </c>
      <c r="EI19" s="39" t="s">
        <v>394</v>
      </c>
      <c r="EJ19" s="89" t="s">
        <v>439</v>
      </c>
      <c r="EK19" s="39" t="s">
        <v>394</v>
      </c>
      <c r="EL19" s="39" t="s">
        <v>394</v>
      </c>
      <c r="EM19" s="39" t="s">
        <v>394</v>
      </c>
      <c r="EN19" s="91" t="s">
        <v>483</v>
      </c>
      <c r="EO19" s="39" t="s">
        <v>394</v>
      </c>
      <c r="EP19" s="39" t="s">
        <v>476</v>
      </c>
      <c r="EQ19" s="39">
        <v>0</v>
      </c>
      <c r="ER19" s="39" t="s">
        <v>394</v>
      </c>
      <c r="ES19" s="39" t="s">
        <v>394</v>
      </c>
      <c r="ET19" s="39" t="s">
        <v>394</v>
      </c>
      <c r="EU19" s="89" t="s">
        <v>441</v>
      </c>
      <c r="EV19" s="39" t="s">
        <v>394</v>
      </c>
      <c r="EW19" s="39" t="s">
        <v>394</v>
      </c>
      <c r="EX19" s="39" t="s">
        <v>394</v>
      </c>
      <c r="EY19" s="91" t="s">
        <v>484</v>
      </c>
      <c r="EZ19" s="39" t="s">
        <v>394</v>
      </c>
      <c r="FA19" s="39" t="s">
        <v>476</v>
      </c>
      <c r="FB19" s="39">
        <v>0</v>
      </c>
      <c r="FC19" s="39" t="s">
        <v>394</v>
      </c>
      <c r="FD19" s="39" t="s">
        <v>394</v>
      </c>
      <c r="FE19" s="39" t="s">
        <v>394</v>
      </c>
      <c r="FF19" s="89" t="s">
        <v>477</v>
      </c>
      <c r="FG19" s="39" t="s">
        <v>394</v>
      </c>
      <c r="FH19" s="39" t="s">
        <v>394</v>
      </c>
      <c r="FI19" s="39" t="s">
        <v>394</v>
      </c>
      <c r="FJ19" s="91" t="s">
        <v>485</v>
      </c>
      <c r="FK19" s="39" t="s">
        <v>394</v>
      </c>
      <c r="FL19" s="39">
        <v>0</v>
      </c>
      <c r="FM19" s="39">
        <v>0</v>
      </c>
      <c r="FN19" s="39" t="s">
        <v>394</v>
      </c>
      <c r="FO19" s="39" t="s">
        <v>394</v>
      </c>
      <c r="FP19" s="39" t="s">
        <v>394</v>
      </c>
    </row>
    <row r="20" spans="1:172" s="39" customFormat="1" ht="99.95" customHeight="1" x14ac:dyDescent="0.25">
      <c r="A20" s="146" t="s">
        <v>235</v>
      </c>
      <c r="B20" s="92" t="s">
        <v>241</v>
      </c>
      <c r="C20" s="39" t="s">
        <v>237</v>
      </c>
      <c r="D20" s="39" t="s">
        <v>237</v>
      </c>
      <c r="E20" s="149" t="s">
        <v>382</v>
      </c>
      <c r="G20" s="88" t="s">
        <v>540</v>
      </c>
      <c r="H20" s="88" t="s">
        <v>539</v>
      </c>
      <c r="I20" s="89" t="s">
        <v>381</v>
      </c>
      <c r="J20" s="39" t="str">
        <f>[1]MiscBanners!$G$4</f>
        <v>Cross-Category_Black_Friday_Week_01.jpg</v>
      </c>
      <c r="K20" s="92" t="s">
        <v>392</v>
      </c>
      <c r="L20" s="92" t="s">
        <v>393</v>
      </c>
      <c r="M20" s="39" t="s">
        <v>394</v>
      </c>
      <c r="N20" s="39" t="s">
        <v>394</v>
      </c>
      <c r="O20" s="39" t="str">
        <f>[1]MiscBanners!$B$4</f>
        <v>https://www.samsung.com/us/shop/all-deals/</v>
      </c>
      <c r="P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0" s="39" t="s">
        <v>394</v>
      </c>
      <c r="R20" s="39" t="s">
        <v>394</v>
      </c>
      <c r="S20" s="89" t="s">
        <v>407</v>
      </c>
      <c r="T20" s="39" t="str">
        <f>'Dynamic Banners'!$L$4</f>
        <v>Cyber-monday-1.png</v>
      </c>
      <c r="U20" s="39" t="str">
        <f>'Dynamic Banners'!$M$4</f>
        <v xml:space="preserve">The clock is ticking away for Cyber Monday </v>
      </c>
      <c r="V20" s="39" t="s">
        <v>394</v>
      </c>
      <c r="W20" s="39" t="str">
        <f>'Dynamic Banners'!$N$4</f>
        <v xml:space="preserve">Shop amazing offers on showstopping products while supplies last. </v>
      </c>
      <c r="X20" s="39" t="s">
        <v>394</v>
      </c>
      <c r="Y20" s="39" t="str">
        <f>[1]MiscBanners!$B$4</f>
        <v>https://www.samsung.com/us/shop/all-deals/</v>
      </c>
      <c r="Z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0" s="39" t="s">
        <v>394</v>
      </c>
      <c r="AB20" s="39" t="s">
        <v>394</v>
      </c>
      <c r="AC20" s="39" t="s">
        <v>394</v>
      </c>
      <c r="AD20" s="89" t="s">
        <v>408</v>
      </c>
      <c r="AE20" s="39" t="s">
        <v>394</v>
      </c>
      <c r="AF20" s="39" t="s">
        <v>394</v>
      </c>
      <c r="AG20" s="7" t="s">
        <v>559</v>
      </c>
      <c r="AH20" s="39" t="s">
        <v>561</v>
      </c>
      <c r="AI20" s="39" t="s">
        <v>394</v>
      </c>
      <c r="AJ20" s="39" t="str">
        <f>[1]MiscBanners!$B$4</f>
        <v>https://www.samsung.com/us/shop/all-deals/</v>
      </c>
      <c r="AK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0" s="39" t="s">
        <v>394</v>
      </c>
      <c r="AM20" s="39" t="s">
        <v>394</v>
      </c>
      <c r="AN20" s="39" t="s">
        <v>394</v>
      </c>
      <c r="AO20" s="89" t="s">
        <v>266</v>
      </c>
      <c r="AP20" s="39" t="str">
        <f>CCModuleCopy!$B$15</f>
        <v>Tablet-HeadImage-500xV.jpg</v>
      </c>
      <c r="AQ20" s="39" t="str">
        <f>CCModuleCopy!$C$15</f>
        <v>Save up to $150 on select tablets</v>
      </c>
      <c r="AR20" s="39" t="str">
        <f>CCModuleCopy!$D$15</f>
        <v>NULL</v>
      </c>
      <c r="AS20" s="39" t="str">
        <f>CCModuleCopy!$E$15</f>
        <v xml:space="preserve">Empower how you create, learn, game and more with our powerful line of tablets. Shop offers on must-have products from the new Galaxy Tab S7+ to the Galaxy Tab S6 Lite. </v>
      </c>
      <c r="AT20" s="39" t="str">
        <f>CCModuleCopy!$F$15</f>
        <v>Shop all</v>
      </c>
      <c r="AU20" s="39" t="str">
        <f>CCModuleCopy!$G$15</f>
        <v>https://www.samsung.com/us/shop/all-deals/tablets-laptops-computers-deals/</v>
      </c>
      <c r="AV20"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W20" s="39" t="str">
        <f>CCModuleCopy!$I$15</f>
        <v>NULL</v>
      </c>
      <c r="AX20" s="39" t="str">
        <f>CCModuleCopy!$J$15</f>
        <v>NULL</v>
      </c>
      <c r="AY20" s="39" t="str">
        <f>CCModuleCopy!$K$15</f>
        <v>NULL</v>
      </c>
      <c r="AZ20" s="89" t="s">
        <v>267</v>
      </c>
      <c r="BA20" s="39" t="str">
        <f>CCModuleCopy!$B$3</f>
        <v>IM_HeadImage_Shop_Phones_500xV.jpg</v>
      </c>
      <c r="BB20" s="39" t="str">
        <f>CCModuleCopy!$C$3</f>
        <v>Save up to $1000 instantly on the latest and greatest Galaxy smartphones</v>
      </c>
      <c r="BC20" s="39" t="str">
        <f>CCModuleCopy!$D$3</f>
        <v>NULL</v>
      </c>
      <c r="BD20"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0" s="39" t="str">
        <f>CCModuleCopy!$F$3</f>
        <v>Shop all</v>
      </c>
      <c r="BF20" s="39" t="str">
        <f>CCModuleCopy!$G$3</f>
        <v>https://www.samsung.com/us/shop/all-deals/cell-phone-deals/</v>
      </c>
      <c r="BG20"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0" s="39" t="str">
        <f>CCModuleCopy!$I$3</f>
        <v>NULL</v>
      </c>
      <c r="BI20" s="39" t="str">
        <f>CCModuleCopy!$J$3</f>
        <v>NULL</v>
      </c>
      <c r="BJ20" s="39" t="str">
        <f>CCModuleCopy!$K$3</f>
        <v>NULL</v>
      </c>
      <c r="BK20" s="89" t="s">
        <v>265</v>
      </c>
      <c r="BL20" s="39" t="str">
        <f>CCModuleCopy!$B$7</f>
        <v>HE_HeadImage_Shop_TVs_500xV.jpg</v>
      </c>
      <c r="BM20" s="39" t="str">
        <f>CCModuleCopy!$C$7</f>
        <v>Get up to $3000 off select 8K, 4K and Lifestyle TVs</v>
      </c>
      <c r="BN20" s="39" t="str">
        <f>CCModuleCopy!$D$7</f>
        <v>NULL</v>
      </c>
      <c r="BO20"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0" s="39" t="str">
        <f>CCModuleCopy!$F$7</f>
        <v>Shop all</v>
      </c>
      <c r="BQ20" s="39" t="str">
        <f>CCModuleCopy!$G$7</f>
        <v>https://www.samsung.com/us/shop/all-deals/tv-and-home-theater-deals/</v>
      </c>
      <c r="BR20"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0" s="39" t="str">
        <f>CCModuleCopy!$I$7</f>
        <v>NULL</v>
      </c>
      <c r="BT20" s="39" t="str">
        <f>CCModuleCopy!$J$7</f>
        <v>NULL</v>
      </c>
      <c r="BU20" s="39" t="str">
        <f>CCModuleCopy!$K$7</f>
        <v>NULL</v>
      </c>
      <c r="BV20" s="89" t="s">
        <v>367</v>
      </c>
      <c r="BW20" s="39" t="str">
        <f>CCModuleCopy!$B$11</f>
        <v>ME_HeadImage_Wearables_500xV.jpg</v>
      </c>
      <c r="BX20" s="39" t="str">
        <f>CCModuleCopy!$C$11</f>
        <v>Get up to $100 off select watches and earbuds</v>
      </c>
      <c r="BY20" s="39" t="str">
        <f>CCModuleCopy!$D$11</f>
        <v>NULL</v>
      </c>
      <c r="BZ20"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0" s="39" t="str">
        <f>CCModuleCopy!$F$11</f>
        <v>Shop all</v>
      </c>
      <c r="CB20" s="39" t="str">
        <f>CCModuleCopy!$G$11</f>
        <v>https://www.samsung.com/us/shop/all-deals/watches-audio-accessories-deals/</v>
      </c>
      <c r="CC20"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20" s="39" t="str">
        <f>CCModuleCopy!$I$11</f>
        <v>NULL</v>
      </c>
      <c r="CE20" s="39" t="str">
        <f>CCModuleCopy!$J$11</f>
        <v>NULL</v>
      </c>
      <c r="CF20" s="39" t="str">
        <f>CCModuleCopy!$K$11</f>
        <v>NULL</v>
      </c>
      <c r="CG20" s="89" t="s">
        <v>368</v>
      </c>
      <c r="CH20" s="39" t="str">
        <f>CCModuleCopy!$B$13</f>
        <v>CE_HeadImage_Computing_500xV.jpg</v>
      </c>
      <c r="CI20" s="39" t="str">
        <f>CCModuleCopy!$C$13</f>
        <v>Get up to 60% off memory cards, SSD, monitors and more</v>
      </c>
      <c r="CJ20" s="39" t="str">
        <f>CCModuleCopy!$D$13</f>
        <v>NULL</v>
      </c>
      <c r="CK20" s="39" t="str">
        <f>CCModuleCopy!$E$13</f>
        <v xml:space="preserve">Expand the way you play, store and create and get up to 30% off monitors, up to 60% off memory cards, up to 35% off SSD and more. Work and game smarter, not harder with these must-have computing offers. </v>
      </c>
      <c r="CL20" s="39" t="str">
        <f>CCModuleCopy!$F$13</f>
        <v>Shop all</v>
      </c>
      <c r="CM20" s="39" t="str">
        <f>CCModuleCopy!$G$13</f>
        <v>https://www.samsung.com/us/shop/all-deals/tablets-laptops-computers-deals/</v>
      </c>
      <c r="CN20"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20" s="39" t="str">
        <f>CCModuleCopy!$I$13</f>
        <v>NULL</v>
      </c>
      <c r="CP20" s="39" t="str">
        <f>CCModuleCopy!$J$13</f>
        <v>NULL</v>
      </c>
      <c r="CQ20" s="39" t="str">
        <f>CCModuleCopy!$K$13</f>
        <v>NULL</v>
      </c>
      <c r="CR20" s="89" t="s">
        <v>279</v>
      </c>
      <c r="CS20" s="39" t="str">
        <f>CCModuleCopy!$B$9</f>
        <v>HA_HeadImage_Shop_HA_500xV.jpg</v>
      </c>
      <c r="CT20" s="39" t="str">
        <f>CCModuleCopy!$C$9</f>
        <v>Save up to 50% on everything you need to upgrade your home and home care</v>
      </c>
      <c r="CU20" s="39" t="str">
        <f>CCModuleCopy!$D$9</f>
        <v>NULL</v>
      </c>
      <c r="CV20"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0" s="39" t="str">
        <f>CCModuleCopy!$F$9</f>
        <v>Shop all</v>
      </c>
      <c r="CX20" s="39" t="str">
        <f>CCModuleCopy!$G$9</f>
        <v>https://www.samsung.com/us/shop/all-deals/home-appliance-and-smart-home-sales/</v>
      </c>
      <c r="CY20"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0" s="39" t="str">
        <f>CCModuleCopy!$I$9</f>
        <v>NULL</v>
      </c>
      <c r="DA20" s="39" t="str">
        <f>CCModuleCopy!$J$9</f>
        <v>NULL</v>
      </c>
      <c r="DB20" s="39" t="str">
        <f>CCModuleCopy!$K$9</f>
        <v>NULL</v>
      </c>
      <c r="DC20" s="89" t="s">
        <v>280</v>
      </c>
      <c r="DD20" s="39" t="str">
        <f>MiscBanners!$H$4</f>
        <v>Give-wonder-500xV.jpg</v>
      </c>
      <c r="DE20" s="39" t="str">
        <f>MiscBanners!$I$4</f>
        <v>The gift that keeps on giving</v>
      </c>
      <c r="DF20" s="39" t="str">
        <f>MiscBanners!$J$4</f>
        <v>NULL</v>
      </c>
      <c r="DG20" s="91" t="str">
        <f>MiscBanners!$K$4</f>
        <v>Discover even more exclusive offers on your favorite products and unlock the power of smart and savvy gifting.</v>
      </c>
      <c r="DH20" s="39" t="str">
        <f>MiscBanners!$L$4</f>
        <v>Shop now</v>
      </c>
      <c r="DI20" s="39" t="str">
        <f>MiscBanners!$M$4</f>
        <v>https://www.samsung.com/us/gift-ideas/</v>
      </c>
      <c r="DJ20"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0" s="39" t="str">
        <f>MiscBanners!$O$4</f>
        <v>NULL</v>
      </c>
      <c r="DL20" s="39" t="str">
        <f>MiscBanners!$P$4</f>
        <v>NULL</v>
      </c>
      <c r="DM20" s="39" t="str">
        <f>MiscBanners!$Q$4</f>
        <v>NULL</v>
      </c>
      <c r="DN20" s="89" t="s">
        <v>273</v>
      </c>
      <c r="DR20" s="91"/>
      <c r="DY20" s="89" t="s">
        <v>481</v>
      </c>
      <c r="DZ20" s="39" t="s">
        <v>394</v>
      </c>
      <c r="EA20" s="39" t="s">
        <v>394</v>
      </c>
      <c r="EB20" s="39" t="s">
        <v>394</v>
      </c>
      <c r="EC20" s="91" t="s">
        <v>482</v>
      </c>
      <c r="ED20" s="39" t="s">
        <v>394</v>
      </c>
      <c r="EE20" s="39" t="s">
        <v>476</v>
      </c>
      <c r="EF20" s="39">
        <v>0</v>
      </c>
      <c r="EG20" s="39" t="s">
        <v>394</v>
      </c>
      <c r="EH20" s="39" t="s">
        <v>394</v>
      </c>
      <c r="EI20" s="39" t="s">
        <v>394</v>
      </c>
      <c r="EJ20" s="89" t="s">
        <v>439</v>
      </c>
      <c r="EK20" s="39" t="s">
        <v>394</v>
      </c>
      <c r="EL20" s="39" t="s">
        <v>394</v>
      </c>
      <c r="EM20" s="39" t="s">
        <v>394</v>
      </c>
      <c r="EN20" s="91" t="s">
        <v>483</v>
      </c>
      <c r="EO20" s="39" t="s">
        <v>394</v>
      </c>
      <c r="EP20" s="39" t="s">
        <v>476</v>
      </c>
      <c r="EQ20" s="39">
        <v>0</v>
      </c>
      <c r="ER20" s="39" t="s">
        <v>394</v>
      </c>
      <c r="ES20" s="39" t="s">
        <v>394</v>
      </c>
      <c r="ET20" s="39" t="s">
        <v>394</v>
      </c>
      <c r="EU20" s="89" t="s">
        <v>441</v>
      </c>
      <c r="EV20" s="39" t="s">
        <v>394</v>
      </c>
      <c r="EW20" s="39" t="s">
        <v>394</v>
      </c>
      <c r="EX20" s="39" t="s">
        <v>394</v>
      </c>
      <c r="EY20" s="91" t="s">
        <v>484</v>
      </c>
      <c r="EZ20" s="39" t="s">
        <v>394</v>
      </c>
      <c r="FA20" s="39" t="s">
        <v>476</v>
      </c>
      <c r="FB20" s="39">
        <v>0</v>
      </c>
      <c r="FC20" s="39" t="s">
        <v>394</v>
      </c>
      <c r="FD20" s="39" t="s">
        <v>394</v>
      </c>
      <c r="FE20" s="39" t="s">
        <v>394</v>
      </c>
      <c r="FF20" s="89" t="s">
        <v>477</v>
      </c>
      <c r="FG20" s="39" t="s">
        <v>394</v>
      </c>
      <c r="FH20" s="39" t="s">
        <v>394</v>
      </c>
      <c r="FI20" s="39" t="s">
        <v>394</v>
      </c>
      <c r="FJ20" s="91" t="s">
        <v>485</v>
      </c>
      <c r="FK20" s="39" t="s">
        <v>394</v>
      </c>
      <c r="FL20" s="39">
        <v>0</v>
      </c>
      <c r="FM20" s="39">
        <v>0</v>
      </c>
      <c r="FN20" s="39" t="s">
        <v>394</v>
      </c>
      <c r="FO20" s="39" t="s">
        <v>394</v>
      </c>
      <c r="FP20" s="39" t="s">
        <v>394</v>
      </c>
    </row>
    <row r="21" spans="1:172" s="39" customFormat="1" ht="99.95" customHeight="1" x14ac:dyDescent="0.25">
      <c r="A21" s="146" t="s">
        <v>235</v>
      </c>
      <c r="B21" s="39" t="s">
        <v>264</v>
      </c>
      <c r="C21" s="39" t="s">
        <v>237</v>
      </c>
      <c r="D21" s="39" t="s">
        <v>237</v>
      </c>
      <c r="E21" s="149" t="s">
        <v>382</v>
      </c>
      <c r="G21" s="88" t="s">
        <v>540</v>
      </c>
      <c r="H21" s="88" t="s">
        <v>539</v>
      </c>
      <c r="I21" s="89" t="s">
        <v>381</v>
      </c>
      <c r="J21" s="39" t="str">
        <f>[1]MiscBanners!$G$4</f>
        <v>Cross-Category_Black_Friday_Week_01.jpg</v>
      </c>
      <c r="K21" s="92" t="s">
        <v>392</v>
      </c>
      <c r="L21" s="92" t="s">
        <v>393</v>
      </c>
      <c r="M21" s="39" t="s">
        <v>394</v>
      </c>
      <c r="N21" s="39" t="s">
        <v>394</v>
      </c>
      <c r="O21" s="39" t="str">
        <f>[1]MiscBanners!$B$4</f>
        <v>https://www.samsung.com/us/shop/all-deals/</v>
      </c>
      <c r="P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1" s="39" t="s">
        <v>394</v>
      </c>
      <c r="R21" s="39" t="s">
        <v>394</v>
      </c>
      <c r="S21" s="89" t="s">
        <v>407</v>
      </c>
      <c r="T21" s="39" t="str">
        <f>'Dynamic Banners'!$L$4</f>
        <v>Cyber-monday-1.png</v>
      </c>
      <c r="U21" s="39" t="str">
        <f>'Dynamic Banners'!$M$4</f>
        <v xml:space="preserve">The clock is ticking away for Cyber Monday </v>
      </c>
      <c r="V21" s="39" t="s">
        <v>394</v>
      </c>
      <c r="W21" s="39" t="str">
        <f>'Dynamic Banners'!$N$4</f>
        <v xml:space="preserve">Shop amazing offers on showstopping products while supplies last. </v>
      </c>
      <c r="X21" s="39" t="s">
        <v>394</v>
      </c>
      <c r="Y21" s="39" t="str">
        <f>[1]MiscBanners!$B$4</f>
        <v>https://www.samsung.com/us/shop/all-deals/</v>
      </c>
      <c r="Z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1" s="39" t="s">
        <v>394</v>
      </c>
      <c r="AB21" s="39" t="s">
        <v>394</v>
      </c>
      <c r="AC21" s="39" t="s">
        <v>394</v>
      </c>
      <c r="AD21" s="89" t="s">
        <v>408</v>
      </c>
      <c r="AE21" s="39" t="s">
        <v>394</v>
      </c>
      <c r="AF21" s="39" t="s">
        <v>394</v>
      </c>
      <c r="AG21" s="7" t="s">
        <v>559</v>
      </c>
      <c r="AH21" s="39" t="s">
        <v>561</v>
      </c>
      <c r="AI21" s="39" t="s">
        <v>394</v>
      </c>
      <c r="AJ21" s="39" t="str">
        <f>[1]MiscBanners!$B$4</f>
        <v>https://www.samsung.com/us/shop/all-deals/</v>
      </c>
      <c r="AK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1" s="39" t="s">
        <v>394</v>
      </c>
      <c r="AM21" s="39" t="s">
        <v>394</v>
      </c>
      <c r="AN21" s="39" t="s">
        <v>394</v>
      </c>
      <c r="AO21" s="89" t="s">
        <v>367</v>
      </c>
      <c r="AP21" s="39" t="str">
        <f>CCModuleCopy!$B$11</f>
        <v>ME_HeadImage_Wearables_500xV.jpg</v>
      </c>
      <c r="AQ21" s="39" t="str">
        <f>CCModuleCopy!$C$11</f>
        <v>Get up to $100 off select watches and earbuds</v>
      </c>
      <c r="AR21" s="39" t="str">
        <f>CCModuleCopy!$D$11</f>
        <v>NULL</v>
      </c>
      <c r="AS21"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21" s="39" t="str">
        <f>CCModuleCopy!$F$11</f>
        <v>Shop all</v>
      </c>
      <c r="AU21" s="39" t="str">
        <f>CCModuleCopy!$G$11</f>
        <v>https://www.samsung.com/us/shop/all-deals/watches-audio-accessories-deals/</v>
      </c>
      <c r="AV21"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W21" s="39" t="str">
        <f>CCModuleCopy!$I$11</f>
        <v>NULL</v>
      </c>
      <c r="AX21" s="39" t="str">
        <f>CCModuleCopy!$J$11</f>
        <v>NULL</v>
      </c>
      <c r="AY21" s="39" t="str">
        <f>CCModuleCopy!$K$11</f>
        <v>NULL</v>
      </c>
      <c r="AZ21" s="89" t="s">
        <v>267</v>
      </c>
      <c r="BA21" s="39" t="str">
        <f>CCModuleCopy!$B$3</f>
        <v>IM_HeadImage_Shop_Phones_500xV.jpg</v>
      </c>
      <c r="BB21" s="39" t="str">
        <f>CCModuleCopy!$C$3</f>
        <v>Save up to $1000 instantly on the latest and greatest Galaxy smartphones</v>
      </c>
      <c r="BC21" s="39" t="str">
        <f>CCModuleCopy!$D$3</f>
        <v>NULL</v>
      </c>
      <c r="BD21"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1" s="39" t="str">
        <f>CCModuleCopy!$F$3</f>
        <v>Shop all</v>
      </c>
      <c r="BF21" s="39" t="str">
        <f>CCModuleCopy!$G$3</f>
        <v>https://www.samsung.com/us/shop/all-deals/cell-phone-deals/</v>
      </c>
      <c r="BG21"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1" s="39" t="str">
        <f>CCModuleCopy!$I$3</f>
        <v>NULL</v>
      </c>
      <c r="BI21" s="39" t="str">
        <f>CCModuleCopy!$J$3</f>
        <v>NULL</v>
      </c>
      <c r="BJ21" s="39" t="str">
        <f>CCModuleCopy!$K$3</f>
        <v>NULL</v>
      </c>
      <c r="BK21" s="89" t="s">
        <v>265</v>
      </c>
      <c r="BL21" s="39" t="str">
        <f>CCModuleCopy!$B$7</f>
        <v>HE_HeadImage_Shop_TVs_500xV.jpg</v>
      </c>
      <c r="BM21" s="39" t="str">
        <f>CCModuleCopy!$C$7</f>
        <v>Get up to $3000 off select 8K, 4K and Lifestyle TVs</v>
      </c>
      <c r="BN21" s="39" t="str">
        <f>CCModuleCopy!$D$7</f>
        <v>NULL</v>
      </c>
      <c r="BO21"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1" s="39" t="str">
        <f>CCModuleCopy!$F$7</f>
        <v>Shop all</v>
      </c>
      <c r="BQ21" s="39" t="str">
        <f>CCModuleCopy!$G$7</f>
        <v>https://www.samsung.com/us/shop/all-deals/tv-and-home-theater-deals/</v>
      </c>
      <c r="BR21"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1" s="39" t="str">
        <f>CCModuleCopy!$I$7</f>
        <v>NULL</v>
      </c>
      <c r="BT21" s="39" t="str">
        <f>CCModuleCopy!$J$7</f>
        <v>NULL</v>
      </c>
      <c r="BU21" s="39" t="str">
        <f>CCModuleCopy!$K$7</f>
        <v>NULL</v>
      </c>
      <c r="BV21" s="89" t="s">
        <v>266</v>
      </c>
      <c r="BW21" s="39" t="str">
        <f>CCModuleCopy!$B$15</f>
        <v>Tablet-HeadImage-500xV.jpg</v>
      </c>
      <c r="BX21" s="39" t="str">
        <f>CCModuleCopy!$C$15</f>
        <v>Save up to $150 on select tablets</v>
      </c>
      <c r="BY21" s="39" t="str">
        <f>CCModuleCopy!$D$15</f>
        <v>NULL</v>
      </c>
      <c r="BZ21" s="39" t="str">
        <f>CCModuleCopy!$E$15</f>
        <v xml:space="preserve">Empower how you create, learn, game and more with our powerful line of tablets. Shop offers on must-have products from the new Galaxy Tab S7+ to the Galaxy Tab S6 Lite. </v>
      </c>
      <c r="CA21" s="39" t="str">
        <f>CCModuleCopy!$F$15</f>
        <v>Shop all</v>
      </c>
      <c r="CB21" s="39" t="str">
        <f>CCModuleCopy!$G$15</f>
        <v>https://www.samsung.com/us/shop/all-deals/tablets-laptops-computers-deals/</v>
      </c>
      <c r="CC21"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1" s="39" t="str">
        <f>CCModuleCopy!$I$15</f>
        <v>NULL</v>
      </c>
      <c r="CE21" s="39" t="str">
        <f>CCModuleCopy!$J$15</f>
        <v>NULL</v>
      </c>
      <c r="CF21" s="39" t="str">
        <f>CCModuleCopy!$K$15</f>
        <v>NULL</v>
      </c>
      <c r="CG21" s="89" t="s">
        <v>368</v>
      </c>
      <c r="CH21" s="39" t="str">
        <f>CCModuleCopy!$B$13</f>
        <v>CE_HeadImage_Computing_500xV.jpg</v>
      </c>
      <c r="CI21" s="39" t="str">
        <f>CCModuleCopy!$C$13</f>
        <v>Get up to 60% off memory cards, SSD, monitors and more</v>
      </c>
      <c r="CJ21" s="39" t="str">
        <f>CCModuleCopy!$D$13</f>
        <v>NULL</v>
      </c>
      <c r="CK21" s="39" t="str">
        <f>CCModuleCopy!$E$13</f>
        <v xml:space="preserve">Expand the way you play, store and create and get up to 30% off monitors, up to 60% off memory cards, up to 35% off SSD and more. Work and game smarter, not harder with these must-have computing offers. </v>
      </c>
      <c r="CL21" s="39" t="str">
        <f>CCModuleCopy!$F$13</f>
        <v>Shop all</v>
      </c>
      <c r="CM21" s="39" t="str">
        <f>CCModuleCopy!$G$13</f>
        <v>https://www.samsung.com/us/shop/all-deals/tablets-laptops-computers-deals/</v>
      </c>
      <c r="CN21"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21" s="39" t="str">
        <f>CCModuleCopy!$I$13</f>
        <v>NULL</v>
      </c>
      <c r="CP21" s="39" t="str">
        <f>CCModuleCopy!$J$13</f>
        <v>NULL</v>
      </c>
      <c r="CQ21" s="39" t="str">
        <f>CCModuleCopy!$K$13</f>
        <v>NULL</v>
      </c>
      <c r="CR21" s="89" t="s">
        <v>279</v>
      </c>
      <c r="CS21" s="39" t="str">
        <f>CCModuleCopy!$B$9</f>
        <v>HA_HeadImage_Shop_HA_500xV.jpg</v>
      </c>
      <c r="CT21" s="39" t="str">
        <f>CCModuleCopy!$C$9</f>
        <v>Save up to 50% on everything you need to upgrade your home and home care</v>
      </c>
      <c r="CU21" s="39" t="str">
        <f>CCModuleCopy!$D$9</f>
        <v>NULL</v>
      </c>
      <c r="CV21"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1" s="39" t="str">
        <f>CCModuleCopy!$F$9</f>
        <v>Shop all</v>
      </c>
      <c r="CX21" s="39" t="str">
        <f>CCModuleCopy!$G$9</f>
        <v>https://www.samsung.com/us/shop/all-deals/home-appliance-and-smart-home-sales/</v>
      </c>
      <c r="CY21"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1" s="39" t="str">
        <f>CCModuleCopy!$I$9</f>
        <v>NULL</v>
      </c>
      <c r="DA21" s="39" t="str">
        <f>CCModuleCopy!$J$9</f>
        <v>NULL</v>
      </c>
      <c r="DB21" s="39" t="str">
        <f>CCModuleCopy!$K$9</f>
        <v>NULL</v>
      </c>
      <c r="DC21" s="89" t="s">
        <v>280</v>
      </c>
      <c r="DD21" s="39" t="str">
        <f>MiscBanners!$H$4</f>
        <v>Give-wonder-500xV.jpg</v>
      </c>
      <c r="DE21" s="39" t="str">
        <f>MiscBanners!$I$4</f>
        <v>The gift that keeps on giving</v>
      </c>
      <c r="DF21" s="39" t="str">
        <f>MiscBanners!$J$4</f>
        <v>NULL</v>
      </c>
      <c r="DG21" s="91" t="str">
        <f>MiscBanners!$K$4</f>
        <v>Discover even more exclusive offers on your favorite products and unlock the power of smart and savvy gifting.</v>
      </c>
      <c r="DH21" s="39" t="str">
        <f>MiscBanners!$L$4</f>
        <v>Shop now</v>
      </c>
      <c r="DI21" s="39" t="str">
        <f>MiscBanners!$M$4</f>
        <v>https://www.samsung.com/us/gift-ideas/</v>
      </c>
      <c r="DJ21"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1" s="39" t="str">
        <f>MiscBanners!$O$4</f>
        <v>NULL</v>
      </c>
      <c r="DL21" s="39" t="str">
        <f>MiscBanners!$P$4</f>
        <v>NULL</v>
      </c>
      <c r="DM21" s="39" t="str">
        <f>MiscBanners!$Q$4</f>
        <v>NULL</v>
      </c>
      <c r="DN21" s="89" t="s">
        <v>273</v>
      </c>
      <c r="DR21" s="91"/>
      <c r="DY21" s="89" t="s">
        <v>481</v>
      </c>
      <c r="DZ21" s="39" t="s">
        <v>394</v>
      </c>
      <c r="EA21" s="39" t="s">
        <v>394</v>
      </c>
      <c r="EB21" s="39" t="s">
        <v>394</v>
      </c>
      <c r="EC21" s="91" t="s">
        <v>482</v>
      </c>
      <c r="ED21" s="39" t="s">
        <v>394</v>
      </c>
      <c r="EE21" s="39" t="s">
        <v>476</v>
      </c>
      <c r="EF21" s="39">
        <v>0</v>
      </c>
      <c r="EG21" s="39" t="s">
        <v>394</v>
      </c>
      <c r="EH21" s="39" t="s">
        <v>394</v>
      </c>
      <c r="EI21" s="39" t="s">
        <v>394</v>
      </c>
      <c r="EJ21" s="89" t="s">
        <v>439</v>
      </c>
      <c r="EK21" s="39" t="s">
        <v>394</v>
      </c>
      <c r="EL21" s="39" t="s">
        <v>394</v>
      </c>
      <c r="EM21" s="39" t="s">
        <v>394</v>
      </c>
      <c r="EN21" s="91" t="s">
        <v>483</v>
      </c>
      <c r="EO21" s="39" t="s">
        <v>394</v>
      </c>
      <c r="EP21" s="39" t="s">
        <v>476</v>
      </c>
      <c r="EQ21" s="39">
        <v>0</v>
      </c>
      <c r="ER21" s="39" t="s">
        <v>394</v>
      </c>
      <c r="ES21" s="39" t="s">
        <v>394</v>
      </c>
      <c r="ET21" s="39" t="s">
        <v>394</v>
      </c>
      <c r="EU21" s="89" t="s">
        <v>441</v>
      </c>
      <c r="EV21" s="39" t="s">
        <v>394</v>
      </c>
      <c r="EW21" s="39" t="s">
        <v>394</v>
      </c>
      <c r="EX21" s="39" t="s">
        <v>394</v>
      </c>
      <c r="EY21" s="91" t="s">
        <v>484</v>
      </c>
      <c r="EZ21" s="39" t="s">
        <v>394</v>
      </c>
      <c r="FA21" s="39" t="s">
        <v>476</v>
      </c>
      <c r="FB21" s="39">
        <v>0</v>
      </c>
      <c r="FC21" s="39" t="s">
        <v>394</v>
      </c>
      <c r="FD21" s="39" t="s">
        <v>394</v>
      </c>
      <c r="FE21" s="39" t="s">
        <v>394</v>
      </c>
      <c r="FF21" s="89" t="s">
        <v>477</v>
      </c>
      <c r="FG21" s="39" t="s">
        <v>394</v>
      </c>
      <c r="FH21" s="39" t="s">
        <v>394</v>
      </c>
      <c r="FI21" s="39" t="s">
        <v>394</v>
      </c>
      <c r="FJ21" s="91" t="s">
        <v>485</v>
      </c>
      <c r="FK21" s="39" t="s">
        <v>394</v>
      </c>
      <c r="FL21" s="39">
        <v>0</v>
      </c>
      <c r="FM21" s="39">
        <v>0</v>
      </c>
      <c r="FN21" s="39" t="s">
        <v>394</v>
      </c>
      <c r="FO21" s="39" t="s">
        <v>394</v>
      </c>
      <c r="FP21" s="39" t="s">
        <v>394</v>
      </c>
    </row>
    <row r="22" spans="1:172" s="39" customFormat="1" ht="99.95" customHeight="1" x14ac:dyDescent="0.25">
      <c r="A22" s="146" t="s">
        <v>235</v>
      </c>
      <c r="B22" s="39" t="s">
        <v>361</v>
      </c>
      <c r="C22" s="39" t="s">
        <v>237</v>
      </c>
      <c r="D22" s="39" t="s">
        <v>237</v>
      </c>
      <c r="E22" s="149" t="s">
        <v>382</v>
      </c>
      <c r="G22" s="88" t="s">
        <v>540</v>
      </c>
      <c r="H22" s="88" t="s">
        <v>539</v>
      </c>
      <c r="I22" s="89" t="s">
        <v>381</v>
      </c>
      <c r="J22" s="39" t="str">
        <f>[1]MiscBanners!$G$4</f>
        <v>Cross-Category_Black_Friday_Week_01.jpg</v>
      </c>
      <c r="K22" s="92" t="s">
        <v>392</v>
      </c>
      <c r="L22" s="92" t="s">
        <v>393</v>
      </c>
      <c r="M22" s="39" t="s">
        <v>394</v>
      </c>
      <c r="N22" s="39" t="s">
        <v>394</v>
      </c>
      <c r="O22" s="39" t="str">
        <f>[1]MiscBanners!$B$4</f>
        <v>https://www.samsung.com/us/shop/all-deals/</v>
      </c>
      <c r="P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2" s="39" t="s">
        <v>394</v>
      </c>
      <c r="R22" s="39" t="s">
        <v>394</v>
      </c>
      <c r="S22" s="89" t="s">
        <v>407</v>
      </c>
      <c r="T22" s="39" t="str">
        <f>'Dynamic Banners'!$L$4</f>
        <v>Cyber-monday-1.png</v>
      </c>
      <c r="U22" s="39" t="str">
        <f>'Dynamic Banners'!$M$4</f>
        <v xml:space="preserve">The clock is ticking away for Cyber Monday </v>
      </c>
      <c r="V22" s="39" t="s">
        <v>394</v>
      </c>
      <c r="W22" s="39" t="str">
        <f>'Dynamic Banners'!$N$4</f>
        <v xml:space="preserve">Shop amazing offers on showstopping products while supplies last. </v>
      </c>
      <c r="X22" s="39" t="s">
        <v>394</v>
      </c>
      <c r="Y22" s="39" t="str">
        <f>[1]MiscBanners!$B$4</f>
        <v>https://www.samsung.com/us/shop/all-deals/</v>
      </c>
      <c r="Z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2" s="39" t="s">
        <v>394</v>
      </c>
      <c r="AB22" s="39" t="s">
        <v>394</v>
      </c>
      <c r="AC22" s="39" t="s">
        <v>394</v>
      </c>
      <c r="AD22" s="89" t="s">
        <v>408</v>
      </c>
      <c r="AE22" s="39" t="s">
        <v>394</v>
      </c>
      <c r="AF22" s="39" t="s">
        <v>394</v>
      </c>
      <c r="AG22" s="7" t="s">
        <v>559</v>
      </c>
      <c r="AH22" s="39" t="s">
        <v>561</v>
      </c>
      <c r="AI22" s="39" t="s">
        <v>394</v>
      </c>
      <c r="AJ22" s="39" t="str">
        <f>[1]MiscBanners!$B$4</f>
        <v>https://www.samsung.com/us/shop/all-deals/</v>
      </c>
      <c r="AK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2" s="39" t="s">
        <v>394</v>
      </c>
      <c r="AM22" s="39" t="s">
        <v>394</v>
      </c>
      <c r="AN22" s="39" t="s">
        <v>394</v>
      </c>
      <c r="AO22" s="89" t="s">
        <v>368</v>
      </c>
      <c r="AP22" s="39" t="str">
        <f>CCModuleCopy!$B$13</f>
        <v>CE_HeadImage_Computing_500xV.jpg</v>
      </c>
      <c r="AQ22" s="39" t="str">
        <f>CCModuleCopy!$C$13</f>
        <v>Get up to 60% off memory cards, SSD, monitors and more</v>
      </c>
      <c r="AR22" s="39" t="str">
        <f>CCModuleCopy!$D$13</f>
        <v>NULL</v>
      </c>
      <c r="AS22" s="39" t="str">
        <f>CCModuleCopy!$E$13</f>
        <v xml:space="preserve">Expand the way you play, store and create and get up to 30% off monitors, up to 60% off memory cards, up to 35% off SSD and more. Work and game smarter, not harder with these must-have computing offers. </v>
      </c>
      <c r="AT22" s="39" t="str">
        <f>CCModuleCopy!$F$13</f>
        <v>Shop all</v>
      </c>
      <c r="AU22" s="39" t="str">
        <f>CCModuleCopy!$G$13</f>
        <v>https://www.samsung.com/us/shop/all-deals/tablets-laptops-computers-deals/</v>
      </c>
      <c r="AV22"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W22" s="39" t="str">
        <f>CCModuleCopy!$I$13</f>
        <v>NULL</v>
      </c>
      <c r="AX22" s="39" t="str">
        <f>CCModuleCopy!$J$13</f>
        <v>NULL</v>
      </c>
      <c r="AY22" s="39" t="str">
        <f>CCModuleCopy!$K$13</f>
        <v>NULL</v>
      </c>
      <c r="AZ22" s="89" t="s">
        <v>267</v>
      </c>
      <c r="BA22" s="39" t="str">
        <f>CCModuleCopy!$B$3</f>
        <v>IM_HeadImage_Shop_Phones_500xV.jpg</v>
      </c>
      <c r="BB22" s="39" t="str">
        <f>CCModuleCopy!$C$3</f>
        <v>Save up to $1000 instantly on the latest and greatest Galaxy smartphones</v>
      </c>
      <c r="BC22" s="39" t="str">
        <f>CCModuleCopy!$D$3</f>
        <v>NULL</v>
      </c>
      <c r="BD22"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2" s="39" t="str">
        <f>CCModuleCopy!$F$3</f>
        <v>Shop all</v>
      </c>
      <c r="BF22" s="39" t="str">
        <f>CCModuleCopy!$G$3</f>
        <v>https://www.samsung.com/us/shop/all-deals/cell-phone-deals/</v>
      </c>
      <c r="BG22"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2" s="39" t="str">
        <f>CCModuleCopy!$I$3</f>
        <v>NULL</v>
      </c>
      <c r="BI22" s="39" t="str">
        <f>CCModuleCopy!$J$3</f>
        <v>NULL</v>
      </c>
      <c r="BJ22" s="39" t="str">
        <f>CCModuleCopy!$K$3</f>
        <v>NULL</v>
      </c>
      <c r="BK22" s="89" t="s">
        <v>265</v>
      </c>
      <c r="BL22" s="39" t="str">
        <f>CCModuleCopy!$B$7</f>
        <v>HE_HeadImage_Shop_TVs_500xV.jpg</v>
      </c>
      <c r="BM22" s="39" t="str">
        <f>CCModuleCopy!$C$7</f>
        <v>Get up to $3000 off select 8K, 4K and Lifestyle TVs</v>
      </c>
      <c r="BN22" s="39" t="str">
        <f>CCModuleCopy!$D$7</f>
        <v>NULL</v>
      </c>
      <c r="BO22"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2" s="39" t="str">
        <f>CCModuleCopy!$F$7</f>
        <v>Shop all</v>
      </c>
      <c r="BQ22" s="39" t="str">
        <f>CCModuleCopy!$G$7</f>
        <v>https://www.samsung.com/us/shop/all-deals/tv-and-home-theater-deals/</v>
      </c>
      <c r="BR22"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2" s="39" t="str">
        <f>CCModuleCopy!$I$7</f>
        <v>NULL</v>
      </c>
      <c r="BT22" s="39" t="str">
        <f>CCModuleCopy!$J$7</f>
        <v>NULL</v>
      </c>
      <c r="BU22" s="39" t="str">
        <f>CCModuleCopy!$K$7</f>
        <v>NULL</v>
      </c>
      <c r="BV22" s="89" t="s">
        <v>266</v>
      </c>
      <c r="BW22" s="39" t="str">
        <f>CCModuleCopy!$B$15</f>
        <v>Tablet-HeadImage-500xV.jpg</v>
      </c>
      <c r="BX22" s="39" t="str">
        <f>CCModuleCopy!$C$15</f>
        <v>Save up to $150 on select tablets</v>
      </c>
      <c r="BY22" s="39" t="str">
        <f>CCModuleCopy!$D$15</f>
        <v>NULL</v>
      </c>
      <c r="BZ22" s="39" t="str">
        <f>CCModuleCopy!$E$15</f>
        <v xml:space="preserve">Empower how you create, learn, game and more with our powerful line of tablets. Shop offers on must-have products from the new Galaxy Tab S7+ to the Galaxy Tab S6 Lite. </v>
      </c>
      <c r="CA22" s="39" t="str">
        <f>CCModuleCopy!$F$15</f>
        <v>Shop all</v>
      </c>
      <c r="CB22" s="39" t="str">
        <f>CCModuleCopy!$G$15</f>
        <v>https://www.samsung.com/us/shop/all-deals/tablets-laptops-computers-deals/</v>
      </c>
      <c r="CC22"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2" s="39" t="str">
        <f>CCModuleCopy!$I$15</f>
        <v>NULL</v>
      </c>
      <c r="CE22" s="39" t="str">
        <f>CCModuleCopy!$J$15</f>
        <v>NULL</v>
      </c>
      <c r="CF22" s="39" t="str">
        <f>CCModuleCopy!$K$15</f>
        <v>NULL</v>
      </c>
      <c r="CG22" s="89" t="s">
        <v>367</v>
      </c>
      <c r="CH22" s="39" t="str">
        <f>CCModuleCopy!$B$11</f>
        <v>ME_HeadImage_Wearables_500xV.jpg</v>
      </c>
      <c r="CI22" s="39" t="str">
        <f>CCModuleCopy!$C$11</f>
        <v>Get up to $100 off select watches and earbuds</v>
      </c>
      <c r="CJ22" s="39" t="str">
        <f>CCModuleCopy!$D$11</f>
        <v>NULL</v>
      </c>
      <c r="CK22"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2" s="39" t="str">
        <f>CCModuleCopy!$F$11</f>
        <v>Shop all</v>
      </c>
      <c r="CM22" s="39" t="str">
        <f>CCModuleCopy!$G$11</f>
        <v>https://www.samsung.com/us/shop/all-deals/watches-audio-accessories-deals/</v>
      </c>
      <c r="CN22"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22" s="39" t="str">
        <f>CCModuleCopy!$I$11</f>
        <v>NULL</v>
      </c>
      <c r="CP22" s="39" t="str">
        <f>CCModuleCopy!$J$11</f>
        <v>NULL</v>
      </c>
      <c r="CQ22" s="39" t="str">
        <f>CCModuleCopy!$K$11</f>
        <v>NULL</v>
      </c>
      <c r="CR22" s="89" t="s">
        <v>279</v>
      </c>
      <c r="CS22" s="39" t="str">
        <f>CCModuleCopy!$B$9</f>
        <v>HA_HeadImage_Shop_HA_500xV.jpg</v>
      </c>
      <c r="CT22" s="39" t="str">
        <f>CCModuleCopy!$C$9</f>
        <v>Save up to 50% on everything you need to upgrade your home and home care</v>
      </c>
      <c r="CU22" s="39" t="str">
        <f>CCModuleCopy!$D$9</f>
        <v>NULL</v>
      </c>
      <c r="CV22"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2" s="39" t="str">
        <f>CCModuleCopy!$F$9</f>
        <v>Shop all</v>
      </c>
      <c r="CX22" s="39" t="str">
        <f>CCModuleCopy!$G$9</f>
        <v>https://www.samsung.com/us/shop/all-deals/home-appliance-and-smart-home-sales/</v>
      </c>
      <c r="CY22"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2" s="39" t="str">
        <f>CCModuleCopy!$I$9</f>
        <v>NULL</v>
      </c>
      <c r="DA22" s="39" t="str">
        <f>CCModuleCopy!$J$9</f>
        <v>NULL</v>
      </c>
      <c r="DB22" s="39" t="str">
        <f>CCModuleCopy!$K$9</f>
        <v>NULL</v>
      </c>
      <c r="DC22" s="89" t="s">
        <v>280</v>
      </c>
      <c r="DD22" s="39" t="str">
        <f>MiscBanners!$H$4</f>
        <v>Give-wonder-500xV.jpg</v>
      </c>
      <c r="DE22" s="39" t="str">
        <f>MiscBanners!$I$4</f>
        <v>The gift that keeps on giving</v>
      </c>
      <c r="DF22" s="39" t="str">
        <f>MiscBanners!$J$4</f>
        <v>NULL</v>
      </c>
      <c r="DG22" s="91" t="str">
        <f>MiscBanners!$K$4</f>
        <v>Discover even more exclusive offers on your favorite products and unlock the power of smart and savvy gifting.</v>
      </c>
      <c r="DH22" s="39" t="str">
        <f>MiscBanners!$L$4</f>
        <v>Shop now</v>
      </c>
      <c r="DI22" s="39" t="str">
        <f>MiscBanners!$M$4</f>
        <v>https://www.samsung.com/us/gift-ideas/</v>
      </c>
      <c r="DJ22"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2" s="39" t="str">
        <f>MiscBanners!$O$4</f>
        <v>NULL</v>
      </c>
      <c r="DL22" s="39" t="str">
        <f>MiscBanners!$P$4</f>
        <v>NULL</v>
      </c>
      <c r="DM22" s="39" t="str">
        <f>MiscBanners!$Q$4</f>
        <v>NULL</v>
      </c>
      <c r="DN22" s="89" t="s">
        <v>273</v>
      </c>
      <c r="DR22" s="91"/>
      <c r="DY22" s="89" t="s">
        <v>481</v>
      </c>
      <c r="DZ22" s="39" t="s">
        <v>394</v>
      </c>
      <c r="EA22" s="39" t="s">
        <v>394</v>
      </c>
      <c r="EB22" s="39" t="s">
        <v>394</v>
      </c>
      <c r="EC22" s="91" t="s">
        <v>482</v>
      </c>
      <c r="ED22" s="39" t="s">
        <v>394</v>
      </c>
      <c r="EE22" s="39" t="s">
        <v>476</v>
      </c>
      <c r="EF22" s="39">
        <v>0</v>
      </c>
      <c r="EG22" s="39" t="s">
        <v>394</v>
      </c>
      <c r="EH22" s="39" t="s">
        <v>394</v>
      </c>
      <c r="EI22" s="39" t="s">
        <v>394</v>
      </c>
      <c r="EJ22" s="89" t="s">
        <v>439</v>
      </c>
      <c r="EK22" s="39" t="s">
        <v>394</v>
      </c>
      <c r="EL22" s="39" t="s">
        <v>394</v>
      </c>
      <c r="EM22" s="39" t="s">
        <v>394</v>
      </c>
      <c r="EN22" s="91" t="s">
        <v>483</v>
      </c>
      <c r="EO22" s="39" t="s">
        <v>394</v>
      </c>
      <c r="EP22" s="39" t="s">
        <v>476</v>
      </c>
      <c r="EQ22" s="39">
        <v>0</v>
      </c>
      <c r="ER22" s="39" t="s">
        <v>394</v>
      </c>
      <c r="ES22" s="39" t="s">
        <v>394</v>
      </c>
      <c r="ET22" s="39" t="s">
        <v>394</v>
      </c>
      <c r="EU22" s="89" t="s">
        <v>441</v>
      </c>
      <c r="EV22" s="39" t="s">
        <v>394</v>
      </c>
      <c r="EW22" s="39" t="s">
        <v>394</v>
      </c>
      <c r="EX22" s="39" t="s">
        <v>394</v>
      </c>
      <c r="EY22" s="91" t="s">
        <v>484</v>
      </c>
      <c r="EZ22" s="39" t="s">
        <v>394</v>
      </c>
      <c r="FA22" s="39" t="s">
        <v>476</v>
      </c>
      <c r="FB22" s="39">
        <v>0</v>
      </c>
      <c r="FC22" s="39" t="s">
        <v>394</v>
      </c>
      <c r="FD22" s="39" t="s">
        <v>394</v>
      </c>
      <c r="FE22" s="39" t="s">
        <v>394</v>
      </c>
      <c r="FF22" s="89" t="s">
        <v>477</v>
      </c>
      <c r="FG22" s="39" t="s">
        <v>394</v>
      </c>
      <c r="FH22" s="39" t="s">
        <v>394</v>
      </c>
      <c r="FI22" s="39" t="s">
        <v>394</v>
      </c>
      <c r="FJ22" s="91" t="s">
        <v>485</v>
      </c>
      <c r="FK22" s="39" t="s">
        <v>394</v>
      </c>
      <c r="FL22" s="39">
        <v>0</v>
      </c>
      <c r="FM22" s="39">
        <v>0</v>
      </c>
      <c r="FN22" s="39" t="s">
        <v>394</v>
      </c>
      <c r="FO22" s="39" t="s">
        <v>394</v>
      </c>
      <c r="FP22" s="39" t="s">
        <v>394</v>
      </c>
    </row>
    <row r="23" spans="1:172" s="39" customFormat="1" ht="99.95" customHeight="1" x14ac:dyDescent="0.25">
      <c r="A23" s="146" t="s">
        <v>235</v>
      </c>
      <c r="B23" s="39" t="s">
        <v>369</v>
      </c>
      <c r="C23" s="39" t="s">
        <v>237</v>
      </c>
      <c r="D23" s="39" t="s">
        <v>237</v>
      </c>
      <c r="E23" s="149" t="s">
        <v>382</v>
      </c>
      <c r="G23" s="88" t="s">
        <v>540</v>
      </c>
      <c r="H23" s="88" t="s">
        <v>539</v>
      </c>
      <c r="I23" s="89" t="s">
        <v>381</v>
      </c>
      <c r="J23" s="39" t="str">
        <f>[1]MiscBanners!$G$4</f>
        <v>Cross-Category_Black_Friday_Week_01.jpg</v>
      </c>
      <c r="K23" s="92" t="s">
        <v>392</v>
      </c>
      <c r="L23" s="92" t="s">
        <v>393</v>
      </c>
      <c r="M23" s="39" t="s">
        <v>394</v>
      </c>
      <c r="N23" s="39" t="s">
        <v>394</v>
      </c>
      <c r="O23" s="39" t="str">
        <f>[1]MiscBanners!$B$4</f>
        <v>https://www.samsung.com/us/shop/all-deals/</v>
      </c>
      <c r="P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3" s="39" t="s">
        <v>394</v>
      </c>
      <c r="R23" s="39" t="s">
        <v>394</v>
      </c>
      <c r="S23" s="89" t="s">
        <v>407</v>
      </c>
      <c r="T23" s="39" t="str">
        <f>'Dynamic Banners'!$L$4</f>
        <v>Cyber-monday-1.png</v>
      </c>
      <c r="U23" s="39" t="str">
        <f>'Dynamic Banners'!$M$4</f>
        <v xml:space="preserve">The clock is ticking away for Cyber Monday </v>
      </c>
      <c r="V23" s="39" t="s">
        <v>394</v>
      </c>
      <c r="W23" s="39" t="str">
        <f>'Dynamic Banners'!$N$4</f>
        <v xml:space="preserve">Shop amazing offers on showstopping products while supplies last. </v>
      </c>
      <c r="X23" s="39" t="s">
        <v>394</v>
      </c>
      <c r="Y23" s="39" t="str">
        <f>[1]MiscBanners!$B$4</f>
        <v>https://www.samsung.com/us/shop/all-deals/</v>
      </c>
      <c r="Z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3" s="39" t="s">
        <v>394</v>
      </c>
      <c r="AB23" s="39" t="s">
        <v>394</v>
      </c>
      <c r="AC23" s="39" t="s">
        <v>394</v>
      </c>
      <c r="AD23" s="89" t="s">
        <v>408</v>
      </c>
      <c r="AE23" s="39" t="s">
        <v>394</v>
      </c>
      <c r="AF23" s="39" t="s">
        <v>394</v>
      </c>
      <c r="AG23" s="7" t="s">
        <v>559</v>
      </c>
      <c r="AH23" s="39" t="s">
        <v>561</v>
      </c>
      <c r="AI23" s="39" t="s">
        <v>394</v>
      </c>
      <c r="AJ23" s="39" t="str">
        <f>[1]MiscBanners!$B$4</f>
        <v>https://www.samsung.com/us/shop/all-deals/</v>
      </c>
      <c r="AK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3" s="39" t="s">
        <v>394</v>
      </c>
      <c r="AM23" s="39" t="s">
        <v>394</v>
      </c>
      <c r="AN23" s="39" t="s">
        <v>394</v>
      </c>
      <c r="AO23" s="89" t="s">
        <v>279</v>
      </c>
      <c r="AP23" s="39" t="str">
        <f>CCModuleCopy!$B$9</f>
        <v>HA_HeadImage_Shop_HA_500xV.jpg</v>
      </c>
      <c r="AQ23" s="39" t="str">
        <f>CCModuleCopy!$C$9</f>
        <v>Save up to 50% on everything you need to upgrade your home and home care</v>
      </c>
      <c r="AR23" s="39" t="str">
        <f>CCModuleCopy!$D$9</f>
        <v>NULL</v>
      </c>
      <c r="AS23"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23" s="39" t="str">
        <f>CCModuleCopy!$F$9</f>
        <v>Shop all</v>
      </c>
      <c r="AU23" s="39" t="str">
        <f>CCModuleCopy!$G$9</f>
        <v>https://www.samsung.com/us/shop/all-deals/home-appliance-and-smart-home-sales/</v>
      </c>
      <c r="AV23"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AW23" s="39" t="str">
        <f>CCModuleCopy!$I$9</f>
        <v>NULL</v>
      </c>
      <c r="AX23" s="39" t="str">
        <f>CCModuleCopy!$J$9</f>
        <v>NULL</v>
      </c>
      <c r="AY23" s="39" t="str">
        <f>CCModuleCopy!$K$9</f>
        <v>NULL</v>
      </c>
      <c r="AZ23" s="89" t="s">
        <v>267</v>
      </c>
      <c r="BA23" s="39" t="str">
        <f>CCModuleCopy!$B$3</f>
        <v>IM_HeadImage_Shop_Phones_500xV.jpg</v>
      </c>
      <c r="BB23" s="39" t="str">
        <f>CCModuleCopy!$C$3</f>
        <v>Save up to $1000 instantly on the latest and greatest Galaxy smartphones</v>
      </c>
      <c r="BC23" s="39" t="str">
        <f>CCModuleCopy!$D$3</f>
        <v>NULL</v>
      </c>
      <c r="BD23"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3" s="39" t="str">
        <f>CCModuleCopy!$F$3</f>
        <v>Shop all</v>
      </c>
      <c r="BF23" s="39" t="str">
        <f>CCModuleCopy!$G$3</f>
        <v>https://www.samsung.com/us/shop/all-deals/cell-phone-deals/</v>
      </c>
      <c r="BG23"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3" s="39" t="str">
        <f>CCModuleCopy!$I$3</f>
        <v>NULL</v>
      </c>
      <c r="BI23" s="39" t="str">
        <f>CCModuleCopy!$J$3</f>
        <v>NULL</v>
      </c>
      <c r="BJ23" s="39" t="str">
        <f>CCModuleCopy!$K$3</f>
        <v>NULL</v>
      </c>
      <c r="BK23" s="89" t="s">
        <v>265</v>
      </c>
      <c r="BL23" s="39" t="str">
        <f>CCModuleCopy!$B$7</f>
        <v>HE_HeadImage_Shop_TVs_500xV.jpg</v>
      </c>
      <c r="BM23" s="39" t="str">
        <f>CCModuleCopy!$C$7</f>
        <v>Get up to $3000 off select 8K, 4K and Lifestyle TVs</v>
      </c>
      <c r="BN23" s="39" t="str">
        <f>CCModuleCopy!$D$7</f>
        <v>NULL</v>
      </c>
      <c r="BO23"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3" s="39" t="str">
        <f>CCModuleCopy!$F$7</f>
        <v>Shop all</v>
      </c>
      <c r="BQ23" s="39" t="str">
        <f>CCModuleCopy!$G$7</f>
        <v>https://www.samsung.com/us/shop/all-deals/tv-and-home-theater-deals/</v>
      </c>
      <c r="BR23"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3" s="39" t="str">
        <f>CCModuleCopy!$I$7</f>
        <v>NULL</v>
      </c>
      <c r="BT23" s="39" t="str">
        <f>CCModuleCopy!$J$7</f>
        <v>NULL</v>
      </c>
      <c r="BU23" s="39" t="str">
        <f>CCModuleCopy!$K$7</f>
        <v>NULL</v>
      </c>
      <c r="BV23" s="89" t="s">
        <v>266</v>
      </c>
      <c r="BW23" s="39" t="str">
        <f>CCModuleCopy!$B$15</f>
        <v>Tablet-HeadImage-500xV.jpg</v>
      </c>
      <c r="BX23" s="39" t="str">
        <f>CCModuleCopy!$C$15</f>
        <v>Save up to $150 on select tablets</v>
      </c>
      <c r="BY23" s="39" t="str">
        <f>CCModuleCopy!$D$15</f>
        <v>NULL</v>
      </c>
      <c r="BZ23" s="39" t="str">
        <f>CCModuleCopy!$E$15</f>
        <v xml:space="preserve">Empower how you create, learn, game and more with our powerful line of tablets. Shop offers on must-have products from the new Galaxy Tab S7+ to the Galaxy Tab S6 Lite. </v>
      </c>
      <c r="CA23" s="39" t="str">
        <f>CCModuleCopy!$F$15</f>
        <v>Shop all</v>
      </c>
      <c r="CB23" s="39" t="str">
        <f>CCModuleCopy!$G$15</f>
        <v>https://www.samsung.com/us/shop/all-deals/tablets-laptops-computers-deals/</v>
      </c>
      <c r="CC23"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3" s="39" t="str">
        <f>CCModuleCopy!$I$15</f>
        <v>NULL</v>
      </c>
      <c r="CE23" s="39" t="str">
        <f>CCModuleCopy!$J$15</f>
        <v>NULL</v>
      </c>
      <c r="CF23" s="39" t="str">
        <f>CCModuleCopy!$K$15</f>
        <v>NULL</v>
      </c>
      <c r="CG23" s="89" t="s">
        <v>367</v>
      </c>
      <c r="CH23" s="39" t="str">
        <f>CCModuleCopy!$B$11</f>
        <v>ME_HeadImage_Wearables_500xV.jpg</v>
      </c>
      <c r="CI23" s="39" t="str">
        <f>CCModuleCopy!$C$11</f>
        <v>Get up to $100 off select watches and earbuds</v>
      </c>
      <c r="CJ23" s="39" t="str">
        <f>CCModuleCopy!$D$11</f>
        <v>NULL</v>
      </c>
      <c r="CK23"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3" s="39" t="str">
        <f>CCModuleCopy!$F$11</f>
        <v>Shop all</v>
      </c>
      <c r="CM23" s="39" t="str">
        <f>CCModuleCopy!$G$11</f>
        <v>https://www.samsung.com/us/shop/all-deals/watches-audio-accessories-deals/</v>
      </c>
      <c r="CN23"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23" s="39" t="str">
        <f>CCModuleCopy!$I$11</f>
        <v>NULL</v>
      </c>
      <c r="CP23" s="39" t="str">
        <f>CCModuleCopy!$J$11</f>
        <v>NULL</v>
      </c>
      <c r="CQ23" s="39" t="str">
        <f>CCModuleCopy!$K$11</f>
        <v>NULL</v>
      </c>
      <c r="CR23" s="89" t="s">
        <v>368</v>
      </c>
      <c r="CS23" s="39" t="str">
        <f>CCModuleCopy!$B$13</f>
        <v>CE_HeadImage_Computing_500xV.jpg</v>
      </c>
      <c r="CT23" s="39" t="str">
        <f>CCModuleCopy!$C$13</f>
        <v>Get up to 60% off memory cards, SSD, monitors and more</v>
      </c>
      <c r="CU23" s="39" t="str">
        <f>CCModuleCopy!$D$13</f>
        <v>NULL</v>
      </c>
      <c r="CV23" s="39" t="str">
        <f>CCModuleCopy!$E$13</f>
        <v xml:space="preserve">Expand the way you play, store and create and get up to 30% off monitors, up to 60% off memory cards, up to 35% off SSD and more. Work and game smarter, not harder with these must-have computing offers. </v>
      </c>
      <c r="CW23" s="39" t="str">
        <f>CCModuleCopy!$F$13</f>
        <v>Shop all</v>
      </c>
      <c r="CX23" s="39" t="str">
        <f>CCModuleCopy!$G$13</f>
        <v>https://www.samsung.com/us/shop/all-deals/tablets-laptops-computers-deals/</v>
      </c>
      <c r="CY23"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Z23" s="39" t="str">
        <f>CCModuleCopy!$I$13</f>
        <v>NULL</v>
      </c>
      <c r="DA23" s="39" t="str">
        <f>CCModuleCopy!$J$13</f>
        <v>NULL</v>
      </c>
      <c r="DB23" s="39" t="str">
        <f>CCModuleCopy!$K$13</f>
        <v>NULL</v>
      </c>
      <c r="DC23" s="89" t="s">
        <v>280</v>
      </c>
      <c r="DD23" s="39" t="str">
        <f>MiscBanners!$H$4</f>
        <v>Give-wonder-500xV.jpg</v>
      </c>
      <c r="DE23" s="39" t="str">
        <f>MiscBanners!$I$4</f>
        <v>The gift that keeps on giving</v>
      </c>
      <c r="DF23" s="39" t="str">
        <f>MiscBanners!$J$4</f>
        <v>NULL</v>
      </c>
      <c r="DG23" s="91" t="str">
        <f>MiscBanners!$K$4</f>
        <v>Discover even more exclusive offers on your favorite products and unlock the power of smart and savvy gifting.</v>
      </c>
      <c r="DH23" s="39" t="str">
        <f>MiscBanners!$L$4</f>
        <v>Shop now</v>
      </c>
      <c r="DI23" s="39" t="str">
        <f>MiscBanners!$M$4</f>
        <v>https://www.samsung.com/us/gift-ideas/</v>
      </c>
      <c r="DJ23"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3" s="39" t="str">
        <f>MiscBanners!$O$4</f>
        <v>NULL</v>
      </c>
      <c r="DL23" s="39" t="str">
        <f>MiscBanners!$P$4</f>
        <v>NULL</v>
      </c>
      <c r="DM23" s="39" t="str">
        <f>MiscBanners!$Q$4</f>
        <v>NULL</v>
      </c>
      <c r="DN23" s="89" t="s">
        <v>273</v>
      </c>
      <c r="DR23" s="91"/>
      <c r="DY23" s="89" t="s">
        <v>481</v>
      </c>
      <c r="DZ23" s="39" t="s">
        <v>394</v>
      </c>
      <c r="EA23" s="39" t="s">
        <v>394</v>
      </c>
      <c r="EB23" s="39" t="s">
        <v>394</v>
      </c>
      <c r="EC23" s="91" t="s">
        <v>482</v>
      </c>
      <c r="ED23" s="39" t="s">
        <v>394</v>
      </c>
      <c r="EE23" s="39" t="s">
        <v>476</v>
      </c>
      <c r="EF23" s="39">
        <v>0</v>
      </c>
      <c r="EG23" s="39" t="s">
        <v>394</v>
      </c>
      <c r="EH23" s="39" t="s">
        <v>394</v>
      </c>
      <c r="EI23" s="39" t="s">
        <v>394</v>
      </c>
      <c r="EJ23" s="89" t="s">
        <v>439</v>
      </c>
      <c r="EK23" s="39" t="s">
        <v>394</v>
      </c>
      <c r="EL23" s="39" t="s">
        <v>394</v>
      </c>
      <c r="EM23" s="39" t="s">
        <v>394</v>
      </c>
      <c r="EN23" s="91" t="s">
        <v>483</v>
      </c>
      <c r="EO23" s="39" t="s">
        <v>394</v>
      </c>
      <c r="EP23" s="39" t="s">
        <v>476</v>
      </c>
      <c r="EQ23" s="39">
        <v>0</v>
      </c>
      <c r="ER23" s="39" t="s">
        <v>394</v>
      </c>
      <c r="ES23" s="39" t="s">
        <v>394</v>
      </c>
      <c r="ET23" s="39" t="s">
        <v>394</v>
      </c>
      <c r="EU23" s="89" t="s">
        <v>441</v>
      </c>
      <c r="EV23" s="39" t="s">
        <v>394</v>
      </c>
      <c r="EW23" s="39" t="s">
        <v>394</v>
      </c>
      <c r="EX23" s="39" t="s">
        <v>394</v>
      </c>
      <c r="EY23" s="91" t="s">
        <v>484</v>
      </c>
      <c r="EZ23" s="39" t="s">
        <v>394</v>
      </c>
      <c r="FA23" s="39" t="s">
        <v>476</v>
      </c>
      <c r="FB23" s="39">
        <v>0</v>
      </c>
      <c r="FC23" s="39" t="s">
        <v>394</v>
      </c>
      <c r="FD23" s="39" t="s">
        <v>394</v>
      </c>
      <c r="FE23" s="39" t="s">
        <v>394</v>
      </c>
      <c r="FF23" s="89" t="s">
        <v>477</v>
      </c>
      <c r="FG23" s="39" t="s">
        <v>394</v>
      </c>
      <c r="FH23" s="39" t="s">
        <v>394</v>
      </c>
      <c r="FI23" s="39" t="s">
        <v>394</v>
      </c>
      <c r="FJ23" s="91" t="s">
        <v>485</v>
      </c>
      <c r="FK23" s="39" t="s">
        <v>394</v>
      </c>
      <c r="FL23" s="39">
        <v>0</v>
      </c>
      <c r="FM23" s="39">
        <v>0</v>
      </c>
      <c r="FN23" s="39" t="s">
        <v>394</v>
      </c>
      <c r="FO23" s="39" t="s">
        <v>394</v>
      </c>
      <c r="FP23" s="39" t="s">
        <v>394</v>
      </c>
    </row>
    <row r="24" spans="1:172" s="39" customFormat="1" ht="99.95" customHeight="1" x14ac:dyDescent="0.25">
      <c r="A24" s="146" t="s">
        <v>235</v>
      </c>
      <c r="B24" s="39" t="s">
        <v>236</v>
      </c>
      <c r="C24" s="39" t="s">
        <v>237</v>
      </c>
      <c r="D24" s="39" t="s">
        <v>237</v>
      </c>
      <c r="E24" s="150" t="s">
        <v>383</v>
      </c>
      <c r="G24" s="88" t="s">
        <v>540</v>
      </c>
      <c r="H24" s="88" t="s">
        <v>539</v>
      </c>
      <c r="I24" s="89" t="s">
        <v>381</v>
      </c>
      <c r="J24" s="39" t="str">
        <f>[1]MiscBanners!$G$4</f>
        <v>Cross-Category_Black_Friday_Week_01.jpg</v>
      </c>
      <c r="K24" s="92" t="s">
        <v>392</v>
      </c>
      <c r="L24" s="92" t="s">
        <v>393</v>
      </c>
      <c r="M24" s="39" t="s">
        <v>394</v>
      </c>
      <c r="N24" s="39" t="s">
        <v>394</v>
      </c>
      <c r="O24" s="39" t="str">
        <f>[1]MiscBanners!$B$4</f>
        <v>https://www.samsung.com/us/shop/all-deals/</v>
      </c>
      <c r="P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4" s="39" t="s">
        <v>394</v>
      </c>
      <c r="R24" s="39" t="s">
        <v>394</v>
      </c>
      <c r="S24" s="89" t="s">
        <v>407</v>
      </c>
      <c r="T24" s="39" t="str">
        <f>'Dynamic Banners'!$L$4</f>
        <v>Cyber-monday-1.png</v>
      </c>
      <c r="U24" s="39" t="str">
        <f>'Dynamic Banners'!$M$4</f>
        <v xml:space="preserve">The clock is ticking away for Cyber Monday </v>
      </c>
      <c r="V24" s="39" t="s">
        <v>394</v>
      </c>
      <c r="W24" s="39" t="str">
        <f>'Dynamic Banners'!$N$4</f>
        <v xml:space="preserve">Shop amazing offers on showstopping products while supplies last. </v>
      </c>
      <c r="X24" s="39" t="s">
        <v>394</v>
      </c>
      <c r="Y24" s="39" t="str">
        <f>[1]MiscBanners!$B$4</f>
        <v>https://www.samsung.com/us/shop/all-deals/</v>
      </c>
      <c r="Z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4" s="39" t="s">
        <v>394</v>
      </c>
      <c r="AB24" s="39" t="s">
        <v>394</v>
      </c>
      <c r="AC24" s="39" t="s">
        <v>394</v>
      </c>
      <c r="AD24" s="89" t="s">
        <v>408</v>
      </c>
      <c r="AE24" s="39" t="s">
        <v>394</v>
      </c>
      <c r="AF24" s="39" t="s">
        <v>394</v>
      </c>
      <c r="AG24" s="7" t="s">
        <v>559</v>
      </c>
      <c r="AH24" s="39" t="s">
        <v>562</v>
      </c>
      <c r="AI24" s="39" t="s">
        <v>394</v>
      </c>
      <c r="AJ24" s="39" t="str">
        <f>[1]MiscBanners!$B$4</f>
        <v>https://www.samsung.com/us/shop/all-deals/</v>
      </c>
      <c r="AK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4" s="39" t="s">
        <v>394</v>
      </c>
      <c r="AM24" s="39" t="s">
        <v>394</v>
      </c>
      <c r="AN24" s="39" t="s">
        <v>394</v>
      </c>
      <c r="AO24" s="89" t="s">
        <v>371</v>
      </c>
      <c r="AP24" s="39" t="str">
        <f>CCModuleCopy!$B$5</f>
        <v>IM_HeadImage_Shop_Phones_500xV.jpg</v>
      </c>
      <c r="AQ24" s="39" t="str">
        <f>CCModuleCopy!$C$5</f>
        <v>Save up to $1000 instantly on the latest and greatest Galaxy smartphones</v>
      </c>
      <c r="AR24" s="39" t="str">
        <f>CCModuleCopy!$D$5</f>
        <v>NULL</v>
      </c>
      <c r="AS24"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AT24" s="39" t="str">
        <f>CCModuleCopy!$L$5</f>
        <v>Shop all</v>
      </c>
      <c r="AU24" s="39" t="str">
        <f>CCModuleCopy!$M$5</f>
        <v>https://www.samsung.com/us/shop/all-deals/cell-phone-deals/</v>
      </c>
      <c r="AV24"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W24" s="39" t="str">
        <f>CCModuleCopy!$O$5</f>
        <v>NULL</v>
      </c>
      <c r="AX24" s="39" t="str">
        <f>CCModuleCopy!$P$5</f>
        <v>NULL</v>
      </c>
      <c r="AY24" s="39" t="str">
        <f>CCModuleCopy!$Q$5</f>
        <v>NULL</v>
      </c>
      <c r="AZ24" s="89" t="s">
        <v>265</v>
      </c>
      <c r="BA24" s="39" t="str">
        <f>CCModuleCopy!$B$7</f>
        <v>HE_HeadImage_Shop_TVs_500xV.jpg</v>
      </c>
      <c r="BB24" s="39" t="str">
        <f>CCModuleCopy!$C$7</f>
        <v>Get up to $3000 off select 8K, 4K and Lifestyle TVs</v>
      </c>
      <c r="BC24" s="39" t="str">
        <f>CCModuleCopy!$D$7</f>
        <v>NULL</v>
      </c>
      <c r="BD24"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24" s="39" t="str">
        <f>CCModuleCopy!$L$7</f>
        <v>Shop all</v>
      </c>
      <c r="BF24" s="39" t="str">
        <f>CCModuleCopy!$M$7</f>
        <v>https://www.samsung.com/us/shop/all-deals/tv-and-home-theater-deals/</v>
      </c>
      <c r="BG24"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H24" s="39" t="str">
        <f>CCModuleCopy!$O$7</f>
        <v>NULL</v>
      </c>
      <c r="BI24" s="39" t="str">
        <f>CCModuleCopy!$P$7</f>
        <v>NULL</v>
      </c>
      <c r="BJ24" s="39" t="str">
        <f>CCModuleCopy!$Q$7</f>
        <v>NULL</v>
      </c>
      <c r="BK24" s="89" t="s">
        <v>266</v>
      </c>
      <c r="BL24" s="39" t="str">
        <f>CCModuleCopy!$B$15</f>
        <v>Tablet-HeadImage-500xV.jpg</v>
      </c>
      <c r="BM24" s="39" t="str">
        <f>CCModuleCopy!$C$15</f>
        <v>Save up to $150 on select tablets</v>
      </c>
      <c r="BN24" s="39" t="str">
        <f>CCModuleCopy!$D$15</f>
        <v>NULL</v>
      </c>
      <c r="BO24" s="39" t="str">
        <f>CCModuleCopy!$E$15</f>
        <v xml:space="preserve">Empower how you create, learn, game and more with our powerful line of tablets. Shop offers on must-have products from the new Galaxy Tab S7+ to the Galaxy Tab S6 Lite. </v>
      </c>
      <c r="BP24" s="39" t="str">
        <f>CCModuleCopy!$L$15</f>
        <v>Shop all</v>
      </c>
      <c r="BQ24" s="39" t="str">
        <f>CCModuleCopy!$M$15</f>
        <v>https://www.samsung.com/us/shop/all-deals/tablets-laptops-computers-deals/</v>
      </c>
      <c r="BR24"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24" s="39" t="str">
        <f>CCModuleCopy!$O$15</f>
        <v>NULL</v>
      </c>
      <c r="BT24" s="39" t="str">
        <f>CCModuleCopy!$P$15</f>
        <v>NULL</v>
      </c>
      <c r="BU24" s="39" t="str">
        <f>CCModuleCopy!$Q$15</f>
        <v>NULL</v>
      </c>
      <c r="BV24" s="89" t="s">
        <v>367</v>
      </c>
      <c r="BW24" s="39" t="str">
        <f>CCModuleCopy!$B$11</f>
        <v>ME_HeadImage_Wearables_500xV.jpg</v>
      </c>
      <c r="BX24" s="39" t="str">
        <f>CCModuleCopy!$C$11</f>
        <v>Get up to $100 off select watches and earbuds</v>
      </c>
      <c r="BY24" s="39" t="str">
        <f>CCModuleCopy!$D$11</f>
        <v>NULL</v>
      </c>
      <c r="BZ24"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4" s="39" t="str">
        <f>CCModuleCopy!$L$11</f>
        <v>Shop all</v>
      </c>
      <c r="CB24" s="39" t="str">
        <f>CCModuleCopy!$M$11</f>
        <v>https://www.samsung.com/us/shop/all-deals/tablets-wearables-cell-phone-accessories-deals/</v>
      </c>
      <c r="CC24"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4" s="39" t="str">
        <f>CCModuleCopy!$O$11</f>
        <v>NULL</v>
      </c>
      <c r="CE24" s="39" t="str">
        <f>CCModuleCopy!$P$11</f>
        <v>NULL</v>
      </c>
      <c r="CF24" s="39" t="str">
        <f>CCModuleCopy!$Q$11</f>
        <v>NULL</v>
      </c>
      <c r="CG24" s="89" t="s">
        <v>368</v>
      </c>
      <c r="CH24" s="39" t="str">
        <f>CCModuleCopy!$B$13</f>
        <v>CE_HeadImage_Computing_500xV.jpg</v>
      </c>
      <c r="CI24" s="39" t="str">
        <f>CCModuleCopy!$C$13</f>
        <v>Get up to 60% off memory cards, SSD, monitors and more</v>
      </c>
      <c r="CJ24" s="39" t="str">
        <f>CCModuleCopy!$D$13</f>
        <v>NULL</v>
      </c>
      <c r="CK24" s="39" t="str">
        <f>CCModuleCopy!$E$13</f>
        <v xml:space="preserve">Expand the way you play, store and create and get up to 30% off monitors, up to 60% off memory cards, up to 35% off SSD and more. Work and game smarter, not harder with these must-have computing offers. </v>
      </c>
      <c r="CL24" s="39" t="str">
        <f>CCModuleCopy!$L$13</f>
        <v>Shop all</v>
      </c>
      <c r="CM24" s="39" t="str">
        <f>CCModuleCopy!$M$13</f>
        <v>https://www.samsung.com/us/shop/all-deals/laptop-and-computer-deals/</v>
      </c>
      <c r="CN24"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4" s="39" t="str">
        <f>CCModuleCopy!$O$13</f>
        <v>NULL</v>
      </c>
      <c r="CP24" s="39" t="str">
        <f>CCModuleCopy!$P$13</f>
        <v>NULL</v>
      </c>
      <c r="CQ24" s="39" t="str">
        <f>CCModuleCopy!$Q$13</f>
        <v>NULL</v>
      </c>
      <c r="CR24" s="89" t="s">
        <v>279</v>
      </c>
      <c r="CS24" s="39" t="str">
        <f>CCModuleCopy!$B$9</f>
        <v>HA_HeadImage_Shop_HA_500xV.jpg</v>
      </c>
      <c r="CT24" s="39" t="str">
        <f>CCModuleCopy!$C$9</f>
        <v>Save up to 50% on everything you need to upgrade your home and home care</v>
      </c>
      <c r="CU24" s="39" t="str">
        <f>CCModuleCopy!$D$9</f>
        <v>NULL</v>
      </c>
      <c r="CV24"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4" s="39" t="str">
        <f>CCModuleCopy!$L$9</f>
        <v>Shop all</v>
      </c>
      <c r="CX24" s="39" t="str">
        <f>CCModuleCopy!$M$9</f>
        <v>https://www.samsung.com/us/shop/all-deals/home-appliance-and-smart-home-sales/</v>
      </c>
      <c r="CY24"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4" s="39" t="str">
        <f>CCModuleCopy!$O$9</f>
        <v>NULL</v>
      </c>
      <c r="DA24" s="39" t="str">
        <f>CCModuleCopy!$P$9</f>
        <v>NULL</v>
      </c>
      <c r="DB24" s="39" t="str">
        <f>CCModuleCopy!$Q$9</f>
        <v>NULL</v>
      </c>
      <c r="DC24" s="89" t="s">
        <v>280</v>
      </c>
      <c r="DD24" s="39" t="str">
        <f>MiscBanners!$H$4</f>
        <v>Give-wonder-500xV.jpg</v>
      </c>
      <c r="DE24" s="39" t="str">
        <f>MiscBanners!$I$4</f>
        <v>The gift that keeps on giving</v>
      </c>
      <c r="DF24" s="39" t="str">
        <f>MiscBanners!$J$4</f>
        <v>NULL</v>
      </c>
      <c r="DG24" s="91" t="str">
        <f>MiscBanners!$K$4</f>
        <v>Discover even more exclusive offers on your favorite products and unlock the power of smart and savvy gifting.</v>
      </c>
      <c r="DH24" s="39" t="str">
        <f>MiscBanners!$L$4</f>
        <v>Shop now</v>
      </c>
      <c r="DI24" s="39" t="str">
        <f>MiscBanners!$M$4</f>
        <v>https://www.samsung.com/us/gift-ideas/</v>
      </c>
      <c r="DJ24"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4" s="39" t="str">
        <f>MiscBanners!$O$4</f>
        <v>NULL</v>
      </c>
      <c r="DL24" s="39" t="str">
        <f>MiscBanners!$P$4</f>
        <v>NULL</v>
      </c>
      <c r="DM24" s="39" t="str">
        <f>MiscBanners!$Q$4</f>
        <v>NULL</v>
      </c>
      <c r="DN24" s="89" t="s">
        <v>273</v>
      </c>
      <c r="DR24" s="91"/>
      <c r="DY24" s="89" t="s">
        <v>481</v>
      </c>
      <c r="DZ24" s="39" t="s">
        <v>394</v>
      </c>
      <c r="EA24" s="39" t="s">
        <v>394</v>
      </c>
      <c r="EB24" s="39" t="s">
        <v>394</v>
      </c>
      <c r="EC24" s="91" t="s">
        <v>482</v>
      </c>
      <c r="ED24" s="39" t="s">
        <v>394</v>
      </c>
      <c r="EE24" s="39" t="s">
        <v>476</v>
      </c>
      <c r="EF24" s="39">
        <v>0</v>
      </c>
      <c r="EG24" s="39" t="s">
        <v>394</v>
      </c>
      <c r="EH24" s="39" t="s">
        <v>394</v>
      </c>
      <c r="EI24" s="39" t="s">
        <v>394</v>
      </c>
      <c r="EJ24" s="89" t="s">
        <v>439</v>
      </c>
      <c r="EK24" s="39" t="s">
        <v>394</v>
      </c>
      <c r="EL24" s="39" t="s">
        <v>394</v>
      </c>
      <c r="EM24" s="39" t="s">
        <v>394</v>
      </c>
      <c r="EN24" s="91" t="s">
        <v>483</v>
      </c>
      <c r="EO24" s="39" t="s">
        <v>394</v>
      </c>
      <c r="EP24" s="39" t="s">
        <v>476</v>
      </c>
      <c r="EQ24" s="39">
        <v>0</v>
      </c>
      <c r="ER24" s="39" t="s">
        <v>394</v>
      </c>
      <c r="ES24" s="39" t="s">
        <v>394</v>
      </c>
      <c r="ET24" s="39" t="s">
        <v>394</v>
      </c>
      <c r="EU24" s="89" t="s">
        <v>441</v>
      </c>
      <c r="EV24" s="39" t="s">
        <v>394</v>
      </c>
      <c r="EW24" s="39" t="s">
        <v>394</v>
      </c>
      <c r="EX24" s="39" t="s">
        <v>394</v>
      </c>
      <c r="EY24" s="91" t="s">
        <v>485</v>
      </c>
      <c r="EZ24" s="39" t="s">
        <v>394</v>
      </c>
      <c r="FA24" s="39">
        <v>0</v>
      </c>
      <c r="FB24" s="39">
        <v>0</v>
      </c>
      <c r="FC24" s="39" t="s">
        <v>394</v>
      </c>
      <c r="FD24" s="39" t="s">
        <v>394</v>
      </c>
      <c r="FE24" s="39" t="s">
        <v>394</v>
      </c>
      <c r="FF24" s="89"/>
      <c r="FJ24" s="91"/>
    </row>
    <row r="25" spans="1:172" s="39" customFormat="1" ht="99.95" customHeight="1" x14ac:dyDescent="0.25">
      <c r="A25" s="146" t="s">
        <v>235</v>
      </c>
      <c r="B25" s="39" t="s">
        <v>240</v>
      </c>
      <c r="C25" s="39" t="s">
        <v>237</v>
      </c>
      <c r="D25" s="39" t="s">
        <v>237</v>
      </c>
      <c r="E25" s="150" t="s">
        <v>383</v>
      </c>
      <c r="G25" s="88" t="s">
        <v>540</v>
      </c>
      <c r="H25" s="88" t="s">
        <v>539</v>
      </c>
      <c r="I25" s="89" t="s">
        <v>381</v>
      </c>
      <c r="J25" s="39" t="str">
        <f>[1]MiscBanners!$G$4</f>
        <v>Cross-Category_Black_Friday_Week_01.jpg</v>
      </c>
      <c r="K25" s="92" t="s">
        <v>392</v>
      </c>
      <c r="L25" s="92" t="s">
        <v>393</v>
      </c>
      <c r="M25" s="39" t="s">
        <v>394</v>
      </c>
      <c r="N25" s="39" t="s">
        <v>394</v>
      </c>
      <c r="O25" s="39" t="str">
        <f>[1]MiscBanners!$B$4</f>
        <v>https://www.samsung.com/us/shop/all-deals/</v>
      </c>
      <c r="P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5" s="39" t="s">
        <v>394</v>
      </c>
      <c r="R25" s="39" t="s">
        <v>394</v>
      </c>
      <c r="S25" s="89" t="s">
        <v>407</v>
      </c>
      <c r="T25" s="39" t="str">
        <f>'Dynamic Banners'!$L$4</f>
        <v>Cyber-monday-1.png</v>
      </c>
      <c r="U25" s="39" t="str">
        <f>'Dynamic Banners'!$M$4</f>
        <v xml:space="preserve">The clock is ticking away for Cyber Monday </v>
      </c>
      <c r="V25" s="39" t="s">
        <v>394</v>
      </c>
      <c r="W25" s="39" t="str">
        <f>'Dynamic Banners'!$N$4</f>
        <v xml:space="preserve">Shop amazing offers on showstopping products while supplies last. </v>
      </c>
      <c r="X25" s="39" t="s">
        <v>394</v>
      </c>
      <c r="Y25" s="39" t="str">
        <f>[1]MiscBanners!$B$4</f>
        <v>https://www.samsung.com/us/shop/all-deals/</v>
      </c>
      <c r="Z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5" s="39" t="s">
        <v>394</v>
      </c>
      <c r="AB25" s="39" t="s">
        <v>394</v>
      </c>
      <c r="AC25" s="39" t="s">
        <v>394</v>
      </c>
      <c r="AD25" s="89" t="s">
        <v>408</v>
      </c>
      <c r="AE25" s="39" t="s">
        <v>394</v>
      </c>
      <c r="AF25" s="39" t="s">
        <v>394</v>
      </c>
      <c r="AG25" s="7" t="s">
        <v>559</v>
      </c>
      <c r="AH25" s="39" t="s">
        <v>561</v>
      </c>
      <c r="AI25" s="39" t="s">
        <v>394</v>
      </c>
      <c r="AJ25" s="39" t="str">
        <f>[1]MiscBanners!$B$4</f>
        <v>https://www.samsung.com/us/shop/all-deals/</v>
      </c>
      <c r="AK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5" s="39" t="s">
        <v>394</v>
      </c>
      <c r="AM25" s="39" t="s">
        <v>394</v>
      </c>
      <c r="AN25" s="39" t="s">
        <v>394</v>
      </c>
      <c r="AO25" s="89" t="s">
        <v>265</v>
      </c>
      <c r="AP25" s="39" t="str">
        <f>CCModuleCopy!$B$7</f>
        <v>HE_HeadImage_Shop_TVs_500xV.jpg</v>
      </c>
      <c r="AQ25" s="39" t="str">
        <f>CCModuleCopy!$C$7</f>
        <v>Get up to $3000 off select 8K, 4K and Lifestyle TVs</v>
      </c>
      <c r="AR25" s="39" t="str">
        <f>CCModuleCopy!$D$7</f>
        <v>NULL</v>
      </c>
      <c r="AS25"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25" s="39" t="str">
        <f>CCModuleCopy!$L$7</f>
        <v>Shop all</v>
      </c>
      <c r="AU25" s="39" t="str">
        <f>CCModuleCopy!$M$7</f>
        <v>https://www.samsung.com/us/shop/all-deals/tv-and-home-theater-deals/</v>
      </c>
      <c r="AV25"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W25" s="39" t="str">
        <f>CCModuleCopy!$O$7</f>
        <v>NULL</v>
      </c>
      <c r="AX25" s="39" t="str">
        <f>CCModuleCopy!$P$7</f>
        <v>NULL</v>
      </c>
      <c r="AY25" s="39" t="str">
        <f>CCModuleCopy!$Q$7</f>
        <v>NULL</v>
      </c>
      <c r="AZ25" s="89" t="s">
        <v>371</v>
      </c>
      <c r="BA25" s="39" t="str">
        <f>CCModuleCopy!$B$5</f>
        <v>IM_HeadImage_Shop_Phones_500xV.jpg</v>
      </c>
      <c r="BB25" s="39" t="str">
        <f>CCModuleCopy!$C$5</f>
        <v>Save up to $1000 instantly on the latest and greatest Galaxy smartphones</v>
      </c>
      <c r="BC25" s="39" t="str">
        <f>CCModuleCopy!$D$5</f>
        <v>NULL</v>
      </c>
      <c r="BD25"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5" s="39" t="str">
        <f>CCModuleCopy!$L$5</f>
        <v>Shop all</v>
      </c>
      <c r="BF25" s="39" t="str">
        <f>CCModuleCopy!$M$5</f>
        <v>https://www.samsung.com/us/shop/all-deals/cell-phone-deals/</v>
      </c>
      <c r="BG25"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5" s="39" t="str">
        <f>CCModuleCopy!$O$5</f>
        <v>NULL</v>
      </c>
      <c r="BI25" s="39" t="str">
        <f>CCModuleCopy!$P$5</f>
        <v>NULL</v>
      </c>
      <c r="BJ25" s="39" t="str">
        <f>CCModuleCopy!$Q$5</f>
        <v>NULL</v>
      </c>
      <c r="BK25" s="89" t="s">
        <v>266</v>
      </c>
      <c r="BL25" s="39" t="str">
        <f>CCModuleCopy!$B$15</f>
        <v>Tablet-HeadImage-500xV.jpg</v>
      </c>
      <c r="BM25" s="39" t="str">
        <f>CCModuleCopy!$C$15</f>
        <v>Save up to $150 on select tablets</v>
      </c>
      <c r="BN25" s="39" t="str">
        <f>CCModuleCopy!$D$15</f>
        <v>NULL</v>
      </c>
      <c r="BO25" s="39" t="str">
        <f>CCModuleCopy!$E$15</f>
        <v xml:space="preserve">Empower how you create, learn, game and more with our powerful line of tablets. Shop offers on must-have products from the new Galaxy Tab S7+ to the Galaxy Tab S6 Lite. </v>
      </c>
      <c r="BP25" s="39" t="str">
        <f>CCModuleCopy!$L$15</f>
        <v>Shop all</v>
      </c>
      <c r="BQ25" s="39" t="str">
        <f>CCModuleCopy!$M$15</f>
        <v>https://www.samsung.com/us/shop/all-deals/tablets-laptops-computers-deals/</v>
      </c>
      <c r="BR25"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25" s="39" t="str">
        <f>CCModuleCopy!$O$15</f>
        <v>NULL</v>
      </c>
      <c r="BT25" s="39" t="str">
        <f>CCModuleCopy!$P$15</f>
        <v>NULL</v>
      </c>
      <c r="BU25" s="39" t="str">
        <f>CCModuleCopy!$Q$15</f>
        <v>NULL</v>
      </c>
      <c r="BV25" s="89" t="s">
        <v>367</v>
      </c>
      <c r="BW25" s="39" t="str">
        <f>CCModuleCopy!$B$11</f>
        <v>ME_HeadImage_Wearables_500xV.jpg</v>
      </c>
      <c r="BX25" s="39" t="str">
        <f>CCModuleCopy!$C$11</f>
        <v>Get up to $100 off select watches and earbuds</v>
      </c>
      <c r="BY25" s="39" t="str">
        <f>CCModuleCopy!$D$11</f>
        <v>NULL</v>
      </c>
      <c r="BZ25"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5" s="39" t="str">
        <f>CCModuleCopy!$L$11</f>
        <v>Shop all</v>
      </c>
      <c r="CB25" s="39" t="str">
        <f>CCModuleCopy!$M$11</f>
        <v>https://www.samsung.com/us/shop/all-deals/tablets-wearables-cell-phone-accessories-deals/</v>
      </c>
      <c r="CC25"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5" s="39" t="str">
        <f>CCModuleCopy!$O$11</f>
        <v>NULL</v>
      </c>
      <c r="CE25" s="39" t="str">
        <f>CCModuleCopy!$P$11</f>
        <v>NULL</v>
      </c>
      <c r="CF25" s="39" t="str">
        <f>CCModuleCopy!$Q$11</f>
        <v>NULL</v>
      </c>
      <c r="CG25" s="89" t="s">
        <v>368</v>
      </c>
      <c r="CH25" s="39" t="str">
        <f>CCModuleCopy!$B$13</f>
        <v>CE_HeadImage_Computing_500xV.jpg</v>
      </c>
      <c r="CI25" s="39" t="str">
        <f>CCModuleCopy!$C$13</f>
        <v>Get up to 60% off memory cards, SSD, monitors and more</v>
      </c>
      <c r="CJ25" s="39" t="str">
        <f>CCModuleCopy!$D$13</f>
        <v>NULL</v>
      </c>
      <c r="CK25" s="39" t="str">
        <f>CCModuleCopy!$E$13</f>
        <v xml:space="preserve">Expand the way you play, store and create and get up to 30% off monitors, up to 60% off memory cards, up to 35% off SSD and more. Work and game smarter, not harder with these must-have computing offers. </v>
      </c>
      <c r="CL25" s="39" t="str">
        <f>CCModuleCopy!$L$13</f>
        <v>Shop all</v>
      </c>
      <c r="CM25" s="39" t="str">
        <f>CCModuleCopy!$M$13</f>
        <v>https://www.samsung.com/us/shop/all-deals/laptop-and-computer-deals/</v>
      </c>
      <c r="CN25"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5" s="39" t="str">
        <f>CCModuleCopy!$O$13</f>
        <v>NULL</v>
      </c>
      <c r="CP25" s="39" t="str">
        <f>CCModuleCopy!$P$13</f>
        <v>NULL</v>
      </c>
      <c r="CQ25" s="39" t="str">
        <f>CCModuleCopy!$Q$13</f>
        <v>NULL</v>
      </c>
      <c r="CR25" s="89" t="s">
        <v>279</v>
      </c>
      <c r="CS25" s="39" t="str">
        <f>CCModuleCopy!$B$9</f>
        <v>HA_HeadImage_Shop_HA_500xV.jpg</v>
      </c>
      <c r="CT25" s="39" t="str">
        <f>CCModuleCopy!$C$9</f>
        <v>Save up to 50% on everything you need to upgrade your home and home care</v>
      </c>
      <c r="CU25" s="39" t="str">
        <f>CCModuleCopy!$D$9</f>
        <v>NULL</v>
      </c>
      <c r="CV25"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5" s="39" t="str">
        <f>CCModuleCopy!$L$9</f>
        <v>Shop all</v>
      </c>
      <c r="CX25" s="39" t="str">
        <f>CCModuleCopy!$M$9</f>
        <v>https://www.samsung.com/us/shop/all-deals/home-appliance-and-smart-home-sales/</v>
      </c>
      <c r="CY25"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5" s="39" t="str">
        <f>CCModuleCopy!$O$9</f>
        <v>NULL</v>
      </c>
      <c r="DA25" s="39" t="str">
        <f>CCModuleCopy!$P$9</f>
        <v>NULL</v>
      </c>
      <c r="DB25" s="39" t="str">
        <f>CCModuleCopy!$Q$9</f>
        <v>NULL</v>
      </c>
      <c r="DC25" s="89" t="s">
        <v>280</v>
      </c>
      <c r="DD25" s="39" t="str">
        <f>MiscBanners!$H$4</f>
        <v>Give-wonder-500xV.jpg</v>
      </c>
      <c r="DE25" s="39" t="str">
        <f>MiscBanners!$I$4</f>
        <v>The gift that keeps on giving</v>
      </c>
      <c r="DF25" s="39" t="str">
        <f>MiscBanners!$J$4</f>
        <v>NULL</v>
      </c>
      <c r="DG25" s="91" t="str">
        <f>MiscBanners!$K$4</f>
        <v>Discover even more exclusive offers on your favorite products and unlock the power of smart and savvy gifting.</v>
      </c>
      <c r="DH25" s="39" t="str">
        <f>MiscBanners!$L$4</f>
        <v>Shop now</v>
      </c>
      <c r="DI25" s="39" t="str">
        <f>MiscBanners!$M$4</f>
        <v>https://www.samsung.com/us/gift-ideas/</v>
      </c>
      <c r="DJ25"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5" s="39" t="str">
        <f>MiscBanners!$O$4</f>
        <v>NULL</v>
      </c>
      <c r="DL25" s="39" t="str">
        <f>MiscBanners!$P$4</f>
        <v>NULL</v>
      </c>
      <c r="DM25" s="39" t="str">
        <f>MiscBanners!$Q$4</f>
        <v>NULL</v>
      </c>
      <c r="DN25" s="89" t="s">
        <v>273</v>
      </c>
      <c r="DR25" s="91"/>
      <c r="DY25" s="89" t="s">
        <v>481</v>
      </c>
      <c r="DZ25" s="39" t="s">
        <v>394</v>
      </c>
      <c r="EA25" s="39" t="s">
        <v>394</v>
      </c>
      <c r="EB25" s="39" t="s">
        <v>394</v>
      </c>
      <c r="EC25" s="91" t="s">
        <v>482</v>
      </c>
      <c r="ED25" s="39" t="s">
        <v>394</v>
      </c>
      <c r="EE25" s="39" t="s">
        <v>476</v>
      </c>
      <c r="EF25" s="39">
        <v>0</v>
      </c>
      <c r="EG25" s="39" t="s">
        <v>394</v>
      </c>
      <c r="EH25" s="39" t="s">
        <v>394</v>
      </c>
      <c r="EI25" s="39" t="s">
        <v>394</v>
      </c>
      <c r="EJ25" s="89" t="s">
        <v>439</v>
      </c>
      <c r="EK25" s="39" t="s">
        <v>394</v>
      </c>
      <c r="EL25" s="39" t="s">
        <v>394</v>
      </c>
      <c r="EM25" s="39" t="s">
        <v>394</v>
      </c>
      <c r="EN25" s="91" t="s">
        <v>483</v>
      </c>
      <c r="EO25" s="39" t="s">
        <v>394</v>
      </c>
      <c r="EP25" s="39" t="s">
        <v>476</v>
      </c>
      <c r="EQ25" s="39">
        <v>0</v>
      </c>
      <c r="ER25" s="39" t="s">
        <v>394</v>
      </c>
      <c r="ES25" s="39" t="s">
        <v>394</v>
      </c>
      <c r="ET25" s="39" t="s">
        <v>394</v>
      </c>
      <c r="EU25" s="89" t="s">
        <v>441</v>
      </c>
      <c r="EV25" s="39" t="s">
        <v>394</v>
      </c>
      <c r="EW25" s="39" t="s">
        <v>394</v>
      </c>
      <c r="EX25" s="39" t="s">
        <v>394</v>
      </c>
      <c r="EY25" s="91" t="s">
        <v>485</v>
      </c>
      <c r="EZ25" s="39" t="s">
        <v>394</v>
      </c>
      <c r="FA25" s="39">
        <v>0</v>
      </c>
      <c r="FB25" s="39">
        <v>0</v>
      </c>
      <c r="FC25" s="39" t="s">
        <v>394</v>
      </c>
      <c r="FD25" s="39" t="s">
        <v>394</v>
      </c>
      <c r="FE25" s="39" t="s">
        <v>394</v>
      </c>
      <c r="FF25" s="89"/>
      <c r="FJ25" s="91"/>
    </row>
    <row r="26" spans="1:172" s="39" customFormat="1" ht="99.95" customHeight="1" x14ac:dyDescent="0.25">
      <c r="A26" s="146" t="s">
        <v>235</v>
      </c>
      <c r="B26" s="92" t="s">
        <v>241</v>
      </c>
      <c r="C26" s="39" t="s">
        <v>237</v>
      </c>
      <c r="D26" s="39" t="s">
        <v>237</v>
      </c>
      <c r="E26" s="150" t="s">
        <v>383</v>
      </c>
      <c r="G26" s="88" t="s">
        <v>540</v>
      </c>
      <c r="H26" s="88" t="s">
        <v>539</v>
      </c>
      <c r="I26" s="89" t="s">
        <v>381</v>
      </c>
      <c r="J26" s="39" t="str">
        <f>[1]MiscBanners!$G$4</f>
        <v>Cross-Category_Black_Friday_Week_01.jpg</v>
      </c>
      <c r="K26" s="92" t="s">
        <v>392</v>
      </c>
      <c r="L26" s="92" t="s">
        <v>393</v>
      </c>
      <c r="M26" s="39" t="s">
        <v>394</v>
      </c>
      <c r="N26" s="39" t="s">
        <v>394</v>
      </c>
      <c r="O26" s="39" t="str">
        <f>[1]MiscBanners!$B$4</f>
        <v>https://www.samsung.com/us/shop/all-deals/</v>
      </c>
      <c r="P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6" s="39" t="s">
        <v>394</v>
      </c>
      <c r="R26" s="39" t="s">
        <v>394</v>
      </c>
      <c r="S26" s="89" t="s">
        <v>407</v>
      </c>
      <c r="T26" s="39" t="str">
        <f>'Dynamic Banners'!$L$4</f>
        <v>Cyber-monday-1.png</v>
      </c>
      <c r="U26" s="39" t="str">
        <f>'Dynamic Banners'!$M$4</f>
        <v xml:space="preserve">The clock is ticking away for Cyber Monday </v>
      </c>
      <c r="V26" s="39" t="s">
        <v>394</v>
      </c>
      <c r="W26" s="39" t="str">
        <f>'Dynamic Banners'!$N$4</f>
        <v xml:space="preserve">Shop amazing offers on showstopping products while supplies last. </v>
      </c>
      <c r="X26" s="39" t="s">
        <v>394</v>
      </c>
      <c r="Y26" s="39" t="str">
        <f>[1]MiscBanners!$B$4</f>
        <v>https://www.samsung.com/us/shop/all-deals/</v>
      </c>
      <c r="Z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6" s="39" t="s">
        <v>394</v>
      </c>
      <c r="AB26" s="39" t="s">
        <v>394</v>
      </c>
      <c r="AC26" s="39" t="s">
        <v>394</v>
      </c>
      <c r="AD26" s="89" t="s">
        <v>408</v>
      </c>
      <c r="AE26" s="39" t="s">
        <v>394</v>
      </c>
      <c r="AF26" s="39" t="s">
        <v>394</v>
      </c>
      <c r="AG26" s="7" t="s">
        <v>559</v>
      </c>
      <c r="AH26" s="39" t="s">
        <v>561</v>
      </c>
      <c r="AI26" s="39" t="s">
        <v>394</v>
      </c>
      <c r="AJ26" s="39" t="str">
        <f>[1]MiscBanners!$B$4</f>
        <v>https://www.samsung.com/us/shop/all-deals/</v>
      </c>
      <c r="AK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6" s="39" t="s">
        <v>394</v>
      </c>
      <c r="AM26" s="39" t="s">
        <v>394</v>
      </c>
      <c r="AN26" s="39" t="s">
        <v>394</v>
      </c>
      <c r="AO26" s="89" t="s">
        <v>266</v>
      </c>
      <c r="AP26" s="39" t="str">
        <f>CCModuleCopy!$B$15</f>
        <v>Tablet-HeadImage-500xV.jpg</v>
      </c>
      <c r="AQ26" s="39" t="str">
        <f>CCModuleCopy!$C$15</f>
        <v>Save up to $150 on select tablets</v>
      </c>
      <c r="AR26" s="39" t="str">
        <f>CCModuleCopy!$D$15</f>
        <v>NULL</v>
      </c>
      <c r="AS26" s="39" t="str">
        <f>CCModuleCopy!$E$15</f>
        <v xml:space="preserve">Empower how you create, learn, game and more with our powerful line of tablets. Shop offers on must-have products from the new Galaxy Tab S7+ to the Galaxy Tab S6 Lite. </v>
      </c>
      <c r="AT26" s="39" t="str">
        <f>CCModuleCopy!$L$15</f>
        <v>Shop all</v>
      </c>
      <c r="AU26" s="39" t="str">
        <f>CCModuleCopy!$M$15</f>
        <v>https://www.samsung.com/us/shop/all-deals/tablets-laptops-computers-deals/</v>
      </c>
      <c r="AV26"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W26" s="39" t="str">
        <f>CCModuleCopy!$O$15</f>
        <v>NULL</v>
      </c>
      <c r="AX26" s="39" t="str">
        <f>CCModuleCopy!$P$15</f>
        <v>NULL</v>
      </c>
      <c r="AY26" s="39" t="str">
        <f>CCModuleCopy!$Q$15</f>
        <v>NULL</v>
      </c>
      <c r="AZ26" s="89" t="s">
        <v>371</v>
      </c>
      <c r="BA26" s="39" t="str">
        <f>CCModuleCopy!$B$5</f>
        <v>IM_HeadImage_Shop_Phones_500xV.jpg</v>
      </c>
      <c r="BB26" s="39" t="str">
        <f>CCModuleCopy!$C$5</f>
        <v>Save up to $1000 instantly on the latest and greatest Galaxy smartphones</v>
      </c>
      <c r="BC26" s="39" t="str">
        <f>CCModuleCopy!$D$5</f>
        <v>NULL</v>
      </c>
      <c r="BD26"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6" s="39" t="str">
        <f>CCModuleCopy!$L$5</f>
        <v>Shop all</v>
      </c>
      <c r="BF26" s="39" t="str">
        <f>CCModuleCopy!$M$5</f>
        <v>https://www.samsung.com/us/shop/all-deals/cell-phone-deals/</v>
      </c>
      <c r="BG26"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6" s="39" t="str">
        <f>CCModuleCopy!$O$5</f>
        <v>NULL</v>
      </c>
      <c r="BI26" s="39" t="str">
        <f>CCModuleCopy!$P$5</f>
        <v>NULL</v>
      </c>
      <c r="BJ26" s="39" t="str">
        <f>CCModuleCopy!$Q$5</f>
        <v>NULL</v>
      </c>
      <c r="BK26" s="89" t="s">
        <v>265</v>
      </c>
      <c r="BL26" s="39" t="str">
        <f>CCModuleCopy!$B$7</f>
        <v>HE_HeadImage_Shop_TVs_500xV.jpg</v>
      </c>
      <c r="BM26" s="39" t="str">
        <f>CCModuleCopy!$C$7</f>
        <v>Get up to $3000 off select 8K, 4K and Lifestyle TVs</v>
      </c>
      <c r="BN26" s="39" t="str">
        <f>CCModuleCopy!$D$7</f>
        <v>NULL</v>
      </c>
      <c r="BO2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6" s="39" t="str">
        <f>CCModuleCopy!$L$7</f>
        <v>Shop all</v>
      </c>
      <c r="BQ26" s="39" t="str">
        <f>CCModuleCopy!$M$7</f>
        <v>https://www.samsung.com/us/shop/all-deals/tv-and-home-theater-deals/</v>
      </c>
      <c r="BR26"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6" s="39" t="str">
        <f>CCModuleCopy!$O$7</f>
        <v>NULL</v>
      </c>
      <c r="BT26" s="39" t="str">
        <f>CCModuleCopy!$P$7</f>
        <v>NULL</v>
      </c>
      <c r="BU26" s="39" t="str">
        <f>CCModuleCopy!$Q$7</f>
        <v>NULL</v>
      </c>
      <c r="BV26" s="89" t="s">
        <v>367</v>
      </c>
      <c r="BW26" s="39" t="str">
        <f>CCModuleCopy!$B$11</f>
        <v>ME_HeadImage_Wearables_500xV.jpg</v>
      </c>
      <c r="BX26" s="39" t="str">
        <f>CCModuleCopy!$C$11</f>
        <v>Get up to $100 off select watches and earbuds</v>
      </c>
      <c r="BY26" s="39" t="str">
        <f>CCModuleCopy!$D$11</f>
        <v>NULL</v>
      </c>
      <c r="BZ2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6" s="39" t="str">
        <f>CCModuleCopy!$L$11</f>
        <v>Shop all</v>
      </c>
      <c r="CB26" s="39" t="str">
        <f>CCModuleCopy!$M$11</f>
        <v>https://www.samsung.com/us/shop/all-deals/tablets-wearables-cell-phone-accessories-deals/</v>
      </c>
      <c r="CC26"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6" s="39" t="str">
        <f>CCModuleCopy!$O$11</f>
        <v>NULL</v>
      </c>
      <c r="CE26" s="39" t="str">
        <f>CCModuleCopy!$P$11</f>
        <v>NULL</v>
      </c>
      <c r="CF26" s="39" t="str">
        <f>CCModuleCopy!$Q$11</f>
        <v>NULL</v>
      </c>
      <c r="CG26" s="89" t="s">
        <v>368</v>
      </c>
      <c r="CH26" s="39" t="str">
        <f>CCModuleCopy!$B$13</f>
        <v>CE_HeadImage_Computing_500xV.jpg</v>
      </c>
      <c r="CI26" s="39" t="str">
        <f>CCModuleCopy!$C$13</f>
        <v>Get up to 60% off memory cards, SSD, monitors and more</v>
      </c>
      <c r="CJ26" s="39" t="str">
        <f>CCModuleCopy!$D$13</f>
        <v>NULL</v>
      </c>
      <c r="CK26" s="39" t="str">
        <f>CCModuleCopy!$E$13</f>
        <v xml:space="preserve">Expand the way you play, store and create and get up to 30% off monitors, up to 60% off memory cards, up to 35% off SSD and more. Work and game smarter, not harder with these must-have computing offers. </v>
      </c>
      <c r="CL26" s="39" t="str">
        <f>CCModuleCopy!$L$13</f>
        <v>Shop all</v>
      </c>
      <c r="CM26" s="39" t="str">
        <f>CCModuleCopy!$M$13</f>
        <v>https://www.samsung.com/us/shop/all-deals/laptop-and-computer-deals/</v>
      </c>
      <c r="CN26"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6" s="39" t="str">
        <f>CCModuleCopy!$O$13</f>
        <v>NULL</v>
      </c>
      <c r="CP26" s="39" t="str">
        <f>CCModuleCopy!$P$13</f>
        <v>NULL</v>
      </c>
      <c r="CQ26" s="39" t="str">
        <f>CCModuleCopy!$Q$13</f>
        <v>NULL</v>
      </c>
      <c r="CR26" s="89" t="s">
        <v>279</v>
      </c>
      <c r="CS26" s="39" t="str">
        <f>CCModuleCopy!$B$9</f>
        <v>HA_HeadImage_Shop_HA_500xV.jpg</v>
      </c>
      <c r="CT26" s="39" t="str">
        <f>CCModuleCopy!$C$9</f>
        <v>Save up to 50% on everything you need to upgrade your home and home care</v>
      </c>
      <c r="CU26" s="39" t="str">
        <f>CCModuleCopy!$D$9</f>
        <v>NULL</v>
      </c>
      <c r="CV2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6" s="39" t="str">
        <f>CCModuleCopy!$L$9</f>
        <v>Shop all</v>
      </c>
      <c r="CX26" s="39" t="str">
        <f>CCModuleCopy!$M$9</f>
        <v>https://www.samsung.com/us/shop/all-deals/home-appliance-and-smart-home-sales/</v>
      </c>
      <c r="CY26"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6" s="39" t="str">
        <f>CCModuleCopy!$O$9</f>
        <v>NULL</v>
      </c>
      <c r="DA26" s="39" t="str">
        <f>CCModuleCopy!$P$9</f>
        <v>NULL</v>
      </c>
      <c r="DB26" s="39" t="str">
        <f>CCModuleCopy!$Q$9</f>
        <v>NULL</v>
      </c>
      <c r="DC26" s="89" t="s">
        <v>280</v>
      </c>
      <c r="DD26" s="39" t="str">
        <f>MiscBanners!$H$4</f>
        <v>Give-wonder-500xV.jpg</v>
      </c>
      <c r="DE26" s="39" t="str">
        <f>MiscBanners!$I$4</f>
        <v>The gift that keeps on giving</v>
      </c>
      <c r="DF26" s="39" t="str">
        <f>MiscBanners!$J$4</f>
        <v>NULL</v>
      </c>
      <c r="DG26" s="91" t="str">
        <f>MiscBanners!$K$4</f>
        <v>Discover even more exclusive offers on your favorite products and unlock the power of smart and savvy gifting.</v>
      </c>
      <c r="DH26" s="39" t="str">
        <f>MiscBanners!$L$4</f>
        <v>Shop now</v>
      </c>
      <c r="DI26" s="39" t="str">
        <f>MiscBanners!$M$4</f>
        <v>https://www.samsung.com/us/gift-ideas/</v>
      </c>
      <c r="DJ26"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6" s="39" t="str">
        <f>MiscBanners!$O$4</f>
        <v>NULL</v>
      </c>
      <c r="DL26" s="39" t="str">
        <f>MiscBanners!$P$4</f>
        <v>NULL</v>
      </c>
      <c r="DM26" s="39" t="str">
        <f>MiscBanners!$Q$4</f>
        <v>NULL</v>
      </c>
      <c r="DN26" s="89" t="s">
        <v>273</v>
      </c>
      <c r="DR26" s="91"/>
      <c r="DY26" s="89" t="s">
        <v>481</v>
      </c>
      <c r="DZ26" s="39" t="s">
        <v>394</v>
      </c>
      <c r="EA26" s="39" t="s">
        <v>394</v>
      </c>
      <c r="EB26" s="39" t="s">
        <v>394</v>
      </c>
      <c r="EC26" s="91" t="s">
        <v>482</v>
      </c>
      <c r="ED26" s="39" t="s">
        <v>394</v>
      </c>
      <c r="EE26" s="39" t="s">
        <v>476</v>
      </c>
      <c r="EF26" s="39">
        <v>0</v>
      </c>
      <c r="EG26" s="39" t="s">
        <v>394</v>
      </c>
      <c r="EH26" s="39" t="s">
        <v>394</v>
      </c>
      <c r="EI26" s="39" t="s">
        <v>394</v>
      </c>
      <c r="EJ26" s="89" t="s">
        <v>439</v>
      </c>
      <c r="EK26" s="39" t="s">
        <v>394</v>
      </c>
      <c r="EL26" s="39" t="s">
        <v>394</v>
      </c>
      <c r="EM26" s="39" t="s">
        <v>394</v>
      </c>
      <c r="EN26" s="91" t="s">
        <v>483</v>
      </c>
      <c r="EO26" s="39" t="s">
        <v>394</v>
      </c>
      <c r="EP26" s="39" t="s">
        <v>476</v>
      </c>
      <c r="EQ26" s="39">
        <v>0</v>
      </c>
      <c r="ER26" s="39" t="s">
        <v>394</v>
      </c>
      <c r="ES26" s="39" t="s">
        <v>394</v>
      </c>
      <c r="ET26" s="39" t="s">
        <v>394</v>
      </c>
      <c r="EU26" s="89" t="s">
        <v>441</v>
      </c>
      <c r="EV26" s="39" t="s">
        <v>394</v>
      </c>
      <c r="EW26" s="39" t="s">
        <v>394</v>
      </c>
      <c r="EX26" s="39" t="s">
        <v>394</v>
      </c>
      <c r="EY26" s="91" t="s">
        <v>485</v>
      </c>
      <c r="EZ26" s="39" t="s">
        <v>394</v>
      </c>
      <c r="FA26" s="39">
        <v>0</v>
      </c>
      <c r="FB26" s="39">
        <v>0</v>
      </c>
      <c r="FC26" s="39" t="s">
        <v>394</v>
      </c>
      <c r="FD26" s="39" t="s">
        <v>394</v>
      </c>
      <c r="FE26" s="39" t="s">
        <v>394</v>
      </c>
      <c r="FF26" s="89"/>
      <c r="FJ26" s="91"/>
    </row>
    <row r="27" spans="1:172" s="39" customFormat="1" ht="99.95" customHeight="1" x14ac:dyDescent="0.25">
      <c r="A27" s="146" t="s">
        <v>235</v>
      </c>
      <c r="B27" s="39" t="s">
        <v>264</v>
      </c>
      <c r="C27" s="39" t="s">
        <v>237</v>
      </c>
      <c r="D27" s="39" t="s">
        <v>237</v>
      </c>
      <c r="E27" s="150" t="s">
        <v>383</v>
      </c>
      <c r="G27" s="88" t="s">
        <v>540</v>
      </c>
      <c r="H27" s="88" t="s">
        <v>539</v>
      </c>
      <c r="I27" s="89" t="s">
        <v>381</v>
      </c>
      <c r="J27" s="39" t="str">
        <f>[1]MiscBanners!$G$4</f>
        <v>Cross-Category_Black_Friday_Week_01.jpg</v>
      </c>
      <c r="K27" s="92" t="s">
        <v>392</v>
      </c>
      <c r="L27" s="92" t="s">
        <v>393</v>
      </c>
      <c r="M27" s="39" t="s">
        <v>394</v>
      </c>
      <c r="N27" s="39" t="s">
        <v>394</v>
      </c>
      <c r="O27" s="39" t="str">
        <f>[1]MiscBanners!$B$4</f>
        <v>https://www.samsung.com/us/shop/all-deals/</v>
      </c>
      <c r="P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7" s="39" t="s">
        <v>394</v>
      </c>
      <c r="R27" s="39" t="s">
        <v>394</v>
      </c>
      <c r="S27" s="89" t="s">
        <v>407</v>
      </c>
      <c r="T27" s="39" t="str">
        <f>'Dynamic Banners'!$L$4</f>
        <v>Cyber-monday-1.png</v>
      </c>
      <c r="U27" s="39" t="str">
        <f>'Dynamic Banners'!$M$4</f>
        <v xml:space="preserve">The clock is ticking away for Cyber Monday </v>
      </c>
      <c r="V27" s="39" t="s">
        <v>394</v>
      </c>
      <c r="W27" s="39" t="str">
        <f>'Dynamic Banners'!$N$4</f>
        <v xml:space="preserve">Shop amazing offers on showstopping products while supplies last. </v>
      </c>
      <c r="X27" s="39" t="s">
        <v>394</v>
      </c>
      <c r="Y27" s="39" t="str">
        <f>[1]MiscBanners!$B$4</f>
        <v>https://www.samsung.com/us/shop/all-deals/</v>
      </c>
      <c r="Z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7" s="39" t="s">
        <v>394</v>
      </c>
      <c r="AB27" s="39" t="s">
        <v>394</v>
      </c>
      <c r="AC27" s="39" t="s">
        <v>394</v>
      </c>
      <c r="AD27" s="89" t="s">
        <v>408</v>
      </c>
      <c r="AE27" s="39" t="s">
        <v>394</v>
      </c>
      <c r="AF27" s="39" t="s">
        <v>394</v>
      </c>
      <c r="AG27" s="7" t="s">
        <v>559</v>
      </c>
      <c r="AH27" s="39" t="s">
        <v>561</v>
      </c>
      <c r="AI27" s="39" t="s">
        <v>394</v>
      </c>
      <c r="AJ27" s="39" t="str">
        <f>[1]MiscBanners!$B$4</f>
        <v>https://www.samsung.com/us/shop/all-deals/</v>
      </c>
      <c r="AK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7" s="39" t="s">
        <v>394</v>
      </c>
      <c r="AM27" s="39" t="s">
        <v>394</v>
      </c>
      <c r="AN27" s="39" t="s">
        <v>394</v>
      </c>
      <c r="AO27" s="89" t="s">
        <v>367</v>
      </c>
      <c r="AP27" s="39" t="str">
        <f>CCModuleCopy!$B$11</f>
        <v>ME_HeadImage_Wearables_500xV.jpg</v>
      </c>
      <c r="AQ27" s="39" t="str">
        <f>CCModuleCopy!$C$11</f>
        <v>Get up to $100 off select watches and earbuds</v>
      </c>
      <c r="AR27" s="39" t="str">
        <f>CCModuleCopy!$D$11</f>
        <v>NULL</v>
      </c>
      <c r="AS2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27" s="39" t="str">
        <f>CCModuleCopy!$L$11</f>
        <v>Shop all</v>
      </c>
      <c r="AU27" s="39" t="str">
        <f>CCModuleCopy!$M$11</f>
        <v>https://www.samsung.com/us/shop/all-deals/tablets-wearables-cell-phone-accessories-deals/</v>
      </c>
      <c r="AV27"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W27" s="39" t="str">
        <f>CCModuleCopy!$O$11</f>
        <v>NULL</v>
      </c>
      <c r="AX27" s="39" t="str">
        <f>CCModuleCopy!$P$11</f>
        <v>NULL</v>
      </c>
      <c r="AY27" s="39" t="str">
        <f>CCModuleCopy!$Q$11</f>
        <v>NULL</v>
      </c>
      <c r="AZ27" s="89" t="s">
        <v>371</v>
      </c>
      <c r="BA27" s="39" t="str">
        <f>CCModuleCopy!$B$5</f>
        <v>IM_HeadImage_Shop_Phones_500xV.jpg</v>
      </c>
      <c r="BB27" s="39" t="str">
        <f>CCModuleCopy!$C$5</f>
        <v>Save up to $1000 instantly on the latest and greatest Galaxy smartphones</v>
      </c>
      <c r="BC27" s="39" t="str">
        <f>CCModuleCopy!$D$5</f>
        <v>NULL</v>
      </c>
      <c r="BD27"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7" s="39" t="str">
        <f>CCModuleCopy!$L$5</f>
        <v>Shop all</v>
      </c>
      <c r="BF27" s="39" t="str">
        <f>CCModuleCopy!$M$5</f>
        <v>https://www.samsung.com/us/shop/all-deals/cell-phone-deals/</v>
      </c>
      <c r="BG27"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7" s="39" t="str">
        <f>CCModuleCopy!$O$5</f>
        <v>NULL</v>
      </c>
      <c r="BI27" s="39" t="str">
        <f>CCModuleCopy!$P$5</f>
        <v>NULL</v>
      </c>
      <c r="BJ27" s="39" t="str">
        <f>CCModuleCopy!$Q$5</f>
        <v>NULL</v>
      </c>
      <c r="BK27" s="89" t="s">
        <v>265</v>
      </c>
      <c r="BL27" s="39" t="str">
        <f>CCModuleCopy!$B$7</f>
        <v>HE_HeadImage_Shop_TVs_500xV.jpg</v>
      </c>
      <c r="BM27" s="39" t="str">
        <f>CCModuleCopy!$C$7</f>
        <v>Get up to $3000 off select 8K, 4K and Lifestyle TVs</v>
      </c>
      <c r="BN27" s="39" t="str">
        <f>CCModuleCopy!$D$7</f>
        <v>NULL</v>
      </c>
      <c r="BO2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7" s="39" t="str">
        <f>CCModuleCopy!$L$7</f>
        <v>Shop all</v>
      </c>
      <c r="BQ27" s="39" t="str">
        <f>CCModuleCopy!$M$7</f>
        <v>https://www.samsung.com/us/shop/all-deals/tv-and-home-theater-deals/</v>
      </c>
      <c r="BR27"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7" s="39" t="str">
        <f>CCModuleCopy!$O$7</f>
        <v>NULL</v>
      </c>
      <c r="BT27" s="39" t="str">
        <f>CCModuleCopy!$P$7</f>
        <v>NULL</v>
      </c>
      <c r="BU27" s="39" t="str">
        <f>CCModuleCopy!$Q$7</f>
        <v>NULL</v>
      </c>
      <c r="BV27" s="89" t="s">
        <v>266</v>
      </c>
      <c r="BW27" s="39" t="str">
        <f>CCModuleCopy!$B$15</f>
        <v>Tablet-HeadImage-500xV.jpg</v>
      </c>
      <c r="BX27" s="39" t="str">
        <f>CCModuleCopy!$C$15</f>
        <v>Save up to $150 on select tablets</v>
      </c>
      <c r="BY27" s="39" t="str">
        <f>CCModuleCopy!$D$15</f>
        <v>NULL</v>
      </c>
      <c r="BZ27" s="39" t="str">
        <f>CCModuleCopy!$E$15</f>
        <v xml:space="preserve">Empower how you create, learn, game and more with our powerful line of tablets. Shop offers on must-have products from the new Galaxy Tab S7+ to the Galaxy Tab S6 Lite. </v>
      </c>
      <c r="CA27" s="39" t="str">
        <f>CCModuleCopy!$L$15</f>
        <v>Shop all</v>
      </c>
      <c r="CB27" s="39" t="str">
        <f>CCModuleCopy!$M$15</f>
        <v>https://www.samsung.com/us/shop/all-deals/tablets-laptops-computers-deals/</v>
      </c>
      <c r="CC27"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7" s="39" t="str">
        <f>CCModuleCopy!$O$15</f>
        <v>NULL</v>
      </c>
      <c r="CE27" s="39" t="str">
        <f>CCModuleCopy!$P$15</f>
        <v>NULL</v>
      </c>
      <c r="CF27" s="39" t="str">
        <f>CCModuleCopy!$Q$15</f>
        <v>NULL</v>
      </c>
      <c r="CG27" s="89" t="s">
        <v>368</v>
      </c>
      <c r="CH27" s="39" t="str">
        <f>CCModuleCopy!$B$13</f>
        <v>CE_HeadImage_Computing_500xV.jpg</v>
      </c>
      <c r="CI27" s="39" t="str">
        <f>CCModuleCopy!$C$13</f>
        <v>Get up to 60% off memory cards, SSD, monitors and more</v>
      </c>
      <c r="CJ27" s="39" t="str">
        <f>CCModuleCopy!$D$13</f>
        <v>NULL</v>
      </c>
      <c r="CK27" s="39" t="str">
        <f>CCModuleCopy!$E$13</f>
        <v xml:space="preserve">Expand the way you play, store and create and get up to 30% off monitors, up to 60% off memory cards, up to 35% off SSD and more. Work and game smarter, not harder with these must-have computing offers. </v>
      </c>
      <c r="CL27" s="39" t="str">
        <f>CCModuleCopy!$L$13</f>
        <v>Shop all</v>
      </c>
      <c r="CM27" s="39" t="str">
        <f>CCModuleCopy!$M$13</f>
        <v>https://www.samsung.com/us/shop/all-deals/laptop-and-computer-deals/</v>
      </c>
      <c r="CN27"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7" s="39" t="str">
        <f>CCModuleCopy!$O$13</f>
        <v>NULL</v>
      </c>
      <c r="CP27" s="39" t="str">
        <f>CCModuleCopy!$P$13</f>
        <v>NULL</v>
      </c>
      <c r="CQ27" s="39" t="str">
        <f>CCModuleCopy!$Q$13</f>
        <v>NULL</v>
      </c>
      <c r="CR27" s="89" t="s">
        <v>279</v>
      </c>
      <c r="CS27" s="39" t="str">
        <f>CCModuleCopy!$B$9</f>
        <v>HA_HeadImage_Shop_HA_500xV.jpg</v>
      </c>
      <c r="CT27" s="39" t="str">
        <f>CCModuleCopy!$C$9</f>
        <v>Save up to 50% on everything you need to upgrade your home and home care</v>
      </c>
      <c r="CU27" s="39" t="str">
        <f>CCModuleCopy!$D$9</f>
        <v>NULL</v>
      </c>
      <c r="CV2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7" s="39" t="str">
        <f>CCModuleCopy!$L$9</f>
        <v>Shop all</v>
      </c>
      <c r="CX27" s="39" t="str">
        <f>CCModuleCopy!$M$9</f>
        <v>https://www.samsung.com/us/shop/all-deals/home-appliance-and-smart-home-sales/</v>
      </c>
      <c r="CY27"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7" s="39" t="str">
        <f>CCModuleCopy!$O$9</f>
        <v>NULL</v>
      </c>
      <c r="DA27" s="39" t="str">
        <f>CCModuleCopy!$P$9</f>
        <v>NULL</v>
      </c>
      <c r="DB27" s="39" t="str">
        <f>CCModuleCopy!$Q$9</f>
        <v>NULL</v>
      </c>
      <c r="DC27" s="89" t="s">
        <v>280</v>
      </c>
      <c r="DD27" s="39" t="str">
        <f>MiscBanners!$H$4</f>
        <v>Give-wonder-500xV.jpg</v>
      </c>
      <c r="DE27" s="39" t="str">
        <f>MiscBanners!$I$4</f>
        <v>The gift that keeps on giving</v>
      </c>
      <c r="DF27" s="39" t="str">
        <f>MiscBanners!$J$4</f>
        <v>NULL</v>
      </c>
      <c r="DG27" s="91" t="str">
        <f>MiscBanners!$K$4</f>
        <v>Discover even more exclusive offers on your favorite products and unlock the power of smart and savvy gifting.</v>
      </c>
      <c r="DH27" s="39" t="str">
        <f>MiscBanners!$L$4</f>
        <v>Shop now</v>
      </c>
      <c r="DI27" s="39" t="str">
        <f>MiscBanners!$M$4</f>
        <v>https://www.samsung.com/us/gift-ideas/</v>
      </c>
      <c r="DJ27"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7" s="39" t="str">
        <f>MiscBanners!$O$4</f>
        <v>NULL</v>
      </c>
      <c r="DL27" s="39" t="str">
        <f>MiscBanners!$P$4</f>
        <v>NULL</v>
      </c>
      <c r="DM27" s="39" t="str">
        <f>MiscBanners!$Q$4</f>
        <v>NULL</v>
      </c>
      <c r="DN27" s="89" t="s">
        <v>273</v>
      </c>
      <c r="DR27" s="91"/>
      <c r="DY27" s="89" t="s">
        <v>481</v>
      </c>
      <c r="DZ27" s="39" t="s">
        <v>394</v>
      </c>
      <c r="EA27" s="39" t="s">
        <v>394</v>
      </c>
      <c r="EB27" s="39" t="s">
        <v>394</v>
      </c>
      <c r="EC27" s="91" t="s">
        <v>482</v>
      </c>
      <c r="ED27" s="39" t="s">
        <v>394</v>
      </c>
      <c r="EE27" s="39" t="s">
        <v>476</v>
      </c>
      <c r="EF27" s="39">
        <v>0</v>
      </c>
      <c r="EG27" s="39" t="s">
        <v>394</v>
      </c>
      <c r="EH27" s="39" t="s">
        <v>394</v>
      </c>
      <c r="EI27" s="39" t="s">
        <v>394</v>
      </c>
      <c r="EJ27" s="89" t="s">
        <v>439</v>
      </c>
      <c r="EK27" s="39" t="s">
        <v>394</v>
      </c>
      <c r="EL27" s="39" t="s">
        <v>394</v>
      </c>
      <c r="EM27" s="39" t="s">
        <v>394</v>
      </c>
      <c r="EN27" s="91" t="s">
        <v>483</v>
      </c>
      <c r="EO27" s="39" t="s">
        <v>394</v>
      </c>
      <c r="EP27" s="39" t="s">
        <v>476</v>
      </c>
      <c r="EQ27" s="39">
        <v>0</v>
      </c>
      <c r="ER27" s="39" t="s">
        <v>394</v>
      </c>
      <c r="ES27" s="39" t="s">
        <v>394</v>
      </c>
      <c r="ET27" s="39" t="s">
        <v>394</v>
      </c>
      <c r="EU27" s="89" t="s">
        <v>441</v>
      </c>
      <c r="EV27" s="39" t="s">
        <v>394</v>
      </c>
      <c r="EW27" s="39" t="s">
        <v>394</v>
      </c>
      <c r="EX27" s="39" t="s">
        <v>394</v>
      </c>
      <c r="EY27" s="91" t="s">
        <v>485</v>
      </c>
      <c r="EZ27" s="39" t="s">
        <v>394</v>
      </c>
      <c r="FA27" s="39">
        <v>0</v>
      </c>
      <c r="FB27" s="39">
        <v>0</v>
      </c>
      <c r="FC27" s="39" t="s">
        <v>394</v>
      </c>
      <c r="FD27" s="39" t="s">
        <v>394</v>
      </c>
      <c r="FE27" s="39" t="s">
        <v>394</v>
      </c>
      <c r="FF27" s="89"/>
      <c r="FJ27" s="91"/>
    </row>
    <row r="28" spans="1:172" s="39" customFormat="1" ht="99.95" customHeight="1" x14ac:dyDescent="0.25">
      <c r="A28" s="146" t="s">
        <v>235</v>
      </c>
      <c r="B28" s="39" t="s">
        <v>361</v>
      </c>
      <c r="C28" s="39" t="s">
        <v>237</v>
      </c>
      <c r="D28" s="39" t="s">
        <v>237</v>
      </c>
      <c r="E28" s="150" t="s">
        <v>383</v>
      </c>
      <c r="G28" s="88" t="s">
        <v>540</v>
      </c>
      <c r="H28" s="88" t="s">
        <v>539</v>
      </c>
      <c r="I28" s="89" t="s">
        <v>381</v>
      </c>
      <c r="J28" s="39" t="str">
        <f>[1]MiscBanners!$G$4</f>
        <v>Cross-Category_Black_Friday_Week_01.jpg</v>
      </c>
      <c r="K28" s="92" t="s">
        <v>392</v>
      </c>
      <c r="L28" s="92" t="s">
        <v>393</v>
      </c>
      <c r="M28" s="39" t="s">
        <v>394</v>
      </c>
      <c r="N28" s="39" t="s">
        <v>394</v>
      </c>
      <c r="O28" s="39" t="str">
        <f>[1]MiscBanners!$B$4</f>
        <v>https://www.samsung.com/us/shop/all-deals/</v>
      </c>
      <c r="P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8" s="39" t="s">
        <v>394</v>
      </c>
      <c r="R28" s="39" t="s">
        <v>394</v>
      </c>
      <c r="S28" s="89" t="s">
        <v>407</v>
      </c>
      <c r="T28" s="39" t="str">
        <f>'Dynamic Banners'!$L$4</f>
        <v>Cyber-monday-1.png</v>
      </c>
      <c r="U28" s="39" t="str">
        <f>'Dynamic Banners'!$M$4</f>
        <v xml:space="preserve">The clock is ticking away for Cyber Monday </v>
      </c>
      <c r="V28" s="39" t="s">
        <v>394</v>
      </c>
      <c r="W28" s="39" t="str">
        <f>'Dynamic Banners'!$N$4</f>
        <v xml:space="preserve">Shop amazing offers on showstopping products while supplies last. </v>
      </c>
      <c r="X28" s="39" t="s">
        <v>394</v>
      </c>
      <c r="Y28" s="39" t="str">
        <f>[1]MiscBanners!$B$4</f>
        <v>https://www.samsung.com/us/shop/all-deals/</v>
      </c>
      <c r="Z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8" s="39" t="s">
        <v>394</v>
      </c>
      <c r="AB28" s="39" t="s">
        <v>394</v>
      </c>
      <c r="AC28" s="39" t="s">
        <v>394</v>
      </c>
      <c r="AD28" s="89" t="s">
        <v>408</v>
      </c>
      <c r="AE28" s="39" t="s">
        <v>394</v>
      </c>
      <c r="AF28" s="39" t="s">
        <v>394</v>
      </c>
      <c r="AG28" s="7" t="s">
        <v>559</v>
      </c>
      <c r="AH28" s="39" t="s">
        <v>561</v>
      </c>
      <c r="AI28" s="39" t="s">
        <v>394</v>
      </c>
      <c r="AJ28" s="39" t="str">
        <f>[1]MiscBanners!$B$4</f>
        <v>https://www.samsung.com/us/shop/all-deals/</v>
      </c>
      <c r="AK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8" s="39" t="s">
        <v>394</v>
      </c>
      <c r="AM28" s="39" t="s">
        <v>394</v>
      </c>
      <c r="AN28" s="39" t="s">
        <v>394</v>
      </c>
      <c r="AO28" s="89" t="s">
        <v>368</v>
      </c>
      <c r="AP28" s="39" t="str">
        <f>CCModuleCopy!$B$13</f>
        <v>CE_HeadImage_Computing_500xV.jpg</v>
      </c>
      <c r="AQ28" s="39" t="str">
        <f>CCModuleCopy!$C$13</f>
        <v>Get up to 60% off memory cards, SSD, monitors and more</v>
      </c>
      <c r="AR28" s="39" t="str">
        <f>CCModuleCopy!$D$13</f>
        <v>NULL</v>
      </c>
      <c r="AS28" s="39" t="str">
        <f>CCModuleCopy!$E$13</f>
        <v xml:space="preserve">Expand the way you play, store and create and get up to 30% off monitors, up to 60% off memory cards, up to 35% off SSD and more. Work and game smarter, not harder with these must-have computing offers. </v>
      </c>
      <c r="AT28" s="39" t="str">
        <f>CCModuleCopy!$L$13</f>
        <v>Shop all</v>
      </c>
      <c r="AU28" s="39" t="str">
        <f>CCModuleCopy!$M$13</f>
        <v>https://www.samsung.com/us/shop/all-deals/laptop-and-computer-deals/</v>
      </c>
      <c r="AV28"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W28" s="39" t="str">
        <f>CCModuleCopy!$O$13</f>
        <v>NULL</v>
      </c>
      <c r="AX28" s="39" t="str">
        <f>CCModuleCopy!$P$13</f>
        <v>NULL</v>
      </c>
      <c r="AY28" s="39" t="str">
        <f>CCModuleCopy!$Q$13</f>
        <v>NULL</v>
      </c>
      <c r="AZ28" s="89" t="s">
        <v>371</v>
      </c>
      <c r="BA28" s="39" t="str">
        <f>CCModuleCopy!$B$5</f>
        <v>IM_HeadImage_Shop_Phones_500xV.jpg</v>
      </c>
      <c r="BB28" s="39" t="str">
        <f>CCModuleCopy!$C$5</f>
        <v>Save up to $1000 instantly on the latest and greatest Galaxy smartphones</v>
      </c>
      <c r="BC28" s="39" t="str">
        <f>CCModuleCopy!$D$5</f>
        <v>NULL</v>
      </c>
      <c r="BD28"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8" s="39" t="str">
        <f>CCModuleCopy!$L$5</f>
        <v>Shop all</v>
      </c>
      <c r="BF28" s="39" t="str">
        <f>CCModuleCopy!$M$5</f>
        <v>https://www.samsung.com/us/shop/all-deals/cell-phone-deals/</v>
      </c>
      <c r="BG28"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8" s="39" t="str">
        <f>CCModuleCopy!$O$5</f>
        <v>NULL</v>
      </c>
      <c r="BI28" s="39" t="str">
        <f>CCModuleCopy!$P$5</f>
        <v>NULL</v>
      </c>
      <c r="BJ28" s="39" t="str">
        <f>CCModuleCopy!$Q$5</f>
        <v>NULL</v>
      </c>
      <c r="BK28" s="89" t="s">
        <v>265</v>
      </c>
      <c r="BL28" s="39" t="str">
        <f>CCModuleCopy!$B$7</f>
        <v>HE_HeadImage_Shop_TVs_500xV.jpg</v>
      </c>
      <c r="BM28" s="39" t="str">
        <f>CCModuleCopy!$C$7</f>
        <v>Get up to $3000 off select 8K, 4K and Lifestyle TVs</v>
      </c>
      <c r="BN28" s="39" t="str">
        <f>CCModuleCopy!$D$7</f>
        <v>NULL</v>
      </c>
      <c r="BO2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8" s="39" t="str">
        <f>CCModuleCopy!$L$7</f>
        <v>Shop all</v>
      </c>
      <c r="BQ28" s="39" t="str">
        <f>CCModuleCopy!$M$7</f>
        <v>https://www.samsung.com/us/shop/all-deals/tv-and-home-theater-deals/</v>
      </c>
      <c r="BR28"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8" s="39" t="str">
        <f>CCModuleCopy!$O$7</f>
        <v>NULL</v>
      </c>
      <c r="BT28" s="39" t="str">
        <f>CCModuleCopy!$P$7</f>
        <v>NULL</v>
      </c>
      <c r="BU28" s="39" t="str">
        <f>CCModuleCopy!$Q$7</f>
        <v>NULL</v>
      </c>
      <c r="BV28" s="89" t="s">
        <v>266</v>
      </c>
      <c r="BW28" s="39" t="str">
        <f>CCModuleCopy!$B$15</f>
        <v>Tablet-HeadImage-500xV.jpg</v>
      </c>
      <c r="BX28" s="39" t="str">
        <f>CCModuleCopy!$C$15</f>
        <v>Save up to $150 on select tablets</v>
      </c>
      <c r="BY28" s="39" t="str">
        <f>CCModuleCopy!$D$15</f>
        <v>NULL</v>
      </c>
      <c r="BZ28" s="39" t="str">
        <f>CCModuleCopy!$E$15</f>
        <v xml:space="preserve">Empower how you create, learn, game and more with our powerful line of tablets. Shop offers on must-have products from the new Galaxy Tab S7+ to the Galaxy Tab S6 Lite. </v>
      </c>
      <c r="CA28" s="39" t="str">
        <f>CCModuleCopy!$L$15</f>
        <v>Shop all</v>
      </c>
      <c r="CB28" s="39" t="str">
        <f>CCModuleCopy!$M$15</f>
        <v>https://www.samsung.com/us/shop/all-deals/tablets-laptops-computers-deals/</v>
      </c>
      <c r="CC28"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8" s="39" t="str">
        <f>CCModuleCopy!$O$15</f>
        <v>NULL</v>
      </c>
      <c r="CE28" s="39" t="str">
        <f>CCModuleCopy!$P$15</f>
        <v>NULL</v>
      </c>
      <c r="CF28" s="39" t="str">
        <f>CCModuleCopy!$Q$15</f>
        <v>NULL</v>
      </c>
      <c r="CG28" s="89" t="s">
        <v>367</v>
      </c>
      <c r="CH28" s="39" t="str">
        <f>CCModuleCopy!$B$11</f>
        <v>ME_HeadImage_Wearables_500xV.jpg</v>
      </c>
      <c r="CI28" s="39" t="str">
        <f>CCModuleCopy!$C$11</f>
        <v>Get up to $100 off select watches and earbuds</v>
      </c>
      <c r="CJ28" s="39" t="str">
        <f>CCModuleCopy!$D$11</f>
        <v>NULL</v>
      </c>
      <c r="CK2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8" s="39" t="str">
        <f>CCModuleCopy!$L$11</f>
        <v>Shop all</v>
      </c>
      <c r="CM28" s="39" t="str">
        <f>CCModuleCopy!$M$11</f>
        <v>https://www.samsung.com/us/shop/all-deals/tablets-wearables-cell-phone-accessories-deals/</v>
      </c>
      <c r="CN28"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28" s="39" t="str">
        <f>CCModuleCopy!$O$11</f>
        <v>NULL</v>
      </c>
      <c r="CP28" s="39" t="str">
        <f>CCModuleCopy!$P$11</f>
        <v>NULL</v>
      </c>
      <c r="CQ28" s="39" t="str">
        <f>CCModuleCopy!$Q$11</f>
        <v>NULL</v>
      </c>
      <c r="CR28" s="89" t="s">
        <v>279</v>
      </c>
      <c r="CS28" s="39" t="str">
        <f>CCModuleCopy!$B$9</f>
        <v>HA_HeadImage_Shop_HA_500xV.jpg</v>
      </c>
      <c r="CT28" s="39" t="str">
        <f>CCModuleCopy!$C$9</f>
        <v>Save up to 50% on everything you need to upgrade your home and home care</v>
      </c>
      <c r="CU28" s="39" t="str">
        <f>CCModuleCopy!$D$9</f>
        <v>NULL</v>
      </c>
      <c r="CV2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8" s="39" t="str">
        <f>CCModuleCopy!$L$9</f>
        <v>Shop all</v>
      </c>
      <c r="CX28" s="39" t="str">
        <f>CCModuleCopy!$M$9</f>
        <v>https://www.samsung.com/us/shop/all-deals/home-appliance-and-smart-home-sales/</v>
      </c>
      <c r="CY28"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8" s="39" t="str">
        <f>CCModuleCopy!$O$9</f>
        <v>NULL</v>
      </c>
      <c r="DA28" s="39" t="str">
        <f>CCModuleCopy!$P$9</f>
        <v>NULL</v>
      </c>
      <c r="DB28" s="39" t="str">
        <f>CCModuleCopy!$Q$9</f>
        <v>NULL</v>
      </c>
      <c r="DC28" s="89" t="s">
        <v>280</v>
      </c>
      <c r="DD28" s="39" t="str">
        <f>MiscBanners!$H$4</f>
        <v>Give-wonder-500xV.jpg</v>
      </c>
      <c r="DE28" s="39" t="str">
        <f>MiscBanners!$I$4</f>
        <v>The gift that keeps on giving</v>
      </c>
      <c r="DF28" s="39" t="str">
        <f>MiscBanners!$J$4</f>
        <v>NULL</v>
      </c>
      <c r="DG28" s="91" t="str">
        <f>MiscBanners!$K$4</f>
        <v>Discover even more exclusive offers on your favorite products and unlock the power of smart and savvy gifting.</v>
      </c>
      <c r="DH28" s="39" t="str">
        <f>MiscBanners!$L$4</f>
        <v>Shop now</v>
      </c>
      <c r="DI28" s="39" t="str">
        <f>MiscBanners!$M$4</f>
        <v>https://www.samsung.com/us/gift-ideas/</v>
      </c>
      <c r="DJ28"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8" s="39" t="str">
        <f>MiscBanners!$O$4</f>
        <v>NULL</v>
      </c>
      <c r="DL28" s="39" t="str">
        <f>MiscBanners!$P$4</f>
        <v>NULL</v>
      </c>
      <c r="DM28" s="39" t="str">
        <f>MiscBanners!$Q$4</f>
        <v>NULL</v>
      </c>
      <c r="DN28" s="89" t="s">
        <v>273</v>
      </c>
      <c r="DR28" s="91"/>
      <c r="DY28" s="89" t="s">
        <v>481</v>
      </c>
      <c r="DZ28" s="39" t="s">
        <v>394</v>
      </c>
      <c r="EA28" s="39" t="s">
        <v>394</v>
      </c>
      <c r="EB28" s="39" t="s">
        <v>394</v>
      </c>
      <c r="EC28" s="91" t="s">
        <v>482</v>
      </c>
      <c r="ED28" s="39" t="s">
        <v>394</v>
      </c>
      <c r="EE28" s="39" t="s">
        <v>476</v>
      </c>
      <c r="EF28" s="39">
        <v>0</v>
      </c>
      <c r="EG28" s="39" t="s">
        <v>394</v>
      </c>
      <c r="EH28" s="39" t="s">
        <v>394</v>
      </c>
      <c r="EI28" s="39" t="s">
        <v>394</v>
      </c>
      <c r="EJ28" s="89" t="s">
        <v>439</v>
      </c>
      <c r="EK28" s="39" t="s">
        <v>394</v>
      </c>
      <c r="EL28" s="39" t="s">
        <v>394</v>
      </c>
      <c r="EM28" s="39" t="s">
        <v>394</v>
      </c>
      <c r="EN28" s="91" t="s">
        <v>483</v>
      </c>
      <c r="EO28" s="39" t="s">
        <v>394</v>
      </c>
      <c r="EP28" s="39" t="s">
        <v>476</v>
      </c>
      <c r="EQ28" s="39">
        <v>0</v>
      </c>
      <c r="ER28" s="39" t="s">
        <v>394</v>
      </c>
      <c r="ES28" s="39" t="s">
        <v>394</v>
      </c>
      <c r="ET28" s="39" t="s">
        <v>394</v>
      </c>
      <c r="EU28" s="89" t="s">
        <v>441</v>
      </c>
      <c r="EV28" s="39" t="s">
        <v>394</v>
      </c>
      <c r="EW28" s="39" t="s">
        <v>394</v>
      </c>
      <c r="EX28" s="39" t="s">
        <v>394</v>
      </c>
      <c r="EY28" s="91" t="s">
        <v>485</v>
      </c>
      <c r="EZ28" s="39" t="s">
        <v>394</v>
      </c>
      <c r="FA28" s="39">
        <v>0</v>
      </c>
      <c r="FB28" s="39">
        <v>0</v>
      </c>
      <c r="FC28" s="39" t="s">
        <v>394</v>
      </c>
      <c r="FD28" s="39" t="s">
        <v>394</v>
      </c>
      <c r="FE28" s="39" t="s">
        <v>394</v>
      </c>
      <c r="FF28" s="89"/>
      <c r="FJ28" s="91"/>
    </row>
    <row r="29" spans="1:172" s="39" customFormat="1" ht="99.95" customHeight="1" x14ac:dyDescent="0.25">
      <c r="A29" s="146" t="s">
        <v>235</v>
      </c>
      <c r="B29" s="39" t="s">
        <v>369</v>
      </c>
      <c r="C29" s="39" t="s">
        <v>237</v>
      </c>
      <c r="D29" s="39" t="s">
        <v>237</v>
      </c>
      <c r="E29" s="150" t="s">
        <v>383</v>
      </c>
      <c r="G29" s="88" t="s">
        <v>540</v>
      </c>
      <c r="H29" s="88" t="s">
        <v>539</v>
      </c>
      <c r="I29" s="89" t="s">
        <v>381</v>
      </c>
      <c r="J29" s="39" t="str">
        <f>[1]MiscBanners!$G$4</f>
        <v>Cross-Category_Black_Friday_Week_01.jpg</v>
      </c>
      <c r="K29" s="92" t="s">
        <v>392</v>
      </c>
      <c r="L29" s="92" t="s">
        <v>393</v>
      </c>
      <c r="M29" s="39" t="s">
        <v>394</v>
      </c>
      <c r="N29" s="39" t="s">
        <v>394</v>
      </c>
      <c r="O29" s="39" t="str">
        <f>[1]MiscBanners!$B$4</f>
        <v>https://www.samsung.com/us/shop/all-deals/</v>
      </c>
      <c r="P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9" s="39" t="s">
        <v>394</v>
      </c>
      <c r="R29" s="39" t="s">
        <v>394</v>
      </c>
      <c r="S29" s="89" t="s">
        <v>407</v>
      </c>
      <c r="T29" s="39" t="str">
        <f>'Dynamic Banners'!$L$4</f>
        <v>Cyber-monday-1.png</v>
      </c>
      <c r="U29" s="39" t="str">
        <f>'Dynamic Banners'!$M$4</f>
        <v xml:space="preserve">The clock is ticking away for Cyber Monday </v>
      </c>
      <c r="V29" s="39" t="s">
        <v>394</v>
      </c>
      <c r="W29" s="39" t="str">
        <f>'Dynamic Banners'!$N$4</f>
        <v xml:space="preserve">Shop amazing offers on showstopping products while supplies last. </v>
      </c>
      <c r="X29" s="39" t="s">
        <v>394</v>
      </c>
      <c r="Y29" s="39" t="str">
        <f>[1]MiscBanners!$B$4</f>
        <v>https://www.samsung.com/us/shop/all-deals/</v>
      </c>
      <c r="Z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9" s="39" t="s">
        <v>394</v>
      </c>
      <c r="AB29" s="39" t="s">
        <v>394</v>
      </c>
      <c r="AC29" s="39" t="s">
        <v>394</v>
      </c>
      <c r="AD29" s="89" t="s">
        <v>408</v>
      </c>
      <c r="AE29" s="39" t="s">
        <v>394</v>
      </c>
      <c r="AF29" s="39" t="s">
        <v>394</v>
      </c>
      <c r="AG29" s="7" t="s">
        <v>559</v>
      </c>
      <c r="AH29" s="39" t="s">
        <v>561</v>
      </c>
      <c r="AI29" s="39" t="s">
        <v>394</v>
      </c>
      <c r="AJ29" s="39" t="str">
        <f>[1]MiscBanners!$B$4</f>
        <v>https://www.samsung.com/us/shop/all-deals/</v>
      </c>
      <c r="AK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9" s="39" t="s">
        <v>394</v>
      </c>
      <c r="AM29" s="39" t="s">
        <v>394</v>
      </c>
      <c r="AN29" s="39" t="s">
        <v>394</v>
      </c>
      <c r="AO29" s="89" t="s">
        <v>279</v>
      </c>
      <c r="AP29" s="39" t="str">
        <f>CCModuleCopy!$B$9</f>
        <v>HA_HeadImage_Shop_HA_500xV.jpg</v>
      </c>
      <c r="AQ29" s="39" t="str">
        <f>CCModuleCopy!$C$9</f>
        <v>Save up to 50% on everything you need to upgrade your home and home care</v>
      </c>
      <c r="AR29" s="39" t="str">
        <f>CCModuleCopy!$D$9</f>
        <v>NULL</v>
      </c>
      <c r="AS2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29" s="39" t="str">
        <f>CCModuleCopy!$L$9</f>
        <v>Shop all</v>
      </c>
      <c r="AU29" s="39" t="str">
        <f>CCModuleCopy!$M$9</f>
        <v>https://www.samsung.com/us/shop/all-deals/home-appliance-and-smart-home-sales/</v>
      </c>
      <c r="AV29"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AW29" s="39" t="str">
        <f>CCModuleCopy!$O$9</f>
        <v>NULL</v>
      </c>
      <c r="AX29" s="39" t="str">
        <f>CCModuleCopy!$P$9</f>
        <v>NULL</v>
      </c>
      <c r="AY29" s="39" t="str">
        <f>CCModuleCopy!$Q$9</f>
        <v>NULL</v>
      </c>
      <c r="AZ29" s="89" t="s">
        <v>371</v>
      </c>
      <c r="BA29" s="39" t="str">
        <f>CCModuleCopy!$B$5</f>
        <v>IM_HeadImage_Shop_Phones_500xV.jpg</v>
      </c>
      <c r="BB29" s="39" t="str">
        <f>CCModuleCopy!$C$5</f>
        <v>Save up to $1000 instantly on the latest and greatest Galaxy smartphones</v>
      </c>
      <c r="BC29" s="39" t="str">
        <f>CCModuleCopy!$D$5</f>
        <v>NULL</v>
      </c>
      <c r="BD29"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9" s="39" t="str">
        <f>CCModuleCopy!$L$5</f>
        <v>Shop all</v>
      </c>
      <c r="BF29" s="39" t="str">
        <f>CCModuleCopy!$M$5</f>
        <v>https://www.samsung.com/us/shop/all-deals/cell-phone-deals/</v>
      </c>
      <c r="BG29"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9" s="39" t="str">
        <f>CCModuleCopy!$O$5</f>
        <v>NULL</v>
      </c>
      <c r="BI29" s="39" t="str">
        <f>CCModuleCopy!$P$5</f>
        <v>NULL</v>
      </c>
      <c r="BJ29" s="39" t="str">
        <f>CCModuleCopy!$Q$5</f>
        <v>NULL</v>
      </c>
      <c r="BK29" s="89" t="s">
        <v>265</v>
      </c>
      <c r="BL29" s="39" t="str">
        <f>CCModuleCopy!$B$7</f>
        <v>HE_HeadImage_Shop_TVs_500xV.jpg</v>
      </c>
      <c r="BM29" s="39" t="str">
        <f>CCModuleCopy!$C$7</f>
        <v>Get up to $3000 off select 8K, 4K and Lifestyle TVs</v>
      </c>
      <c r="BN29" s="39" t="str">
        <f>CCModuleCopy!$D$7</f>
        <v>NULL</v>
      </c>
      <c r="BO2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9" s="39" t="str">
        <f>CCModuleCopy!$L$7</f>
        <v>Shop all</v>
      </c>
      <c r="BQ29" s="39" t="str">
        <f>CCModuleCopy!$M$7</f>
        <v>https://www.samsung.com/us/shop/all-deals/tv-and-home-theater-deals/</v>
      </c>
      <c r="BR29"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9" s="39" t="str">
        <f>CCModuleCopy!$O$7</f>
        <v>NULL</v>
      </c>
      <c r="BT29" s="39" t="str">
        <f>CCModuleCopy!$P$7</f>
        <v>NULL</v>
      </c>
      <c r="BU29" s="39" t="str">
        <f>CCModuleCopy!$Q$7</f>
        <v>NULL</v>
      </c>
      <c r="BV29" s="89" t="s">
        <v>266</v>
      </c>
      <c r="BW29" s="39" t="str">
        <f>CCModuleCopy!$B$15</f>
        <v>Tablet-HeadImage-500xV.jpg</v>
      </c>
      <c r="BX29" s="39" t="str">
        <f>CCModuleCopy!$C$15</f>
        <v>Save up to $150 on select tablets</v>
      </c>
      <c r="BY29" s="39" t="str">
        <f>CCModuleCopy!$D$15</f>
        <v>NULL</v>
      </c>
      <c r="BZ29" s="39" t="str">
        <f>CCModuleCopy!$E$15</f>
        <v xml:space="preserve">Empower how you create, learn, game and more with our powerful line of tablets. Shop offers on must-have products from the new Galaxy Tab S7+ to the Galaxy Tab S6 Lite. </v>
      </c>
      <c r="CA29" s="39" t="str">
        <f>CCModuleCopy!$L$15</f>
        <v>Shop all</v>
      </c>
      <c r="CB29" s="39" t="str">
        <f>CCModuleCopy!$M$15</f>
        <v>https://www.samsung.com/us/shop/all-deals/tablets-laptops-computers-deals/</v>
      </c>
      <c r="CC29"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9" s="39" t="str">
        <f>CCModuleCopy!$O$15</f>
        <v>NULL</v>
      </c>
      <c r="CE29" s="39" t="str">
        <f>CCModuleCopy!$P$15</f>
        <v>NULL</v>
      </c>
      <c r="CF29" s="39" t="str">
        <f>CCModuleCopy!$Q$15</f>
        <v>NULL</v>
      </c>
      <c r="CG29" s="89" t="s">
        <v>367</v>
      </c>
      <c r="CH29" s="39" t="str">
        <f>CCModuleCopy!$B$11</f>
        <v>ME_HeadImage_Wearables_500xV.jpg</v>
      </c>
      <c r="CI29" s="39" t="str">
        <f>CCModuleCopy!$C$11</f>
        <v>Get up to $100 off select watches and earbuds</v>
      </c>
      <c r="CJ29" s="39" t="str">
        <f>CCModuleCopy!$D$11</f>
        <v>NULL</v>
      </c>
      <c r="CK2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9" s="39" t="str">
        <f>CCModuleCopy!$L$11</f>
        <v>Shop all</v>
      </c>
      <c r="CM29" s="39" t="str">
        <f>CCModuleCopy!$M$11</f>
        <v>https://www.samsung.com/us/shop/all-deals/tablets-wearables-cell-phone-accessories-deals/</v>
      </c>
      <c r="CN29"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29" s="39" t="str">
        <f>CCModuleCopy!$O$11</f>
        <v>NULL</v>
      </c>
      <c r="CP29" s="39" t="str">
        <f>CCModuleCopy!$P$11</f>
        <v>NULL</v>
      </c>
      <c r="CQ29" s="39" t="str">
        <f>CCModuleCopy!$Q$11</f>
        <v>NULL</v>
      </c>
      <c r="CR29" s="89" t="s">
        <v>368</v>
      </c>
      <c r="CS29" s="39" t="str">
        <f>CCModuleCopy!$B$13</f>
        <v>CE_HeadImage_Computing_500xV.jpg</v>
      </c>
      <c r="CT29" s="39" t="str">
        <f>CCModuleCopy!$C$13</f>
        <v>Get up to 60% off memory cards, SSD, monitors and more</v>
      </c>
      <c r="CU29" s="39" t="str">
        <f>CCModuleCopy!$D$13</f>
        <v>NULL</v>
      </c>
      <c r="CV29" s="39" t="str">
        <f>CCModuleCopy!$E$13</f>
        <v xml:space="preserve">Expand the way you play, store and create and get up to 30% off monitors, up to 60% off memory cards, up to 35% off SSD and more. Work and game smarter, not harder with these must-have computing offers. </v>
      </c>
      <c r="CW29" s="39" t="str">
        <f>CCModuleCopy!$L$13</f>
        <v>Shop all</v>
      </c>
      <c r="CX29" s="39" t="str">
        <f>CCModuleCopy!$M$13</f>
        <v>https://www.samsung.com/us/shop/all-deals/laptop-and-computer-deals/</v>
      </c>
      <c r="CY29"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Z29" s="39" t="str">
        <f>CCModuleCopy!$O$13</f>
        <v>NULL</v>
      </c>
      <c r="DA29" s="39" t="str">
        <f>CCModuleCopy!$P$13</f>
        <v>NULL</v>
      </c>
      <c r="DB29" s="39" t="str">
        <f>CCModuleCopy!$Q$13</f>
        <v>NULL</v>
      </c>
      <c r="DC29" s="89" t="s">
        <v>280</v>
      </c>
      <c r="DD29" s="39" t="str">
        <f>MiscBanners!$H$4</f>
        <v>Give-wonder-500xV.jpg</v>
      </c>
      <c r="DE29" s="39" t="str">
        <f>MiscBanners!$I$4</f>
        <v>The gift that keeps on giving</v>
      </c>
      <c r="DF29" s="39" t="str">
        <f>MiscBanners!$J$4</f>
        <v>NULL</v>
      </c>
      <c r="DG29" s="91" t="str">
        <f>MiscBanners!$K$4</f>
        <v>Discover even more exclusive offers on your favorite products and unlock the power of smart and savvy gifting.</v>
      </c>
      <c r="DH29" s="39" t="str">
        <f>MiscBanners!$L$4</f>
        <v>Shop now</v>
      </c>
      <c r="DI29" s="39" t="str">
        <f>MiscBanners!$M$4</f>
        <v>https://www.samsung.com/us/gift-ideas/</v>
      </c>
      <c r="DJ29"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9" s="39" t="str">
        <f>MiscBanners!$O$4</f>
        <v>NULL</v>
      </c>
      <c r="DL29" s="39" t="str">
        <f>MiscBanners!$P$4</f>
        <v>NULL</v>
      </c>
      <c r="DM29" s="39" t="str">
        <f>MiscBanners!$Q$4</f>
        <v>NULL</v>
      </c>
      <c r="DN29" s="89" t="s">
        <v>273</v>
      </c>
      <c r="DR29" s="91"/>
      <c r="DY29" s="89" t="s">
        <v>481</v>
      </c>
      <c r="DZ29" s="39" t="s">
        <v>394</v>
      </c>
      <c r="EA29" s="39" t="s">
        <v>394</v>
      </c>
      <c r="EB29" s="39" t="s">
        <v>394</v>
      </c>
      <c r="EC29" s="91" t="s">
        <v>482</v>
      </c>
      <c r="ED29" s="39" t="s">
        <v>394</v>
      </c>
      <c r="EE29" s="39" t="s">
        <v>476</v>
      </c>
      <c r="EF29" s="39">
        <v>0</v>
      </c>
      <c r="EG29" s="39" t="s">
        <v>394</v>
      </c>
      <c r="EH29" s="39" t="s">
        <v>394</v>
      </c>
      <c r="EI29" s="39" t="s">
        <v>394</v>
      </c>
      <c r="EJ29" s="89" t="s">
        <v>439</v>
      </c>
      <c r="EK29" s="39" t="s">
        <v>394</v>
      </c>
      <c r="EL29" s="39" t="s">
        <v>394</v>
      </c>
      <c r="EM29" s="39" t="s">
        <v>394</v>
      </c>
      <c r="EN29" s="91" t="s">
        <v>483</v>
      </c>
      <c r="EO29" s="39" t="s">
        <v>394</v>
      </c>
      <c r="EP29" s="39" t="s">
        <v>476</v>
      </c>
      <c r="EQ29" s="39">
        <v>0</v>
      </c>
      <c r="ER29" s="39" t="s">
        <v>394</v>
      </c>
      <c r="ES29" s="39" t="s">
        <v>394</v>
      </c>
      <c r="ET29" s="39" t="s">
        <v>394</v>
      </c>
      <c r="EU29" s="89" t="s">
        <v>441</v>
      </c>
      <c r="EV29" s="39" t="s">
        <v>394</v>
      </c>
      <c r="EW29" s="39" t="s">
        <v>394</v>
      </c>
      <c r="EX29" s="39" t="s">
        <v>394</v>
      </c>
      <c r="EY29" s="91" t="s">
        <v>485</v>
      </c>
      <c r="EZ29" s="39" t="s">
        <v>394</v>
      </c>
      <c r="FA29" s="39">
        <v>0</v>
      </c>
      <c r="FB29" s="39">
        <v>0</v>
      </c>
      <c r="FC29" s="39" t="s">
        <v>394</v>
      </c>
      <c r="FD29" s="39" t="s">
        <v>394</v>
      </c>
      <c r="FE29" s="39" t="s">
        <v>394</v>
      </c>
      <c r="FF29" s="89"/>
      <c r="FJ29" s="91"/>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U140"/>
  <sheetViews>
    <sheetView zoomScale="85" zoomScaleNormal="85" workbookViewId="0">
      <pane ySplit="3" topLeftCell="A4" activePane="bottomLeft" state="frozen"/>
      <selection pane="bottomLeft" activeCell="G14" sqref="G14"/>
    </sheetView>
  </sheetViews>
  <sheetFormatPr defaultRowHeight="15" x14ac:dyDescent="0.25"/>
  <cols>
    <col min="1" max="1" width="6.5703125" customWidth="1"/>
    <col min="2" max="2" width="7.85546875" bestFit="1" customWidth="1"/>
    <col min="3" max="4" width="13.7109375" customWidth="1"/>
    <col min="5" max="5" width="43.85546875" customWidth="1"/>
    <col min="6" max="6" width="37.85546875" customWidth="1"/>
    <col min="7" max="7" width="35.140625" customWidth="1"/>
    <col min="8" max="8" width="38.5703125" customWidth="1"/>
    <col min="9" max="9" width="8.42578125" customWidth="1"/>
    <col min="10" max="10" width="42.85546875" style="7" customWidth="1"/>
    <col min="11" max="11" width="98.85546875" style="27" customWidth="1"/>
    <col min="12" max="12" width="18" customWidth="1"/>
  </cols>
  <sheetData>
    <row r="1" spans="1:21" x14ac:dyDescent="0.25">
      <c r="A1" s="78" t="s">
        <v>533</v>
      </c>
      <c r="B1" s="36"/>
      <c r="C1" s="36"/>
      <c r="D1" s="36" t="s">
        <v>79</v>
      </c>
      <c r="E1" s="36"/>
      <c r="F1" s="121"/>
      <c r="G1" s="122" t="s">
        <v>81</v>
      </c>
      <c r="H1" s="36"/>
      <c r="I1" s="36"/>
      <c r="J1" s="39"/>
      <c r="K1" s="91"/>
      <c r="L1" s="36"/>
      <c r="M1" s="36"/>
      <c r="N1" s="36"/>
      <c r="O1" s="36"/>
      <c r="P1" s="36"/>
      <c r="Q1" s="36"/>
      <c r="R1" s="36"/>
      <c r="S1" s="36"/>
      <c r="T1" s="36"/>
    </row>
    <row r="2" spans="1:21" x14ac:dyDescent="0.25">
      <c r="A2" s="36"/>
      <c r="B2" s="36"/>
      <c r="C2" s="36"/>
      <c r="D2" s="36"/>
      <c r="E2" s="36"/>
      <c r="F2" s="36"/>
      <c r="G2" s="36"/>
      <c r="H2" s="36"/>
      <c r="I2" s="159" t="s">
        <v>497</v>
      </c>
      <c r="J2" s="159"/>
      <c r="K2" s="159"/>
      <c r="L2" s="159"/>
      <c r="M2" s="159"/>
      <c r="N2" s="159"/>
      <c r="O2" s="160" t="s">
        <v>498</v>
      </c>
      <c r="P2" s="160"/>
      <c r="Q2" s="160"/>
      <c r="R2" s="160"/>
      <c r="S2" s="160"/>
      <c r="T2" s="160"/>
    </row>
    <row r="3" spans="1:21" s="11" customFormat="1" ht="30" x14ac:dyDescent="0.25">
      <c r="A3" s="123" t="s">
        <v>67</v>
      </c>
      <c r="B3" s="123" t="s">
        <v>33</v>
      </c>
      <c r="C3" s="123" t="s">
        <v>68</v>
      </c>
      <c r="D3" s="123" t="s">
        <v>35</v>
      </c>
      <c r="E3" s="123" t="s">
        <v>84</v>
      </c>
      <c r="F3" s="123" t="s">
        <v>69</v>
      </c>
      <c r="G3" s="123" t="s">
        <v>70</v>
      </c>
      <c r="H3" s="123" t="s">
        <v>71</v>
      </c>
      <c r="I3" s="123" t="s">
        <v>72</v>
      </c>
      <c r="J3" s="123" t="s">
        <v>73</v>
      </c>
      <c r="K3" s="124" t="s">
        <v>74</v>
      </c>
      <c r="L3" s="123" t="s">
        <v>421</v>
      </c>
      <c r="M3" s="124" t="s">
        <v>422</v>
      </c>
      <c r="N3" s="123" t="s">
        <v>423</v>
      </c>
      <c r="O3" s="123" t="s">
        <v>72</v>
      </c>
      <c r="P3" s="124" t="s">
        <v>73</v>
      </c>
      <c r="Q3" s="124" t="s">
        <v>74</v>
      </c>
      <c r="R3" s="123" t="s">
        <v>421</v>
      </c>
      <c r="S3" s="124" t="s">
        <v>422</v>
      </c>
      <c r="T3" s="123" t="s">
        <v>423</v>
      </c>
      <c r="U3" s="120"/>
    </row>
    <row r="4" spans="1:21" s="7" customFormat="1" ht="120" x14ac:dyDescent="0.25">
      <c r="A4" s="39"/>
      <c r="B4" s="39" t="s">
        <v>113</v>
      </c>
      <c r="C4" s="39" t="s">
        <v>59</v>
      </c>
      <c r="D4" s="38" t="s">
        <v>202</v>
      </c>
      <c r="E4" s="125" t="s">
        <v>486</v>
      </c>
      <c r="F4" s="126" t="s">
        <v>531</v>
      </c>
      <c r="G4" s="126" t="s">
        <v>534</v>
      </c>
      <c r="H4" s="126" t="s">
        <v>535</v>
      </c>
      <c r="I4" s="127" t="s">
        <v>76</v>
      </c>
      <c r="J4" s="128" t="s">
        <v>492</v>
      </c>
      <c r="K4" s="129" t="s">
        <v>493</v>
      </c>
      <c r="L4" s="128" t="s">
        <v>394</v>
      </c>
      <c r="M4" s="128" t="s">
        <v>394</v>
      </c>
      <c r="N4" s="128" t="s">
        <v>394</v>
      </c>
      <c r="O4" s="130" t="s">
        <v>76</v>
      </c>
      <c r="P4" s="131" t="s">
        <v>492</v>
      </c>
      <c r="Q4" s="132" t="s">
        <v>499</v>
      </c>
      <c r="R4" s="133" t="s">
        <v>394</v>
      </c>
      <c r="S4" s="133" t="s">
        <v>394</v>
      </c>
      <c r="T4" s="133" t="s">
        <v>394</v>
      </c>
    </row>
    <row r="5" spans="1:21" s="7" customFormat="1" ht="32.25" x14ac:dyDescent="0.25">
      <c r="A5" s="39"/>
      <c r="B5" s="39" t="s">
        <v>113</v>
      </c>
      <c r="C5" s="39" t="s">
        <v>59</v>
      </c>
      <c r="D5" s="38" t="s">
        <v>233</v>
      </c>
      <c r="E5" s="125" t="s">
        <v>487</v>
      </c>
      <c r="F5" s="126" t="s">
        <v>532</v>
      </c>
      <c r="G5" s="126" t="s">
        <v>536</v>
      </c>
      <c r="H5" s="126" t="s">
        <v>537</v>
      </c>
      <c r="I5" s="127" t="s">
        <v>76</v>
      </c>
      <c r="J5" s="127" t="s">
        <v>490</v>
      </c>
      <c r="K5" s="129" t="s">
        <v>491</v>
      </c>
      <c r="L5" s="128" t="s">
        <v>394</v>
      </c>
      <c r="M5" s="128" t="s">
        <v>394</v>
      </c>
      <c r="N5" s="128" t="s">
        <v>394</v>
      </c>
      <c r="O5" s="130" t="s">
        <v>76</v>
      </c>
      <c r="P5" s="134" t="s">
        <v>490</v>
      </c>
      <c r="Q5" s="132" t="s">
        <v>500</v>
      </c>
      <c r="R5" s="133" t="s">
        <v>394</v>
      </c>
      <c r="S5" s="133" t="s">
        <v>394</v>
      </c>
      <c r="T5" s="133" t="s">
        <v>394</v>
      </c>
    </row>
    <row r="6" spans="1:21" s="7" customFormat="1" ht="90" x14ac:dyDescent="0.25">
      <c r="A6" s="39"/>
      <c r="B6" s="39" t="s">
        <v>113</v>
      </c>
      <c r="C6" s="39" t="s">
        <v>59</v>
      </c>
      <c r="D6" s="38" t="s">
        <v>207</v>
      </c>
      <c r="E6" s="125" t="s">
        <v>488</v>
      </c>
      <c r="F6" s="135" t="s">
        <v>77</v>
      </c>
      <c r="G6" s="135" t="s">
        <v>80</v>
      </c>
      <c r="H6" s="135" t="s">
        <v>538</v>
      </c>
      <c r="I6" s="127" t="s">
        <v>76</v>
      </c>
      <c r="J6" s="128" t="s">
        <v>494</v>
      </c>
      <c r="K6" s="129" t="s">
        <v>495</v>
      </c>
      <c r="L6" s="128" t="s">
        <v>394</v>
      </c>
      <c r="M6" s="128" t="s">
        <v>394</v>
      </c>
      <c r="N6" s="128" t="s">
        <v>394</v>
      </c>
      <c r="O6" s="130" t="s">
        <v>76</v>
      </c>
      <c r="P6" s="131" t="s">
        <v>494</v>
      </c>
      <c r="Q6" s="132" t="s">
        <v>501</v>
      </c>
      <c r="R6" s="133" t="s">
        <v>394</v>
      </c>
      <c r="S6" s="133" t="s">
        <v>394</v>
      </c>
      <c r="T6" s="133" t="s">
        <v>394</v>
      </c>
    </row>
    <row r="7" spans="1:21" s="7" customFormat="1" ht="60" x14ac:dyDescent="0.25">
      <c r="A7" s="39"/>
      <c r="B7" s="39" t="s">
        <v>113</v>
      </c>
      <c r="C7" s="39" t="s">
        <v>59</v>
      </c>
      <c r="D7" s="39" t="s">
        <v>145</v>
      </c>
      <c r="E7" s="125" t="s">
        <v>489</v>
      </c>
      <c r="F7" s="39" t="s">
        <v>145</v>
      </c>
      <c r="G7" s="39" t="s">
        <v>146</v>
      </c>
      <c r="H7" s="39" t="s">
        <v>148</v>
      </c>
      <c r="I7" s="128" t="s">
        <v>76</v>
      </c>
      <c r="J7" s="128" t="s">
        <v>147</v>
      </c>
      <c r="K7" s="129" t="s">
        <v>496</v>
      </c>
      <c r="L7" s="128" t="s">
        <v>394</v>
      </c>
      <c r="M7" s="128" t="s">
        <v>394</v>
      </c>
      <c r="N7" s="128" t="s">
        <v>394</v>
      </c>
      <c r="O7" s="133" t="s">
        <v>76</v>
      </c>
      <c r="P7" s="131" t="s">
        <v>147</v>
      </c>
      <c r="Q7" s="132" t="s">
        <v>502</v>
      </c>
      <c r="R7" s="133" t="s">
        <v>394</v>
      </c>
      <c r="S7" s="133" t="s">
        <v>394</v>
      </c>
      <c r="T7" s="133" t="s">
        <v>394</v>
      </c>
    </row>
    <row r="8" spans="1:21" s="7" customFormat="1" x14ac:dyDescent="0.25">
      <c r="K8" s="27"/>
    </row>
    <row r="9" spans="1:21" s="7" customFormat="1" x14ac:dyDescent="0.25">
      <c r="K9" s="27"/>
    </row>
    <row r="10" spans="1:21" s="7" customFormat="1" x14ac:dyDescent="0.25">
      <c r="K10" s="27"/>
    </row>
    <row r="11" spans="1:21" s="7" customFormat="1" x14ac:dyDescent="0.25">
      <c r="K11" s="27"/>
    </row>
    <row r="12" spans="1:21" s="7" customFormat="1" x14ac:dyDescent="0.25">
      <c r="K12" s="27"/>
    </row>
    <row r="13" spans="1:21" s="7" customFormat="1" x14ac:dyDescent="0.25">
      <c r="K13" s="27"/>
    </row>
    <row r="14" spans="1:21" s="7" customFormat="1" x14ac:dyDescent="0.25">
      <c r="K14" s="27"/>
    </row>
    <row r="15" spans="1:21" s="7" customFormat="1" x14ac:dyDescent="0.25">
      <c r="K15" s="27"/>
    </row>
    <row r="16" spans="1:21" s="7" customFormat="1" x14ac:dyDescent="0.25">
      <c r="K16" s="27"/>
    </row>
    <row r="17" spans="11:11" s="7" customFormat="1" x14ac:dyDescent="0.25">
      <c r="K17" s="27"/>
    </row>
    <row r="18" spans="11:11" s="7" customFormat="1" x14ac:dyDescent="0.25">
      <c r="K18" s="27"/>
    </row>
    <row r="19" spans="11:11" s="7" customFormat="1" x14ac:dyDescent="0.25">
      <c r="K19" s="27"/>
    </row>
    <row r="20" spans="11:11" s="7" customFormat="1" x14ac:dyDescent="0.25">
      <c r="K20" s="27"/>
    </row>
    <row r="21" spans="11:11" s="7" customFormat="1" x14ac:dyDescent="0.25">
      <c r="K21" s="27"/>
    </row>
    <row r="22" spans="11:11" s="7" customFormat="1" x14ac:dyDescent="0.25">
      <c r="K22" s="27"/>
    </row>
    <row r="23" spans="11:11" s="7" customFormat="1" x14ac:dyDescent="0.25">
      <c r="K23" s="27"/>
    </row>
    <row r="24" spans="11:11" s="7" customFormat="1" x14ac:dyDescent="0.25">
      <c r="K24" s="27"/>
    </row>
    <row r="25" spans="11:11" s="7" customFormat="1" x14ac:dyDescent="0.25">
      <c r="K25" s="27"/>
    </row>
    <row r="26" spans="11:11" s="7" customFormat="1" x14ac:dyDescent="0.25">
      <c r="K26" s="27"/>
    </row>
    <row r="27" spans="11:11" s="7" customFormat="1" x14ac:dyDescent="0.25">
      <c r="K27" s="27"/>
    </row>
    <row r="28" spans="11:11" s="7" customFormat="1" x14ac:dyDescent="0.25">
      <c r="K28" s="27"/>
    </row>
    <row r="29" spans="11:11" s="7" customFormat="1" x14ac:dyDescent="0.25">
      <c r="K29" s="27"/>
    </row>
    <row r="30" spans="11:11" s="7" customFormat="1" x14ac:dyDescent="0.25">
      <c r="K30" s="27"/>
    </row>
    <row r="31" spans="11:11" s="7" customFormat="1" x14ac:dyDescent="0.25">
      <c r="K31" s="27"/>
    </row>
    <row r="32" spans="11:11" s="7" customFormat="1" x14ac:dyDescent="0.25">
      <c r="K32" s="27"/>
    </row>
    <row r="33" spans="11:11" s="7" customFormat="1" x14ac:dyDescent="0.25">
      <c r="K33" s="27"/>
    </row>
    <row r="34" spans="11:11" s="7" customFormat="1" x14ac:dyDescent="0.25">
      <c r="K34" s="27"/>
    </row>
    <row r="35" spans="11:11" s="7" customFormat="1" x14ac:dyDescent="0.25">
      <c r="K35" s="27"/>
    </row>
    <row r="36" spans="11:11" s="7" customFormat="1" x14ac:dyDescent="0.25">
      <c r="K36" s="27"/>
    </row>
    <row r="37" spans="11:11" s="7" customFormat="1" x14ac:dyDescent="0.25">
      <c r="K37" s="27"/>
    </row>
    <row r="38" spans="11:11" s="7" customFormat="1" x14ac:dyDescent="0.25">
      <c r="K38" s="27"/>
    </row>
    <row r="39" spans="11:11" s="7" customFormat="1" x14ac:dyDescent="0.25">
      <c r="K39" s="27"/>
    </row>
    <row r="40" spans="11:11" s="7" customFormat="1" x14ac:dyDescent="0.25">
      <c r="K40" s="27"/>
    </row>
    <row r="41" spans="11:11" s="7" customFormat="1" x14ac:dyDescent="0.25">
      <c r="K41" s="27"/>
    </row>
    <row r="42" spans="11:11" s="7" customFormat="1" x14ac:dyDescent="0.25">
      <c r="K42" s="27"/>
    </row>
    <row r="43" spans="11:11" s="7" customFormat="1" x14ac:dyDescent="0.25">
      <c r="K43" s="27"/>
    </row>
    <row r="44" spans="11:11" s="7" customFormat="1" x14ac:dyDescent="0.25">
      <c r="K44" s="27"/>
    </row>
    <row r="45" spans="11:11" s="7" customFormat="1" x14ac:dyDescent="0.25">
      <c r="K45" s="27"/>
    </row>
    <row r="46" spans="11:11" s="7" customFormat="1" x14ac:dyDescent="0.25">
      <c r="K46" s="27"/>
    </row>
    <row r="47" spans="11:11" s="7" customFormat="1" x14ac:dyDescent="0.25">
      <c r="K47" s="27"/>
    </row>
    <row r="48" spans="11:11" s="7" customFormat="1" x14ac:dyDescent="0.25">
      <c r="K48" s="27"/>
    </row>
    <row r="49" spans="11:11" s="7" customFormat="1" x14ac:dyDescent="0.25">
      <c r="K49" s="27"/>
    </row>
    <row r="50" spans="11:11" s="7" customFormat="1" x14ac:dyDescent="0.25">
      <c r="K50" s="27"/>
    </row>
    <row r="51" spans="11:11" s="7" customFormat="1" x14ac:dyDescent="0.25">
      <c r="K51" s="27"/>
    </row>
    <row r="52" spans="11:11" s="7" customFormat="1" x14ac:dyDescent="0.25">
      <c r="K52" s="27"/>
    </row>
    <row r="53" spans="11:11" s="7" customFormat="1" x14ac:dyDescent="0.25">
      <c r="K53" s="27"/>
    </row>
    <row r="54" spans="11:11" s="7" customFormat="1" x14ac:dyDescent="0.25">
      <c r="K54" s="27"/>
    </row>
    <row r="55" spans="11:11" s="7" customFormat="1" x14ac:dyDescent="0.25">
      <c r="K55" s="27"/>
    </row>
    <row r="56" spans="11:11" s="7" customFormat="1" x14ac:dyDescent="0.25">
      <c r="K56" s="27"/>
    </row>
    <row r="57" spans="11:11" s="7" customFormat="1" x14ac:dyDescent="0.25">
      <c r="K57" s="27"/>
    </row>
    <row r="58" spans="11:11" s="7" customFormat="1" x14ac:dyDescent="0.25">
      <c r="K58" s="27"/>
    </row>
    <row r="59" spans="11:11" s="7" customFormat="1" x14ac:dyDescent="0.25">
      <c r="K59" s="27"/>
    </row>
    <row r="60" spans="11:11" s="7" customFormat="1" x14ac:dyDescent="0.25">
      <c r="K60" s="27"/>
    </row>
    <row r="61" spans="11:11" s="7" customFormat="1" x14ac:dyDescent="0.25">
      <c r="K61" s="27"/>
    </row>
    <row r="62" spans="11:11" s="7" customFormat="1" x14ac:dyDescent="0.25">
      <c r="K62" s="27"/>
    </row>
    <row r="63" spans="11:11" s="7" customFormat="1" x14ac:dyDescent="0.25">
      <c r="K63" s="27"/>
    </row>
    <row r="64" spans="11:11" s="7" customFormat="1" x14ac:dyDescent="0.25">
      <c r="K64" s="27"/>
    </row>
    <row r="65" spans="11:11" s="7" customFormat="1" x14ac:dyDescent="0.25">
      <c r="K65" s="27"/>
    </row>
    <row r="66" spans="11:11" s="7" customFormat="1" x14ac:dyDescent="0.25">
      <c r="K66" s="27"/>
    </row>
    <row r="67" spans="11:11" s="7" customFormat="1" x14ac:dyDescent="0.25">
      <c r="K67" s="27"/>
    </row>
    <row r="68" spans="11:11" s="7" customFormat="1" x14ac:dyDescent="0.25">
      <c r="K68" s="27"/>
    </row>
    <row r="69" spans="11:11" s="7" customFormat="1" x14ac:dyDescent="0.25">
      <c r="K69" s="27"/>
    </row>
    <row r="70" spans="11:11" s="7" customFormat="1" x14ac:dyDescent="0.25">
      <c r="K70" s="27"/>
    </row>
    <row r="71" spans="11:11" s="7" customFormat="1" x14ac:dyDescent="0.25">
      <c r="K71" s="27"/>
    </row>
    <row r="72" spans="11:11" s="7" customFormat="1" x14ac:dyDescent="0.25">
      <c r="K72" s="27"/>
    </row>
    <row r="73" spans="11:11" s="7" customFormat="1" x14ac:dyDescent="0.25">
      <c r="K73" s="27"/>
    </row>
    <row r="74" spans="11:11" s="7" customFormat="1" x14ac:dyDescent="0.25">
      <c r="K74" s="27"/>
    </row>
    <row r="75" spans="11:11" s="7" customFormat="1" x14ac:dyDescent="0.25">
      <c r="K75" s="27"/>
    </row>
    <row r="76" spans="11:11" s="7" customFormat="1" x14ac:dyDescent="0.25">
      <c r="K76" s="27"/>
    </row>
    <row r="77" spans="11:11" s="7" customFormat="1" x14ac:dyDescent="0.25">
      <c r="K77" s="27"/>
    </row>
    <row r="78" spans="11:11" s="7" customFormat="1" x14ac:dyDescent="0.25">
      <c r="K78" s="27"/>
    </row>
    <row r="79" spans="11:11" s="7" customFormat="1" x14ac:dyDescent="0.25">
      <c r="K79" s="27"/>
    </row>
    <row r="80" spans="11:11" s="7" customFormat="1" x14ac:dyDescent="0.25">
      <c r="K80" s="27"/>
    </row>
    <row r="81" spans="11:11" s="7" customFormat="1" x14ac:dyDescent="0.25">
      <c r="K81" s="27"/>
    </row>
    <row r="82" spans="11:11" s="7" customFormat="1" x14ac:dyDescent="0.25">
      <c r="K82" s="27"/>
    </row>
    <row r="83" spans="11:11" s="7" customFormat="1" x14ac:dyDescent="0.25">
      <c r="K83" s="27"/>
    </row>
    <row r="84" spans="11:11" s="7" customFormat="1" x14ac:dyDescent="0.25">
      <c r="K84" s="27"/>
    </row>
    <row r="85" spans="11:11" s="7" customFormat="1" x14ac:dyDescent="0.25">
      <c r="K85" s="27"/>
    </row>
    <row r="86" spans="11:11" s="7" customFormat="1" x14ac:dyDescent="0.25">
      <c r="K86" s="27"/>
    </row>
    <row r="87" spans="11:11" s="7" customFormat="1" x14ac:dyDescent="0.25">
      <c r="K87" s="27"/>
    </row>
    <row r="88" spans="11:11" s="7" customFormat="1" x14ac:dyDescent="0.25">
      <c r="K88" s="27"/>
    </row>
    <row r="89" spans="11:11" s="7" customFormat="1" x14ac:dyDescent="0.25">
      <c r="K89" s="27"/>
    </row>
    <row r="90" spans="11:11" s="7" customFormat="1" x14ac:dyDescent="0.25">
      <c r="K90" s="27"/>
    </row>
    <row r="91" spans="11:11" s="7" customFormat="1" x14ac:dyDescent="0.25">
      <c r="K91" s="27"/>
    </row>
    <row r="92" spans="11:11" s="7" customFormat="1" x14ac:dyDescent="0.25">
      <c r="K92" s="27"/>
    </row>
    <row r="93" spans="11:11" s="7" customFormat="1" x14ac:dyDescent="0.25">
      <c r="K93" s="27"/>
    </row>
    <row r="94" spans="11:11" s="7" customFormat="1" x14ac:dyDescent="0.25">
      <c r="K94" s="27"/>
    </row>
    <row r="95" spans="11:11" s="7" customFormat="1" x14ac:dyDescent="0.25">
      <c r="K95" s="27"/>
    </row>
    <row r="96" spans="11:11" s="7" customFormat="1" x14ac:dyDescent="0.25">
      <c r="K96" s="27"/>
    </row>
    <row r="97" spans="11:11" s="7" customFormat="1" x14ac:dyDescent="0.25">
      <c r="K97" s="27"/>
    </row>
    <row r="98" spans="11:11" s="7" customFormat="1" x14ac:dyDescent="0.25">
      <c r="K98" s="27"/>
    </row>
    <row r="99" spans="11:11" s="7" customFormat="1" x14ac:dyDescent="0.25">
      <c r="K99" s="27"/>
    </row>
    <row r="100" spans="11:11" s="7" customFormat="1" x14ac:dyDescent="0.25">
      <c r="K100" s="27"/>
    </row>
    <row r="101" spans="11:11" s="7" customFormat="1" x14ac:dyDescent="0.25">
      <c r="K101" s="27"/>
    </row>
    <row r="102" spans="11:11" s="7" customFormat="1" x14ac:dyDescent="0.25">
      <c r="K102" s="27"/>
    </row>
    <row r="103" spans="11:11" s="7" customFormat="1" x14ac:dyDescent="0.25">
      <c r="K103" s="27"/>
    </row>
    <row r="104" spans="11:11" s="7" customFormat="1" x14ac:dyDescent="0.25">
      <c r="K104" s="27"/>
    </row>
    <row r="105" spans="11:11" s="7" customFormat="1" x14ac:dyDescent="0.25">
      <c r="K105" s="27"/>
    </row>
    <row r="106" spans="11:11" s="7" customFormat="1" x14ac:dyDescent="0.25">
      <c r="K106" s="27"/>
    </row>
    <row r="107" spans="11:11" s="7" customFormat="1" x14ac:dyDescent="0.25">
      <c r="K107" s="27"/>
    </row>
    <row r="108" spans="11:11" s="7" customFormat="1" x14ac:dyDescent="0.25">
      <c r="K108" s="27"/>
    </row>
    <row r="109" spans="11:11" s="7" customFormat="1" x14ac:dyDescent="0.25">
      <c r="K109" s="27"/>
    </row>
    <row r="110" spans="11:11" s="7" customFormat="1" x14ac:dyDescent="0.25">
      <c r="K110" s="27"/>
    </row>
    <row r="111" spans="11:11" s="7" customFormat="1" x14ac:dyDescent="0.25">
      <c r="K111" s="27"/>
    </row>
    <row r="112" spans="11:11" s="7" customFormat="1" x14ac:dyDescent="0.25">
      <c r="K112" s="27"/>
    </row>
    <row r="113" spans="11:11" s="7" customFormat="1" x14ac:dyDescent="0.25">
      <c r="K113" s="27"/>
    </row>
    <row r="114" spans="11:11" s="7" customFormat="1" x14ac:dyDescent="0.25">
      <c r="K114" s="27"/>
    </row>
    <row r="115" spans="11:11" s="7" customFormat="1" x14ac:dyDescent="0.25">
      <c r="K115" s="27"/>
    </row>
    <row r="116" spans="11:11" s="7" customFormat="1" x14ac:dyDescent="0.25">
      <c r="K116" s="27"/>
    </row>
    <row r="117" spans="11:11" s="7" customFormat="1" x14ac:dyDescent="0.25">
      <c r="K117" s="27"/>
    </row>
    <row r="118" spans="11:11" s="7" customFormat="1" x14ac:dyDescent="0.25">
      <c r="K118" s="27"/>
    </row>
    <row r="119" spans="11:11" s="7" customFormat="1" x14ac:dyDescent="0.25">
      <c r="K119" s="27"/>
    </row>
    <row r="120" spans="11:11" s="7" customFormat="1" x14ac:dyDescent="0.25">
      <c r="K120" s="27"/>
    </row>
    <row r="121" spans="11:11" s="7" customFormat="1" x14ac:dyDescent="0.25">
      <c r="K121" s="27"/>
    </row>
    <row r="122" spans="11:11" s="7" customFormat="1" x14ac:dyDescent="0.25">
      <c r="K122" s="27"/>
    </row>
    <row r="123" spans="11:11" s="7" customFormat="1" x14ac:dyDescent="0.25">
      <c r="K123" s="27"/>
    </row>
    <row r="124" spans="11:11" s="7" customFormat="1" x14ac:dyDescent="0.25">
      <c r="K124" s="27"/>
    </row>
    <row r="125" spans="11:11" s="7" customFormat="1" x14ac:dyDescent="0.25">
      <c r="K125" s="27"/>
    </row>
    <row r="126" spans="11:11" s="7" customFormat="1" x14ac:dyDescent="0.25">
      <c r="K126" s="27"/>
    </row>
    <row r="127" spans="11:11" s="7" customFormat="1" x14ac:dyDescent="0.25">
      <c r="K127" s="27"/>
    </row>
    <row r="128" spans="11:11" s="7" customFormat="1" x14ac:dyDescent="0.25">
      <c r="K128" s="27"/>
    </row>
    <row r="129" spans="11:11" s="7" customFormat="1" x14ac:dyDescent="0.25">
      <c r="K129" s="27"/>
    </row>
    <row r="130" spans="11:11" s="7" customFormat="1" x14ac:dyDescent="0.25">
      <c r="K130" s="27"/>
    </row>
    <row r="131" spans="11:11" s="7" customFormat="1" x14ac:dyDescent="0.25">
      <c r="K131" s="27"/>
    </row>
    <row r="132" spans="11:11" s="7" customFormat="1" x14ac:dyDescent="0.25">
      <c r="K132" s="27"/>
    </row>
    <row r="133" spans="11:11" s="7" customFormat="1" x14ac:dyDescent="0.25">
      <c r="K133" s="27"/>
    </row>
    <row r="134" spans="11:11" s="7" customFormat="1" x14ac:dyDescent="0.25">
      <c r="K134" s="27"/>
    </row>
    <row r="135" spans="11:11" s="7" customFormat="1" x14ac:dyDescent="0.25">
      <c r="K135" s="27"/>
    </row>
    <row r="136" spans="11:11" s="7" customFormat="1" x14ac:dyDescent="0.25">
      <c r="K136" s="27"/>
    </row>
    <row r="137" spans="11:11" s="7" customFormat="1" x14ac:dyDescent="0.25">
      <c r="K137" s="27"/>
    </row>
    <row r="138" spans="11:11" s="7" customFormat="1" x14ac:dyDescent="0.25">
      <c r="K138" s="27"/>
    </row>
    <row r="139" spans="11:11" s="7" customFormat="1" x14ac:dyDescent="0.25">
      <c r="K139" s="27"/>
    </row>
    <row r="140" spans="11:11" s="7" customFormat="1" x14ac:dyDescent="0.25">
      <c r="K140" s="27"/>
    </row>
  </sheetData>
  <mergeCells count="2">
    <mergeCell ref="I2:N2"/>
    <mergeCell ref="O2:T2"/>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Q15"/>
  <sheetViews>
    <sheetView zoomScale="85" zoomScaleNormal="85" workbookViewId="0">
      <pane ySplit="2" topLeftCell="A3" activePane="bottomLeft" state="frozen"/>
      <selection pane="bottomLeft" activeCell="G3" sqref="G3"/>
    </sheetView>
  </sheetViews>
  <sheetFormatPr defaultColWidth="9" defaultRowHeight="15" x14ac:dyDescent="0.25"/>
  <cols>
    <col min="1" max="1" width="19.5703125" style="7" bestFit="1" customWidth="1"/>
    <col min="2" max="2" width="41.140625" style="7" customWidth="1"/>
    <col min="3" max="3" width="28.7109375" style="7" customWidth="1"/>
    <col min="4" max="4" width="7.85546875" style="7" bestFit="1" customWidth="1"/>
    <col min="5" max="5" width="44.85546875" style="7" customWidth="1"/>
    <col min="6" max="6" width="9" style="7"/>
    <col min="7" max="7" width="44.85546875" style="7" customWidth="1"/>
    <col min="8" max="8" width="23.42578125" style="7" customWidth="1"/>
    <col min="9" max="12" width="9" style="7"/>
    <col min="13" max="13" width="13.7109375" style="7" customWidth="1"/>
    <col min="14" max="14" width="15.5703125" style="7" customWidth="1"/>
    <col min="15" max="16384" width="9" style="7"/>
  </cols>
  <sheetData>
    <row r="1" spans="1:17" x14ac:dyDescent="0.25">
      <c r="A1" s="136"/>
      <c r="B1" s="39"/>
      <c r="C1" s="39"/>
      <c r="D1" s="39"/>
      <c r="E1" s="39"/>
      <c r="F1" s="159" t="s">
        <v>497</v>
      </c>
      <c r="G1" s="159"/>
      <c r="H1" s="159"/>
      <c r="I1" s="159"/>
      <c r="J1" s="159"/>
      <c r="K1" s="159"/>
      <c r="L1" s="160" t="s">
        <v>498</v>
      </c>
      <c r="M1" s="160"/>
      <c r="N1" s="160"/>
      <c r="O1" s="160"/>
      <c r="P1" s="160"/>
      <c r="Q1" s="160"/>
    </row>
    <row r="2" spans="1:17" s="14" customFormat="1" ht="30" x14ac:dyDescent="0.25">
      <c r="A2" s="137"/>
      <c r="B2" s="137" t="s">
        <v>84</v>
      </c>
      <c r="C2" s="137" t="s">
        <v>85</v>
      </c>
      <c r="D2" s="137" t="s">
        <v>438</v>
      </c>
      <c r="E2" s="137" t="s">
        <v>86</v>
      </c>
      <c r="F2" s="137" t="s">
        <v>87</v>
      </c>
      <c r="G2" s="137" t="s">
        <v>73</v>
      </c>
      <c r="H2" s="137" t="s">
        <v>74</v>
      </c>
      <c r="I2" s="137" t="s">
        <v>435</v>
      </c>
      <c r="J2" s="137" t="s">
        <v>422</v>
      </c>
      <c r="K2" s="137" t="s">
        <v>423</v>
      </c>
      <c r="L2" s="137" t="s">
        <v>87</v>
      </c>
      <c r="M2" s="137" t="s">
        <v>73</v>
      </c>
      <c r="N2" s="137" t="s">
        <v>74</v>
      </c>
      <c r="O2" s="137" t="s">
        <v>435</v>
      </c>
      <c r="P2" s="137" t="s">
        <v>422</v>
      </c>
      <c r="Q2" s="137" t="s">
        <v>423</v>
      </c>
    </row>
    <row r="3" spans="1:17" ht="141.94999999999999" customHeight="1" x14ac:dyDescent="0.25">
      <c r="A3" s="138" t="s">
        <v>88</v>
      </c>
      <c r="B3" s="125" t="s">
        <v>503</v>
      </c>
      <c r="C3" s="39" t="s">
        <v>291</v>
      </c>
      <c r="D3" s="39" t="s">
        <v>394</v>
      </c>
      <c r="E3" s="39" t="s">
        <v>553</v>
      </c>
      <c r="F3" s="128" t="s">
        <v>89</v>
      </c>
      <c r="G3" s="158" t="s">
        <v>508</v>
      </c>
      <c r="H3" s="128" t="s">
        <v>509</v>
      </c>
      <c r="I3" s="128" t="s">
        <v>394</v>
      </c>
      <c r="J3" s="128" t="s">
        <v>394</v>
      </c>
      <c r="K3" s="128" t="s">
        <v>394</v>
      </c>
      <c r="L3" s="133" t="s">
        <v>237</v>
      </c>
      <c r="M3" s="133" t="s">
        <v>237</v>
      </c>
      <c r="N3" s="133" t="s">
        <v>237</v>
      </c>
      <c r="O3" s="133" t="s">
        <v>237</v>
      </c>
      <c r="P3" s="133" t="s">
        <v>237</v>
      </c>
      <c r="Q3" s="133" t="s">
        <v>237</v>
      </c>
    </row>
    <row r="4" spans="1:17" x14ac:dyDescent="0.25">
      <c r="A4" s="39"/>
      <c r="B4" s="39"/>
      <c r="C4" s="39"/>
      <c r="D4" s="39"/>
      <c r="E4" s="39"/>
      <c r="F4" s="128"/>
      <c r="G4" s="128"/>
      <c r="H4" s="128"/>
      <c r="I4" s="128"/>
      <c r="J4" s="128"/>
      <c r="K4" s="128"/>
      <c r="L4" s="133"/>
      <c r="M4" s="133"/>
      <c r="N4" s="133"/>
      <c r="O4" s="133"/>
      <c r="P4" s="133"/>
      <c r="Q4" s="133"/>
    </row>
    <row r="5" spans="1:17" ht="134.65" customHeight="1" x14ac:dyDescent="0.25">
      <c r="A5" s="138" t="s">
        <v>90</v>
      </c>
      <c r="B5" s="125" t="s">
        <v>503</v>
      </c>
      <c r="C5" s="39" t="s">
        <v>291</v>
      </c>
      <c r="D5" s="39" t="s">
        <v>394</v>
      </c>
      <c r="E5" s="39" t="s">
        <v>552</v>
      </c>
      <c r="F5" s="128" t="s">
        <v>237</v>
      </c>
      <c r="G5" s="128" t="s">
        <v>237</v>
      </c>
      <c r="H5" s="128" t="s">
        <v>237</v>
      </c>
      <c r="I5" s="128" t="s">
        <v>237</v>
      </c>
      <c r="J5" s="128" t="s">
        <v>237</v>
      </c>
      <c r="K5" s="128" t="s">
        <v>237</v>
      </c>
      <c r="L5" s="133" t="s">
        <v>89</v>
      </c>
      <c r="M5" s="133" t="s">
        <v>508</v>
      </c>
      <c r="N5" s="133" t="s">
        <v>517</v>
      </c>
      <c r="O5" s="133" t="s">
        <v>394</v>
      </c>
      <c r="P5" s="133" t="s">
        <v>394</v>
      </c>
      <c r="Q5" s="133" t="s">
        <v>394</v>
      </c>
    </row>
    <row r="6" spans="1:17" x14ac:dyDescent="0.25">
      <c r="A6" s="39"/>
      <c r="B6" s="39"/>
      <c r="C6" s="39"/>
      <c r="D6" s="39"/>
      <c r="E6" s="39"/>
      <c r="F6" s="128"/>
      <c r="G6" s="128"/>
      <c r="H6" s="128"/>
      <c r="I6" s="128"/>
      <c r="J6" s="128"/>
      <c r="K6" s="128"/>
      <c r="L6" s="133"/>
      <c r="M6" s="133"/>
      <c r="N6" s="133"/>
      <c r="O6" s="133"/>
      <c r="P6" s="133"/>
      <c r="Q6" s="133"/>
    </row>
    <row r="7" spans="1:17" ht="99.95" customHeight="1" x14ac:dyDescent="0.25">
      <c r="A7" s="139" t="s">
        <v>91</v>
      </c>
      <c r="B7" s="125" t="s">
        <v>504</v>
      </c>
      <c r="C7" s="39" t="s">
        <v>292</v>
      </c>
      <c r="D7" s="39" t="s">
        <v>394</v>
      </c>
      <c r="E7" s="39" t="s">
        <v>554</v>
      </c>
      <c r="F7" s="128" t="s">
        <v>89</v>
      </c>
      <c r="G7" s="158" t="s">
        <v>510</v>
      </c>
      <c r="H7" s="128" t="s">
        <v>511</v>
      </c>
      <c r="I7" s="128" t="s">
        <v>394</v>
      </c>
      <c r="J7" s="128" t="s">
        <v>394</v>
      </c>
      <c r="K7" s="128" t="s">
        <v>394</v>
      </c>
      <c r="L7" s="133" t="s">
        <v>89</v>
      </c>
      <c r="M7" s="133" t="s">
        <v>510</v>
      </c>
      <c r="N7" s="133" t="s">
        <v>518</v>
      </c>
      <c r="O7" s="133" t="s">
        <v>394</v>
      </c>
      <c r="P7" s="133" t="s">
        <v>394</v>
      </c>
      <c r="Q7" s="133" t="s">
        <v>394</v>
      </c>
    </row>
    <row r="8" spans="1:17" x14ac:dyDescent="0.25">
      <c r="A8" s="39"/>
      <c r="B8" s="39"/>
      <c r="C8" s="39"/>
      <c r="D8" s="39"/>
      <c r="E8" s="39"/>
      <c r="F8" s="128"/>
      <c r="G8" s="128"/>
      <c r="H8" s="128"/>
      <c r="I8" s="128"/>
      <c r="J8" s="128"/>
      <c r="K8" s="128"/>
      <c r="L8" s="133"/>
      <c r="M8" s="133"/>
      <c r="N8" s="133"/>
      <c r="O8" s="133"/>
      <c r="P8" s="133"/>
      <c r="Q8" s="133"/>
    </row>
    <row r="9" spans="1:17" ht="110.65" customHeight="1" x14ac:dyDescent="0.25">
      <c r="A9" s="140" t="s">
        <v>92</v>
      </c>
      <c r="B9" s="125" t="s">
        <v>505</v>
      </c>
      <c r="C9" s="39" t="s">
        <v>293</v>
      </c>
      <c r="D9" s="39" t="s">
        <v>394</v>
      </c>
      <c r="E9" s="39" t="s">
        <v>558</v>
      </c>
      <c r="F9" s="128" t="s">
        <v>89</v>
      </c>
      <c r="G9" s="128" t="s">
        <v>512</v>
      </c>
      <c r="H9" s="128" t="s">
        <v>513</v>
      </c>
      <c r="I9" s="128" t="s">
        <v>394</v>
      </c>
      <c r="J9" s="128" t="s">
        <v>394</v>
      </c>
      <c r="K9" s="128" t="s">
        <v>394</v>
      </c>
      <c r="L9" s="133" t="s">
        <v>89</v>
      </c>
      <c r="M9" s="133" t="s">
        <v>512</v>
      </c>
      <c r="N9" s="133" t="s">
        <v>519</v>
      </c>
      <c r="O9" s="133" t="s">
        <v>394</v>
      </c>
      <c r="P9" s="133" t="s">
        <v>394</v>
      </c>
      <c r="Q9" s="133" t="s">
        <v>394</v>
      </c>
    </row>
    <row r="10" spans="1:17" x14ac:dyDescent="0.25">
      <c r="A10" s="39"/>
      <c r="B10" s="39"/>
      <c r="C10" s="39"/>
      <c r="D10" s="39"/>
      <c r="E10" s="39"/>
      <c r="F10" s="128"/>
      <c r="G10" s="128"/>
      <c r="H10" s="128"/>
      <c r="I10" s="128"/>
      <c r="J10" s="128"/>
      <c r="K10" s="128"/>
      <c r="L10" s="133"/>
      <c r="M10" s="133"/>
      <c r="N10" s="133"/>
      <c r="O10" s="133"/>
      <c r="P10" s="133"/>
      <c r="Q10" s="133"/>
    </row>
    <row r="11" spans="1:17" ht="111.4" customHeight="1" x14ac:dyDescent="0.25">
      <c r="A11" s="141" t="s">
        <v>93</v>
      </c>
      <c r="B11" s="125" t="s">
        <v>506</v>
      </c>
      <c r="C11" s="39" t="s">
        <v>362</v>
      </c>
      <c r="D11" s="39" t="s">
        <v>394</v>
      </c>
      <c r="E11" s="39" t="s">
        <v>555</v>
      </c>
      <c r="F11" s="128" t="s">
        <v>89</v>
      </c>
      <c r="G11" s="128" t="s">
        <v>615</v>
      </c>
      <c r="H11" s="128" t="s">
        <v>547</v>
      </c>
      <c r="I11" s="128" t="s">
        <v>394</v>
      </c>
      <c r="J11" s="128" t="s">
        <v>394</v>
      </c>
      <c r="K11" s="128" t="s">
        <v>394</v>
      </c>
      <c r="L11" s="133" t="s">
        <v>89</v>
      </c>
      <c r="M11" s="133" t="s">
        <v>514</v>
      </c>
      <c r="N11" s="133" t="s">
        <v>520</v>
      </c>
      <c r="O11" s="133" t="s">
        <v>394</v>
      </c>
      <c r="P11" s="133" t="s">
        <v>394</v>
      </c>
      <c r="Q11" s="133" t="s">
        <v>394</v>
      </c>
    </row>
    <row r="12" spans="1:17" x14ac:dyDescent="0.25">
      <c r="A12" s="39"/>
      <c r="B12" s="39"/>
      <c r="C12" s="39"/>
      <c r="D12" s="39"/>
      <c r="E12" s="39"/>
      <c r="F12" s="128"/>
      <c r="G12" s="128"/>
      <c r="H12" s="128"/>
      <c r="I12" s="128"/>
      <c r="J12" s="128"/>
      <c r="K12" s="128"/>
      <c r="L12" s="133"/>
      <c r="M12" s="133"/>
      <c r="N12" s="133"/>
      <c r="O12" s="133"/>
      <c r="P12" s="133"/>
      <c r="Q12" s="133"/>
    </row>
    <row r="13" spans="1:17" ht="78.400000000000006" customHeight="1" x14ac:dyDescent="0.25">
      <c r="A13" s="142" t="s">
        <v>94</v>
      </c>
      <c r="B13" s="125" t="s">
        <v>507</v>
      </c>
      <c r="C13" s="39" t="s">
        <v>363</v>
      </c>
      <c r="D13" s="39" t="s">
        <v>394</v>
      </c>
      <c r="E13" s="39" t="s">
        <v>557</v>
      </c>
      <c r="F13" s="128" t="s">
        <v>89</v>
      </c>
      <c r="G13" s="128" t="s">
        <v>548</v>
      </c>
      <c r="H13" s="128" t="s">
        <v>516</v>
      </c>
      <c r="I13" s="128" t="s">
        <v>394</v>
      </c>
      <c r="J13" s="128" t="s">
        <v>394</v>
      </c>
      <c r="K13" s="128" t="s">
        <v>394</v>
      </c>
      <c r="L13" s="133" t="s">
        <v>89</v>
      </c>
      <c r="M13" s="133" t="s">
        <v>515</v>
      </c>
      <c r="N13" s="133" t="s">
        <v>521</v>
      </c>
      <c r="O13" s="133" t="s">
        <v>394</v>
      </c>
      <c r="P13" s="133" t="s">
        <v>394</v>
      </c>
      <c r="Q13" s="133" t="s">
        <v>394</v>
      </c>
    </row>
    <row r="14" spans="1:17" x14ac:dyDescent="0.25">
      <c r="A14" s="39"/>
      <c r="B14" s="39"/>
      <c r="C14" s="39"/>
      <c r="D14" s="39"/>
      <c r="E14" s="39"/>
      <c r="F14" s="128"/>
      <c r="G14" s="128"/>
      <c r="H14" s="128"/>
      <c r="I14" s="128"/>
      <c r="J14" s="128"/>
      <c r="K14" s="128"/>
      <c r="L14" s="133"/>
      <c r="M14" s="133"/>
      <c r="N14" s="133"/>
      <c r="O14" s="133"/>
      <c r="P14" s="133"/>
      <c r="Q14" s="133"/>
    </row>
    <row r="15" spans="1:17" ht="99.95" customHeight="1" x14ac:dyDescent="0.25">
      <c r="A15" s="143" t="s">
        <v>234</v>
      </c>
      <c r="B15" s="39" t="s">
        <v>551</v>
      </c>
      <c r="C15" s="39" t="s">
        <v>365</v>
      </c>
      <c r="D15" s="39" t="s">
        <v>394</v>
      </c>
      <c r="E15" s="39" t="s">
        <v>556</v>
      </c>
      <c r="F15" s="128" t="s">
        <v>89</v>
      </c>
      <c r="G15" s="128" t="s">
        <v>548</v>
      </c>
      <c r="H15" s="128" t="s">
        <v>549</v>
      </c>
      <c r="I15" s="128" t="s">
        <v>394</v>
      </c>
      <c r="J15" s="128" t="s">
        <v>394</v>
      </c>
      <c r="K15" s="128" t="s">
        <v>394</v>
      </c>
      <c r="L15" s="133" t="s">
        <v>89</v>
      </c>
      <c r="M15" s="133" t="s">
        <v>548</v>
      </c>
      <c r="N15" s="133" t="s">
        <v>550</v>
      </c>
      <c r="O15" s="133" t="s">
        <v>394</v>
      </c>
      <c r="P15" s="133" t="s">
        <v>394</v>
      </c>
      <c r="Q15" s="133" t="s">
        <v>394</v>
      </c>
    </row>
  </sheetData>
  <mergeCells count="2">
    <mergeCell ref="F1:K1"/>
    <mergeCell ref="L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14"/>
  <sheetViews>
    <sheetView workbookViewId="0">
      <pane ySplit="3" topLeftCell="A4" activePane="bottomLeft" state="frozen"/>
      <selection pane="bottomLeft" activeCell="B32" sqref="B32"/>
    </sheetView>
  </sheetViews>
  <sheetFormatPr defaultColWidth="9" defaultRowHeight="15" x14ac:dyDescent="0.25"/>
  <cols>
    <col min="1" max="1" width="3" style="21" customWidth="1"/>
    <col min="2" max="2" width="40.42578125" style="21" bestFit="1" customWidth="1"/>
    <col min="3" max="16384" width="9" style="21"/>
  </cols>
  <sheetData>
    <row r="1" spans="1:2" x14ac:dyDescent="0.25">
      <c r="A1" s="21" t="s">
        <v>7</v>
      </c>
    </row>
    <row r="3" spans="1:2" s="23" customFormat="1" x14ac:dyDescent="0.25">
      <c r="A3" s="22" t="s">
        <v>117</v>
      </c>
      <c r="B3" s="22" t="s">
        <v>118</v>
      </c>
    </row>
    <row r="4" spans="1:2" x14ac:dyDescent="0.25">
      <c r="A4" s="21">
        <v>1</v>
      </c>
      <c r="B4" s="24" t="s">
        <v>1</v>
      </c>
    </row>
    <row r="5" spans="1:2" x14ac:dyDescent="0.25">
      <c r="B5" s="21" t="s">
        <v>385</v>
      </c>
    </row>
    <row r="6" spans="1:2" x14ac:dyDescent="0.25">
      <c r="B6" s="21" t="s">
        <v>386</v>
      </c>
    </row>
    <row r="7" spans="1:2" x14ac:dyDescent="0.25">
      <c r="B7" s="21" t="s">
        <v>387</v>
      </c>
    </row>
    <row r="8" spans="1:2" x14ac:dyDescent="0.25">
      <c r="B8" s="21" t="s">
        <v>388</v>
      </c>
    </row>
    <row r="10" spans="1:2" x14ac:dyDescent="0.25">
      <c r="A10" s="21">
        <v>3</v>
      </c>
      <c r="B10" s="24" t="s">
        <v>2</v>
      </c>
    </row>
    <row r="11" spans="1:2" x14ac:dyDescent="0.25">
      <c r="B11" s="21" t="s">
        <v>385</v>
      </c>
    </row>
    <row r="12" spans="1:2" x14ac:dyDescent="0.25">
      <c r="B12" s="21" t="s">
        <v>386</v>
      </c>
    </row>
    <row r="13" spans="1:2" x14ac:dyDescent="0.25">
      <c r="B13" s="21" t="s">
        <v>387</v>
      </c>
    </row>
    <row r="14" spans="1:2" x14ac:dyDescent="0.25">
      <c r="B14" s="21"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192"/>
  <sheetViews>
    <sheetView topLeftCell="B1" workbookViewId="0">
      <pane ySplit="1" topLeftCell="A2" activePane="bottomLeft" state="frozen"/>
      <selection pane="bottomLeft" activeCell="E94" sqref="E94"/>
    </sheetView>
  </sheetViews>
  <sheetFormatPr defaultRowHeight="15" x14ac:dyDescent="0.25"/>
  <cols>
    <col min="1" max="1" width="8" bestFit="1" customWidth="1"/>
    <col min="2" max="2" width="26.140625" bestFit="1" customWidth="1"/>
  </cols>
  <sheetData>
    <row r="1" spans="1:2" x14ac:dyDescent="0.25">
      <c r="A1" s="16" t="s">
        <v>117</v>
      </c>
      <c r="B1" s="16" t="s">
        <v>112</v>
      </c>
    </row>
    <row r="2" spans="1:2" x14ac:dyDescent="0.25">
      <c r="A2">
        <v>1</v>
      </c>
      <c r="B2" s="3" t="s">
        <v>18</v>
      </c>
    </row>
    <row r="3" spans="1:2" x14ac:dyDescent="0.25">
      <c r="B3" t="s">
        <v>19</v>
      </c>
    </row>
    <row r="4" spans="1:2" x14ac:dyDescent="0.25">
      <c r="B4" t="s">
        <v>3</v>
      </c>
    </row>
    <row r="5" spans="1:2" x14ac:dyDescent="0.25">
      <c r="B5" t="s">
        <v>298</v>
      </c>
    </row>
    <row r="6" spans="1:2" x14ac:dyDescent="0.25">
      <c r="B6" t="s">
        <v>299</v>
      </c>
    </row>
    <row r="7" spans="1:2" x14ac:dyDescent="0.25">
      <c r="B7" t="s">
        <v>5</v>
      </c>
    </row>
    <row r="8" spans="1:2" x14ac:dyDescent="0.25">
      <c r="B8" t="s">
        <v>6</v>
      </c>
    </row>
    <row r="10" spans="1:2" x14ac:dyDescent="0.25">
      <c r="A10">
        <v>2</v>
      </c>
      <c r="B10" s="3" t="s">
        <v>20</v>
      </c>
    </row>
    <row r="11" spans="1:2" x14ac:dyDescent="0.25">
      <c r="B11" t="s">
        <v>3</v>
      </c>
    </row>
    <row r="12" spans="1:2" x14ac:dyDescent="0.25">
      <c r="B12" t="s">
        <v>19</v>
      </c>
    </row>
    <row r="13" spans="1:2" x14ac:dyDescent="0.25">
      <c r="B13" t="s">
        <v>298</v>
      </c>
    </row>
    <row r="14" spans="1:2" x14ac:dyDescent="0.25">
      <c r="B14" t="s">
        <v>299</v>
      </c>
    </row>
    <row r="15" spans="1:2" x14ac:dyDescent="0.25">
      <c r="B15" t="s">
        <v>5</v>
      </c>
    </row>
    <row r="16" spans="1:2" x14ac:dyDescent="0.25">
      <c r="B16" t="s">
        <v>6</v>
      </c>
    </row>
    <row r="18" spans="1:2" x14ac:dyDescent="0.25">
      <c r="A18">
        <v>3</v>
      </c>
      <c r="B18" s="3" t="s">
        <v>300</v>
      </c>
    </row>
    <row r="19" spans="1:2" x14ac:dyDescent="0.25">
      <c r="B19" s="2" t="s">
        <v>301</v>
      </c>
    </row>
    <row r="20" spans="1:2" x14ac:dyDescent="0.25">
      <c r="B20" t="s">
        <v>19</v>
      </c>
    </row>
    <row r="21" spans="1:2" x14ac:dyDescent="0.25">
      <c r="B21" t="s">
        <v>3</v>
      </c>
    </row>
    <row r="22" spans="1:2" x14ac:dyDescent="0.25">
      <c r="B22" t="s">
        <v>299</v>
      </c>
    </row>
    <row r="23" spans="1:2" x14ac:dyDescent="0.25">
      <c r="B23" t="s">
        <v>5</v>
      </c>
    </row>
    <row r="24" spans="1:2" x14ac:dyDescent="0.25">
      <c r="B24" t="s">
        <v>6</v>
      </c>
    </row>
    <row r="26" spans="1:2" x14ac:dyDescent="0.25">
      <c r="A26">
        <v>4</v>
      </c>
      <c r="B26" s="3" t="s">
        <v>302</v>
      </c>
    </row>
    <row r="27" spans="1:2" x14ac:dyDescent="0.25">
      <c r="B27" s="2" t="s">
        <v>299</v>
      </c>
    </row>
    <row r="28" spans="1:2" x14ac:dyDescent="0.25">
      <c r="B28" t="s">
        <v>19</v>
      </c>
    </row>
    <row r="29" spans="1:2" x14ac:dyDescent="0.25">
      <c r="B29" t="s">
        <v>3</v>
      </c>
    </row>
    <row r="30" spans="1:2" x14ac:dyDescent="0.25">
      <c r="B30" t="s">
        <v>298</v>
      </c>
    </row>
    <row r="31" spans="1:2" x14ac:dyDescent="0.25">
      <c r="B31" t="s">
        <v>5</v>
      </c>
    </row>
    <row r="32" spans="1:2" x14ac:dyDescent="0.25">
      <c r="B32" t="s">
        <v>6</v>
      </c>
    </row>
    <row r="34" spans="1:2" x14ac:dyDescent="0.25">
      <c r="A34">
        <v>5</v>
      </c>
      <c r="B34" s="3" t="s">
        <v>21</v>
      </c>
    </row>
    <row r="35" spans="1:2" x14ac:dyDescent="0.25">
      <c r="B35" t="s">
        <v>5</v>
      </c>
    </row>
    <row r="36" spans="1:2" x14ac:dyDescent="0.25">
      <c r="B36" t="s">
        <v>19</v>
      </c>
    </row>
    <row r="37" spans="1:2" x14ac:dyDescent="0.25">
      <c r="B37" t="s">
        <v>3</v>
      </c>
    </row>
    <row r="38" spans="1:2" x14ac:dyDescent="0.25">
      <c r="B38" t="s">
        <v>298</v>
      </c>
    </row>
    <row r="39" spans="1:2" x14ac:dyDescent="0.25">
      <c r="B39" t="s">
        <v>299</v>
      </c>
    </row>
    <row r="40" spans="1:2" x14ac:dyDescent="0.25">
      <c r="B40" t="s">
        <v>6</v>
      </c>
    </row>
    <row r="42" spans="1:2" x14ac:dyDescent="0.25">
      <c r="A42">
        <v>6</v>
      </c>
      <c r="B42" s="3" t="s">
        <v>22</v>
      </c>
    </row>
    <row r="43" spans="1:2" x14ac:dyDescent="0.25">
      <c r="B43" t="s">
        <v>6</v>
      </c>
    </row>
    <row r="44" spans="1:2" x14ac:dyDescent="0.25">
      <c r="B44" t="s">
        <v>303</v>
      </c>
    </row>
    <row r="45" spans="1:2" x14ac:dyDescent="0.25">
      <c r="B45" t="s">
        <v>3</v>
      </c>
    </row>
    <row r="46" spans="1:2" x14ac:dyDescent="0.25">
      <c r="B46" t="s">
        <v>298</v>
      </c>
    </row>
    <row r="47" spans="1:2" x14ac:dyDescent="0.25">
      <c r="B47" t="s">
        <v>299</v>
      </c>
    </row>
    <row r="48" spans="1:2" x14ac:dyDescent="0.25">
      <c r="B48" t="s">
        <v>5</v>
      </c>
    </row>
    <row r="50" spans="1:2" x14ac:dyDescent="0.25">
      <c r="A50">
        <v>7</v>
      </c>
      <c r="B50" s="4" t="s">
        <v>23</v>
      </c>
    </row>
    <row r="51" spans="1:2" x14ac:dyDescent="0.25">
      <c r="B51" t="s">
        <v>304</v>
      </c>
    </row>
    <row r="52" spans="1:2" x14ac:dyDescent="0.25">
      <c r="B52" t="s">
        <v>3</v>
      </c>
    </row>
    <row r="53" spans="1:2" x14ac:dyDescent="0.25">
      <c r="B53" t="s">
        <v>298</v>
      </c>
    </row>
    <row r="54" spans="1:2" x14ac:dyDescent="0.25">
      <c r="B54" t="s">
        <v>299</v>
      </c>
    </row>
    <row r="55" spans="1:2" x14ac:dyDescent="0.25">
      <c r="B55" t="s">
        <v>5</v>
      </c>
    </row>
    <row r="56" spans="1:2" x14ac:dyDescent="0.25">
      <c r="B56" t="s">
        <v>6</v>
      </c>
    </row>
    <row r="58" spans="1:2" x14ac:dyDescent="0.25">
      <c r="A58">
        <v>8</v>
      </c>
      <c r="B58" s="4" t="s">
        <v>24</v>
      </c>
    </row>
    <row r="59" spans="1:2" x14ac:dyDescent="0.25">
      <c r="B59" t="s">
        <v>3</v>
      </c>
    </row>
    <row r="60" spans="1:2" x14ac:dyDescent="0.25">
      <c r="B60" t="s">
        <v>303</v>
      </c>
    </row>
    <row r="61" spans="1:2" x14ac:dyDescent="0.25">
      <c r="B61" t="s">
        <v>298</v>
      </c>
    </row>
    <row r="62" spans="1:2" x14ac:dyDescent="0.25">
      <c r="B62" t="s">
        <v>299</v>
      </c>
    </row>
    <row r="63" spans="1:2" x14ac:dyDescent="0.25">
      <c r="B63" t="s">
        <v>5</v>
      </c>
    </row>
    <row r="64" spans="1:2" x14ac:dyDescent="0.25">
      <c r="B64" t="s">
        <v>6</v>
      </c>
    </row>
    <row r="66" spans="1:2" x14ac:dyDescent="0.25">
      <c r="A66">
        <v>9</v>
      </c>
      <c r="B66" s="58" t="s">
        <v>305</v>
      </c>
    </row>
    <row r="67" spans="1:2" x14ac:dyDescent="0.25">
      <c r="B67" s="2" t="s">
        <v>301</v>
      </c>
    </row>
    <row r="68" spans="1:2" x14ac:dyDescent="0.25">
      <c r="B68" t="s">
        <v>303</v>
      </c>
    </row>
    <row r="69" spans="1:2" x14ac:dyDescent="0.25">
      <c r="B69" t="s">
        <v>3</v>
      </c>
    </row>
    <row r="70" spans="1:2" x14ac:dyDescent="0.25">
      <c r="B70" t="s">
        <v>299</v>
      </c>
    </row>
    <row r="71" spans="1:2" x14ac:dyDescent="0.25">
      <c r="B71" t="s">
        <v>5</v>
      </c>
    </row>
    <row r="72" spans="1:2" x14ac:dyDescent="0.25">
      <c r="B72" t="s">
        <v>6</v>
      </c>
    </row>
    <row r="74" spans="1:2" x14ac:dyDescent="0.25">
      <c r="A74">
        <v>10</v>
      </c>
      <c r="B74" s="58" t="s">
        <v>306</v>
      </c>
    </row>
    <row r="75" spans="1:2" x14ac:dyDescent="0.25">
      <c r="B75" s="2" t="s">
        <v>299</v>
      </c>
    </row>
    <row r="76" spans="1:2" x14ac:dyDescent="0.25">
      <c r="B76" t="s">
        <v>303</v>
      </c>
    </row>
    <row r="77" spans="1:2" x14ac:dyDescent="0.25">
      <c r="B77" t="s">
        <v>3</v>
      </c>
    </row>
    <row r="78" spans="1:2" x14ac:dyDescent="0.25">
      <c r="B78" t="s">
        <v>298</v>
      </c>
    </row>
    <row r="79" spans="1:2" x14ac:dyDescent="0.25">
      <c r="B79" t="s">
        <v>5</v>
      </c>
    </row>
    <row r="80" spans="1:2" x14ac:dyDescent="0.25">
      <c r="B80" t="s">
        <v>6</v>
      </c>
    </row>
    <row r="82" spans="1:2" x14ac:dyDescent="0.25">
      <c r="A82">
        <v>11</v>
      </c>
      <c r="B82" s="4" t="s">
        <v>25</v>
      </c>
    </row>
    <row r="83" spans="1:2" x14ac:dyDescent="0.25">
      <c r="B83" t="s">
        <v>5</v>
      </c>
    </row>
    <row r="84" spans="1:2" x14ac:dyDescent="0.25">
      <c r="B84" t="s">
        <v>303</v>
      </c>
    </row>
    <row r="85" spans="1:2" x14ac:dyDescent="0.25">
      <c r="B85" t="s">
        <v>3</v>
      </c>
    </row>
    <row r="86" spans="1:2" x14ac:dyDescent="0.25">
      <c r="B86" t="s">
        <v>298</v>
      </c>
    </row>
    <row r="87" spans="1:2" x14ac:dyDescent="0.25">
      <c r="B87" t="s">
        <v>299</v>
      </c>
    </row>
    <row r="88" spans="1:2" x14ac:dyDescent="0.25">
      <c r="B88" t="s">
        <v>6</v>
      </c>
    </row>
    <row r="90" spans="1:2" x14ac:dyDescent="0.25">
      <c r="A90">
        <v>12</v>
      </c>
      <c r="B90" s="58" t="s">
        <v>307</v>
      </c>
    </row>
    <row r="91" spans="1:2" x14ac:dyDescent="0.25">
      <c r="B91" t="s">
        <v>6</v>
      </c>
    </row>
    <row r="92" spans="1:2" x14ac:dyDescent="0.25">
      <c r="B92" t="s">
        <v>303</v>
      </c>
    </row>
    <row r="93" spans="1:2" x14ac:dyDescent="0.25">
      <c r="B93" t="s">
        <v>3</v>
      </c>
    </row>
    <row r="94" spans="1:2" x14ac:dyDescent="0.25">
      <c r="B94" t="s">
        <v>298</v>
      </c>
    </row>
    <row r="95" spans="1:2" x14ac:dyDescent="0.25">
      <c r="B95" t="s">
        <v>299</v>
      </c>
    </row>
    <row r="96" spans="1:2" x14ac:dyDescent="0.25">
      <c r="B96" t="s">
        <v>5</v>
      </c>
    </row>
    <row r="98" spans="1:2" x14ac:dyDescent="0.25">
      <c r="A98">
        <v>13</v>
      </c>
      <c r="B98" s="3" t="s">
        <v>26</v>
      </c>
    </row>
    <row r="99" spans="1:2" x14ac:dyDescent="0.25">
      <c r="B99" t="s">
        <v>19</v>
      </c>
    </row>
    <row r="100" spans="1:2" x14ac:dyDescent="0.25">
      <c r="B100" t="s">
        <v>3</v>
      </c>
    </row>
    <row r="101" spans="1:2" x14ac:dyDescent="0.25">
      <c r="B101" t="s">
        <v>298</v>
      </c>
    </row>
    <row r="102" spans="1:2" x14ac:dyDescent="0.25">
      <c r="B102" t="s">
        <v>299</v>
      </c>
    </row>
    <row r="103" spans="1:2" x14ac:dyDescent="0.25">
      <c r="B103" t="s">
        <v>5</v>
      </c>
    </row>
    <row r="104" spans="1:2" x14ac:dyDescent="0.25">
      <c r="B104" t="s">
        <v>6</v>
      </c>
    </row>
    <row r="106" spans="1:2" x14ac:dyDescent="0.25">
      <c r="A106">
        <v>14</v>
      </c>
      <c r="B106" s="3" t="s">
        <v>27</v>
      </c>
    </row>
    <row r="107" spans="1:2" x14ac:dyDescent="0.25">
      <c r="B107" t="s">
        <v>3</v>
      </c>
    </row>
    <row r="108" spans="1:2" x14ac:dyDescent="0.25">
      <c r="B108" t="s">
        <v>19</v>
      </c>
    </row>
    <row r="109" spans="1:2" x14ac:dyDescent="0.25">
      <c r="B109" t="s">
        <v>298</v>
      </c>
    </row>
    <row r="110" spans="1:2" x14ac:dyDescent="0.25">
      <c r="B110" t="s">
        <v>299</v>
      </c>
    </row>
    <row r="111" spans="1:2" x14ac:dyDescent="0.25">
      <c r="B111" t="s">
        <v>5</v>
      </c>
    </row>
    <row r="112" spans="1:2" x14ac:dyDescent="0.25">
      <c r="B112" t="s">
        <v>6</v>
      </c>
    </row>
    <row r="114" spans="1:2" x14ac:dyDescent="0.25">
      <c r="A114">
        <v>15</v>
      </c>
      <c r="B114" s="3" t="s">
        <v>308</v>
      </c>
    </row>
    <row r="115" spans="1:2" x14ac:dyDescent="0.25">
      <c r="B115" s="2" t="s">
        <v>301</v>
      </c>
    </row>
    <row r="116" spans="1:2" x14ac:dyDescent="0.25">
      <c r="B116" t="s">
        <v>19</v>
      </c>
    </row>
    <row r="117" spans="1:2" x14ac:dyDescent="0.25">
      <c r="B117" t="s">
        <v>3</v>
      </c>
    </row>
    <row r="118" spans="1:2" x14ac:dyDescent="0.25">
      <c r="B118" t="s">
        <v>299</v>
      </c>
    </row>
    <row r="119" spans="1:2" x14ac:dyDescent="0.25">
      <c r="B119" t="s">
        <v>5</v>
      </c>
    </row>
    <row r="120" spans="1:2" x14ac:dyDescent="0.25">
      <c r="B120" t="s">
        <v>6</v>
      </c>
    </row>
    <row r="122" spans="1:2" x14ac:dyDescent="0.25">
      <c r="A122">
        <v>16</v>
      </c>
      <c r="B122" s="3" t="s">
        <v>309</v>
      </c>
    </row>
    <row r="123" spans="1:2" x14ac:dyDescent="0.25">
      <c r="B123" s="2" t="s">
        <v>299</v>
      </c>
    </row>
    <row r="124" spans="1:2" x14ac:dyDescent="0.25">
      <c r="B124" t="s">
        <v>19</v>
      </c>
    </row>
    <row r="125" spans="1:2" x14ac:dyDescent="0.25">
      <c r="B125" t="s">
        <v>3</v>
      </c>
    </row>
    <row r="126" spans="1:2" x14ac:dyDescent="0.25">
      <c r="B126" t="s">
        <v>298</v>
      </c>
    </row>
    <row r="127" spans="1:2" x14ac:dyDescent="0.25">
      <c r="B127" t="s">
        <v>5</v>
      </c>
    </row>
    <row r="128" spans="1:2" x14ac:dyDescent="0.25">
      <c r="B128" t="s">
        <v>6</v>
      </c>
    </row>
    <row r="130" spans="1:2" x14ac:dyDescent="0.25">
      <c r="A130">
        <v>17</v>
      </c>
      <c r="B130" s="3" t="s">
        <v>28</v>
      </c>
    </row>
    <row r="131" spans="1:2" x14ac:dyDescent="0.25">
      <c r="B131" t="s">
        <v>5</v>
      </c>
    </row>
    <row r="132" spans="1:2" x14ac:dyDescent="0.25">
      <c r="B132" t="s">
        <v>19</v>
      </c>
    </row>
    <row r="133" spans="1:2" x14ac:dyDescent="0.25">
      <c r="B133" t="s">
        <v>3</v>
      </c>
    </row>
    <row r="134" spans="1:2" x14ac:dyDescent="0.25">
      <c r="B134" t="s">
        <v>298</v>
      </c>
    </row>
    <row r="135" spans="1:2" x14ac:dyDescent="0.25">
      <c r="B135" t="s">
        <v>299</v>
      </c>
    </row>
    <row r="136" spans="1:2" x14ac:dyDescent="0.25">
      <c r="B136" t="s">
        <v>6</v>
      </c>
    </row>
    <row r="138" spans="1:2" x14ac:dyDescent="0.25">
      <c r="A138">
        <v>18</v>
      </c>
      <c r="B138" s="3" t="s">
        <v>310</v>
      </c>
    </row>
    <row r="139" spans="1:2" x14ac:dyDescent="0.25">
      <c r="B139" t="s">
        <v>6</v>
      </c>
    </row>
    <row r="140" spans="1:2" x14ac:dyDescent="0.25">
      <c r="B140" t="s">
        <v>303</v>
      </c>
    </row>
    <row r="141" spans="1:2" x14ac:dyDescent="0.25">
      <c r="B141" t="s">
        <v>3</v>
      </c>
    </row>
    <row r="142" spans="1:2" x14ac:dyDescent="0.25">
      <c r="B142" t="s">
        <v>298</v>
      </c>
    </row>
    <row r="143" spans="1:2" x14ac:dyDescent="0.25">
      <c r="B143" t="s">
        <v>299</v>
      </c>
    </row>
    <row r="144" spans="1:2" x14ac:dyDescent="0.25">
      <c r="B144" t="s">
        <v>5</v>
      </c>
    </row>
    <row r="146" spans="1:2" x14ac:dyDescent="0.25">
      <c r="A146">
        <v>19</v>
      </c>
      <c r="B146" s="4" t="s">
        <v>311</v>
      </c>
    </row>
    <row r="147" spans="1:2" x14ac:dyDescent="0.25">
      <c r="B147" t="s">
        <v>304</v>
      </c>
    </row>
    <row r="148" spans="1:2" x14ac:dyDescent="0.25">
      <c r="B148" t="s">
        <v>3</v>
      </c>
    </row>
    <row r="149" spans="1:2" x14ac:dyDescent="0.25">
      <c r="B149" t="s">
        <v>298</v>
      </c>
    </row>
    <row r="150" spans="1:2" x14ac:dyDescent="0.25">
      <c r="B150" t="s">
        <v>299</v>
      </c>
    </row>
    <row r="151" spans="1:2" x14ac:dyDescent="0.25">
      <c r="B151" t="s">
        <v>5</v>
      </c>
    </row>
    <row r="152" spans="1:2" x14ac:dyDescent="0.25">
      <c r="B152" t="s">
        <v>6</v>
      </c>
    </row>
    <row r="154" spans="1:2" x14ac:dyDescent="0.25">
      <c r="A154">
        <v>20</v>
      </c>
      <c r="B154" s="4" t="s">
        <v>29</v>
      </c>
    </row>
    <row r="155" spans="1:2" x14ac:dyDescent="0.25">
      <c r="B155" t="s">
        <v>3</v>
      </c>
    </row>
    <row r="156" spans="1:2" x14ac:dyDescent="0.25">
      <c r="B156" t="s">
        <v>303</v>
      </c>
    </row>
    <row r="157" spans="1:2" x14ac:dyDescent="0.25">
      <c r="B157" t="s">
        <v>298</v>
      </c>
    </row>
    <row r="158" spans="1:2" x14ac:dyDescent="0.25">
      <c r="B158" t="s">
        <v>299</v>
      </c>
    </row>
    <row r="159" spans="1:2" x14ac:dyDescent="0.25">
      <c r="B159" t="s">
        <v>5</v>
      </c>
    </row>
    <row r="160" spans="1:2" x14ac:dyDescent="0.25">
      <c r="B160" t="s">
        <v>6</v>
      </c>
    </row>
    <row r="162" spans="1:2" x14ac:dyDescent="0.25">
      <c r="A162">
        <v>21</v>
      </c>
      <c r="B162" s="58" t="s">
        <v>312</v>
      </c>
    </row>
    <row r="163" spans="1:2" x14ac:dyDescent="0.25">
      <c r="B163" s="2" t="s">
        <v>301</v>
      </c>
    </row>
    <row r="164" spans="1:2" x14ac:dyDescent="0.25">
      <c r="B164" t="s">
        <v>303</v>
      </c>
    </row>
    <row r="165" spans="1:2" x14ac:dyDescent="0.25">
      <c r="B165" t="s">
        <v>3</v>
      </c>
    </row>
    <row r="166" spans="1:2" x14ac:dyDescent="0.25">
      <c r="B166" t="s">
        <v>299</v>
      </c>
    </row>
    <row r="167" spans="1:2" x14ac:dyDescent="0.25">
      <c r="B167" t="s">
        <v>5</v>
      </c>
    </row>
    <row r="168" spans="1:2" x14ac:dyDescent="0.25">
      <c r="B168" t="s">
        <v>6</v>
      </c>
    </row>
    <row r="170" spans="1:2" x14ac:dyDescent="0.25">
      <c r="A170">
        <v>22</v>
      </c>
      <c r="B170" s="58" t="s">
        <v>313</v>
      </c>
    </row>
    <row r="171" spans="1:2" x14ac:dyDescent="0.25">
      <c r="B171" s="2" t="s">
        <v>299</v>
      </c>
    </row>
    <row r="172" spans="1:2" x14ac:dyDescent="0.25">
      <c r="B172" t="s">
        <v>303</v>
      </c>
    </row>
    <row r="173" spans="1:2" x14ac:dyDescent="0.25">
      <c r="B173" t="s">
        <v>3</v>
      </c>
    </row>
    <row r="174" spans="1:2" x14ac:dyDescent="0.25">
      <c r="B174" t="s">
        <v>298</v>
      </c>
    </row>
    <row r="175" spans="1:2" x14ac:dyDescent="0.25">
      <c r="B175" t="s">
        <v>5</v>
      </c>
    </row>
    <row r="176" spans="1:2" x14ac:dyDescent="0.25">
      <c r="B176" t="s">
        <v>6</v>
      </c>
    </row>
    <row r="178" spans="1:2" x14ac:dyDescent="0.25">
      <c r="A178">
        <v>23</v>
      </c>
      <c r="B178" s="4" t="s">
        <v>30</v>
      </c>
    </row>
    <row r="179" spans="1:2" x14ac:dyDescent="0.25">
      <c r="B179" t="s">
        <v>5</v>
      </c>
    </row>
    <row r="180" spans="1:2" x14ac:dyDescent="0.25">
      <c r="B180" t="s">
        <v>303</v>
      </c>
    </row>
    <row r="181" spans="1:2" x14ac:dyDescent="0.25">
      <c r="B181" t="s">
        <v>3</v>
      </c>
    </row>
    <row r="182" spans="1:2" x14ac:dyDescent="0.25">
      <c r="B182" t="s">
        <v>298</v>
      </c>
    </row>
    <row r="183" spans="1:2" x14ac:dyDescent="0.25">
      <c r="B183" t="s">
        <v>299</v>
      </c>
    </row>
    <row r="184" spans="1:2" x14ac:dyDescent="0.25">
      <c r="B184" t="s">
        <v>6</v>
      </c>
    </row>
    <row r="186" spans="1:2" x14ac:dyDescent="0.25">
      <c r="A186">
        <v>24</v>
      </c>
      <c r="B186" s="58" t="s">
        <v>314</v>
      </c>
    </row>
    <row r="187" spans="1:2" x14ac:dyDescent="0.25">
      <c r="B187" t="s">
        <v>6</v>
      </c>
    </row>
    <row r="188" spans="1:2" x14ac:dyDescent="0.25">
      <c r="B188" t="s">
        <v>303</v>
      </c>
    </row>
    <row r="189" spans="1:2" x14ac:dyDescent="0.25">
      <c r="B189" t="s">
        <v>3</v>
      </c>
    </row>
    <row r="190" spans="1:2" x14ac:dyDescent="0.25">
      <c r="B190" t="s">
        <v>298</v>
      </c>
    </row>
    <row r="191" spans="1:2" x14ac:dyDescent="0.25">
      <c r="B191" t="s">
        <v>299</v>
      </c>
    </row>
    <row r="192" spans="1:2" x14ac:dyDescent="0.25">
      <c r="B192"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2:W5"/>
  <sheetViews>
    <sheetView workbookViewId="0">
      <pane ySplit="3" topLeftCell="A4" activePane="bottomLeft" state="frozen"/>
      <selection pane="bottomLeft" activeCell="G12" sqref="G12"/>
    </sheetView>
  </sheetViews>
  <sheetFormatPr defaultRowHeight="15" x14ac:dyDescent="0.25"/>
  <cols>
    <col min="1" max="1" width="19.7109375" customWidth="1"/>
    <col min="2" max="2" width="25.7109375" bestFit="1" customWidth="1"/>
    <col min="3" max="6" width="0" hidden="1" customWidth="1"/>
    <col min="7" max="7" width="14.85546875" bestFit="1" customWidth="1"/>
    <col min="8" max="8" width="31.28515625" bestFit="1" customWidth="1"/>
    <col min="9" max="9" width="23" bestFit="1" customWidth="1"/>
    <col min="10" max="10" width="10.42578125" bestFit="1" customWidth="1"/>
    <col min="11" max="11" width="26.7109375" customWidth="1"/>
    <col min="12" max="12" width="8.42578125" bestFit="1" customWidth="1"/>
    <col min="13" max="13" width="19.28515625" customWidth="1"/>
    <col min="14" max="14" width="7.7109375" bestFit="1" customWidth="1"/>
    <col min="16" max="16" width="5.28515625" bestFit="1" customWidth="1"/>
    <col min="17" max="17" width="9" bestFit="1" customWidth="1"/>
  </cols>
  <sheetData>
    <row r="2" spans="1:23" x14ac:dyDescent="0.25">
      <c r="L2" s="161" t="s">
        <v>497</v>
      </c>
      <c r="M2" s="162"/>
      <c r="N2" s="162"/>
      <c r="O2" s="162"/>
      <c r="P2" s="162"/>
      <c r="Q2" s="162"/>
      <c r="R2" s="163" t="s">
        <v>498</v>
      </c>
      <c r="S2" s="163"/>
      <c r="T2" s="163"/>
      <c r="U2" s="163"/>
      <c r="V2" s="163"/>
      <c r="W2" s="163"/>
    </row>
    <row r="3" spans="1:23" s="19" customFormat="1" x14ac:dyDescent="0.25">
      <c r="A3" s="17" t="s">
        <v>99</v>
      </c>
      <c r="B3" s="17" t="s">
        <v>100</v>
      </c>
      <c r="C3" s="17" t="s">
        <v>74</v>
      </c>
      <c r="D3" s="144" t="s">
        <v>101</v>
      </c>
      <c r="E3" s="144" t="s">
        <v>102</v>
      </c>
      <c r="F3" s="144" t="s">
        <v>84</v>
      </c>
      <c r="G3" s="144" t="s">
        <v>436</v>
      </c>
      <c r="H3" s="18" t="s">
        <v>103</v>
      </c>
      <c r="I3" s="17" t="s">
        <v>85</v>
      </c>
      <c r="J3" s="17" t="s">
        <v>104</v>
      </c>
      <c r="K3" s="17" t="s">
        <v>105</v>
      </c>
      <c r="L3" s="18" t="s">
        <v>87</v>
      </c>
      <c r="M3" s="18" t="s">
        <v>73</v>
      </c>
      <c r="N3" s="17" t="s">
        <v>74</v>
      </c>
      <c r="O3" s="18" t="s">
        <v>435</v>
      </c>
      <c r="P3" s="18" t="s">
        <v>422</v>
      </c>
      <c r="Q3" s="17" t="s">
        <v>423</v>
      </c>
      <c r="R3" s="18" t="s">
        <v>87</v>
      </c>
      <c r="S3" s="18" t="s">
        <v>73</v>
      </c>
      <c r="T3" s="17" t="s">
        <v>74</v>
      </c>
      <c r="U3" s="18" t="s">
        <v>435</v>
      </c>
      <c r="V3" s="18" t="s">
        <v>422</v>
      </c>
      <c r="W3" s="17" t="s">
        <v>423</v>
      </c>
    </row>
    <row r="4" spans="1:23" ht="83.65" customHeight="1" x14ac:dyDescent="0.25">
      <c r="A4" s="39" t="s">
        <v>106</v>
      </c>
      <c r="B4" s="39" t="s">
        <v>107</v>
      </c>
      <c r="C4" s="39"/>
      <c r="D4" s="39" t="s">
        <v>108</v>
      </c>
      <c r="E4" s="39" t="s">
        <v>109</v>
      </c>
      <c r="F4" s="39" t="s">
        <v>110</v>
      </c>
      <c r="G4" s="39" t="s">
        <v>111</v>
      </c>
      <c r="H4" s="39" t="s">
        <v>95</v>
      </c>
      <c r="I4" s="92" t="s">
        <v>96</v>
      </c>
      <c r="J4" s="92" t="s">
        <v>394</v>
      </c>
      <c r="K4" s="92" t="s">
        <v>97</v>
      </c>
      <c r="L4" s="92" t="s">
        <v>75</v>
      </c>
      <c r="M4" s="92" t="s">
        <v>98</v>
      </c>
      <c r="N4" s="92" t="s">
        <v>522</v>
      </c>
      <c r="O4" s="39" t="s">
        <v>394</v>
      </c>
      <c r="P4" s="39" t="s">
        <v>394</v>
      </c>
      <c r="Q4" s="39" t="s">
        <v>394</v>
      </c>
      <c r="R4" s="92" t="s">
        <v>75</v>
      </c>
      <c r="S4" s="92" t="s">
        <v>98</v>
      </c>
      <c r="T4" s="36" t="s">
        <v>523</v>
      </c>
      <c r="U4" s="39" t="s">
        <v>394</v>
      </c>
      <c r="V4" s="39" t="s">
        <v>394</v>
      </c>
      <c r="W4" s="39" t="s">
        <v>394</v>
      </c>
    </row>
    <row r="5" spans="1:23" x14ac:dyDescent="0.25">
      <c r="G5" t="s">
        <v>437</v>
      </c>
      <c r="I5" s="2"/>
      <c r="J5" s="2"/>
      <c r="K5" s="2"/>
      <c r="L5" s="2"/>
      <c r="M5" s="2"/>
    </row>
  </sheetData>
  <mergeCells count="2">
    <mergeCell ref="L2:Q2"/>
    <mergeCell ref="R2:W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topLeftCell="B1" workbookViewId="0">
      <selection activeCell="D13" sqref="D13"/>
    </sheetView>
  </sheetViews>
  <sheetFormatPr defaultRowHeight="15" x14ac:dyDescent="0.25"/>
  <cols>
    <col min="1" max="1" width="54.140625" customWidth="1"/>
    <col min="2" max="2" width="85.7109375" customWidth="1"/>
    <col min="3" max="4" width="71.28515625" customWidth="1"/>
  </cols>
  <sheetData>
    <row r="1" spans="1:13" x14ac:dyDescent="0.25">
      <c r="A1" s="151" t="s">
        <v>436</v>
      </c>
      <c r="B1" s="152" t="s">
        <v>567</v>
      </c>
      <c r="C1" s="152" t="s">
        <v>568</v>
      </c>
      <c r="D1" s="152" t="s">
        <v>569</v>
      </c>
      <c r="E1" s="36"/>
      <c r="F1" s="36"/>
      <c r="G1" s="36"/>
      <c r="H1" s="36"/>
      <c r="I1" s="36"/>
      <c r="J1" s="36"/>
      <c r="K1" s="36"/>
      <c r="L1" s="36"/>
      <c r="M1" s="36"/>
    </row>
    <row r="2" spans="1:13" x14ac:dyDescent="0.25">
      <c r="A2" s="153" t="s">
        <v>570</v>
      </c>
      <c r="B2" s="154" t="s">
        <v>571</v>
      </c>
      <c r="C2" s="154" t="s">
        <v>572</v>
      </c>
      <c r="D2" s="154" t="s">
        <v>616</v>
      </c>
      <c r="E2" s="36"/>
      <c r="F2" s="36"/>
      <c r="G2" s="36"/>
      <c r="H2" s="36"/>
      <c r="I2" s="36"/>
      <c r="J2" s="36"/>
      <c r="K2" s="36"/>
      <c r="L2" s="36"/>
      <c r="M2" s="36"/>
    </row>
    <row r="3" spans="1:13" x14ac:dyDescent="0.25">
      <c r="A3" s="153" t="s">
        <v>573</v>
      </c>
      <c r="B3" s="154" t="s">
        <v>574</v>
      </c>
      <c r="C3" s="154" t="s">
        <v>575</v>
      </c>
      <c r="D3" s="154" t="s">
        <v>617</v>
      </c>
      <c r="E3" s="36"/>
      <c r="F3" s="36"/>
      <c r="G3" s="36"/>
      <c r="H3" s="36"/>
      <c r="I3" s="36"/>
      <c r="J3" s="36"/>
      <c r="K3" s="36"/>
      <c r="L3" s="36"/>
      <c r="M3" s="36"/>
    </row>
    <row r="4" spans="1:13" x14ac:dyDescent="0.25">
      <c r="A4" s="153" t="s">
        <v>576</v>
      </c>
      <c r="B4" s="154" t="s">
        <v>577</v>
      </c>
      <c r="C4" s="154" t="s">
        <v>578</v>
      </c>
      <c r="D4" s="154" t="s">
        <v>618</v>
      </c>
      <c r="E4" s="36"/>
      <c r="F4" s="36"/>
      <c r="G4" s="36"/>
      <c r="H4" s="36"/>
      <c r="I4" s="36"/>
      <c r="J4" s="36"/>
      <c r="K4" s="36"/>
      <c r="L4" s="36"/>
      <c r="M4" s="36"/>
    </row>
    <row r="5" spans="1:13" x14ac:dyDescent="0.25">
      <c r="A5" s="153" t="s">
        <v>579</v>
      </c>
      <c r="B5" s="154" t="s">
        <v>580</v>
      </c>
      <c r="C5" s="154" t="s">
        <v>581</v>
      </c>
      <c r="D5" s="154" t="s">
        <v>619</v>
      </c>
      <c r="E5" s="36"/>
      <c r="F5" s="36"/>
      <c r="G5" s="36"/>
      <c r="H5" s="36"/>
      <c r="I5" s="36"/>
      <c r="J5" s="36"/>
      <c r="K5" s="36"/>
      <c r="L5" s="36"/>
      <c r="M5" s="36"/>
    </row>
    <row r="6" spans="1:13" x14ac:dyDescent="0.25">
      <c r="A6" s="153" t="s">
        <v>582</v>
      </c>
      <c r="B6" s="154"/>
      <c r="C6" s="154" t="s">
        <v>583</v>
      </c>
      <c r="D6" s="154"/>
      <c r="E6" s="36"/>
      <c r="F6" s="36"/>
      <c r="G6" s="36"/>
      <c r="H6" s="36"/>
      <c r="I6" s="36"/>
      <c r="J6" s="36"/>
      <c r="K6" s="36"/>
      <c r="L6" s="36"/>
      <c r="M6" s="36"/>
    </row>
    <row r="7" spans="1:13" x14ac:dyDescent="0.25">
      <c r="A7" s="153" t="s">
        <v>584</v>
      </c>
      <c r="B7" s="154"/>
      <c r="C7" s="154" t="s">
        <v>585</v>
      </c>
      <c r="D7" s="154"/>
      <c r="E7" s="36"/>
      <c r="F7" s="36"/>
      <c r="G7" s="36"/>
      <c r="H7" s="36"/>
      <c r="I7" s="36"/>
      <c r="J7" s="36"/>
      <c r="K7" s="36"/>
      <c r="L7" s="36"/>
      <c r="M7" s="36"/>
    </row>
    <row r="8" spans="1:13" x14ac:dyDescent="0.25">
      <c r="A8" s="153"/>
      <c r="B8" s="154"/>
      <c r="C8" s="155" t="s">
        <v>586</v>
      </c>
      <c r="D8" s="36"/>
      <c r="E8" s="36"/>
      <c r="F8" s="36"/>
      <c r="G8" s="36"/>
      <c r="H8" s="36"/>
      <c r="I8" s="36"/>
      <c r="J8" s="36"/>
      <c r="K8" s="36"/>
      <c r="L8" s="36"/>
      <c r="M8" s="36"/>
    </row>
    <row r="9" spans="1:13" x14ac:dyDescent="0.25">
      <c r="A9" s="153"/>
      <c r="B9" s="154"/>
      <c r="C9" s="155" t="s">
        <v>587</v>
      </c>
      <c r="D9" s="36"/>
      <c r="E9" s="36"/>
      <c r="F9" s="36"/>
      <c r="G9" s="36"/>
      <c r="H9" s="36"/>
      <c r="I9" s="36"/>
      <c r="J9" s="36"/>
      <c r="K9" s="36"/>
      <c r="L9" s="36"/>
      <c r="M9" s="36"/>
    </row>
    <row r="10" spans="1:13" x14ac:dyDescent="0.25">
      <c r="A10" s="153"/>
      <c r="B10" s="154"/>
      <c r="C10" s="36"/>
      <c r="D10" s="36"/>
      <c r="E10" s="36"/>
      <c r="F10" s="36"/>
      <c r="G10" s="36"/>
      <c r="H10" s="36"/>
      <c r="I10" s="36"/>
      <c r="J10" s="36"/>
      <c r="K10" s="36"/>
      <c r="L10" s="36"/>
      <c r="M10" s="36"/>
    </row>
    <row r="11" spans="1:13" x14ac:dyDescent="0.25">
      <c r="A11" s="153"/>
      <c r="B11" s="154" t="s">
        <v>588</v>
      </c>
      <c r="C11" s="36"/>
      <c r="D11" s="36"/>
      <c r="E11" s="36"/>
      <c r="F11" s="36"/>
      <c r="G11" s="36"/>
      <c r="H11" s="36"/>
      <c r="I11" s="36"/>
      <c r="J11" s="36"/>
      <c r="K11" s="36"/>
      <c r="L11" s="36"/>
      <c r="M11" s="36"/>
    </row>
    <row r="12" spans="1:13" x14ac:dyDescent="0.25">
      <c r="A12" s="153"/>
      <c r="B12" s="154"/>
      <c r="C12" s="36"/>
      <c r="D12" s="36"/>
      <c r="E12" s="36"/>
      <c r="F12" s="36"/>
      <c r="G12" s="36"/>
      <c r="H12" s="36"/>
      <c r="I12" s="36"/>
      <c r="J12" s="36"/>
      <c r="K12" s="36"/>
      <c r="L12" s="36"/>
      <c r="M12" s="36"/>
    </row>
    <row r="13" spans="1:13" x14ac:dyDescent="0.25">
      <c r="A13" s="153"/>
      <c r="B13" s="154"/>
      <c r="C13" s="36"/>
      <c r="D13" s="36"/>
      <c r="E13" s="36"/>
      <c r="F13" s="36"/>
      <c r="G13" s="36"/>
      <c r="H13" s="36"/>
      <c r="I13" s="36"/>
      <c r="J13" s="36"/>
      <c r="K13" s="36"/>
      <c r="L13" s="36"/>
      <c r="M13" s="36"/>
    </row>
    <row r="14" spans="1:13" x14ac:dyDescent="0.25">
      <c r="A14" s="153"/>
      <c r="B14" s="154"/>
      <c r="C14" s="36"/>
      <c r="D14" s="36"/>
      <c r="E14" s="36"/>
      <c r="F14" s="36"/>
      <c r="G14" s="36"/>
      <c r="H14" s="36"/>
      <c r="I14" s="36"/>
      <c r="J14" s="36"/>
      <c r="K14" s="36"/>
      <c r="L14" s="36"/>
      <c r="M14" s="36"/>
    </row>
    <row r="15" spans="1:13" x14ac:dyDescent="0.25">
      <c r="A15" s="36"/>
      <c r="B15" s="153"/>
      <c r="C15" s="36"/>
      <c r="D15" s="36"/>
      <c r="E15" s="36"/>
      <c r="F15" s="36"/>
      <c r="G15" s="36"/>
      <c r="H15" s="36"/>
      <c r="I15" s="36"/>
      <c r="J15" s="36"/>
      <c r="K15" s="36"/>
      <c r="L15" s="36"/>
      <c r="M15" s="36"/>
    </row>
    <row r="16" spans="1:13" x14ac:dyDescent="0.25">
      <c r="A16" s="36"/>
      <c r="B16" s="153"/>
      <c r="C16" s="36"/>
      <c r="D16" s="36"/>
      <c r="E16" s="36"/>
      <c r="F16" s="36"/>
      <c r="G16" s="36"/>
      <c r="H16" s="36"/>
      <c r="I16" s="36"/>
      <c r="J16" s="36"/>
      <c r="K16" s="36"/>
      <c r="L16" s="36"/>
      <c r="M16" s="36"/>
    </row>
    <row r="17" spans="1:13" x14ac:dyDescent="0.25">
      <c r="A17" s="36"/>
      <c r="B17" s="153"/>
      <c r="C17" s="36"/>
      <c r="D17" s="36"/>
      <c r="E17" s="36"/>
      <c r="F17" s="36"/>
      <c r="G17" s="36"/>
      <c r="H17" s="36"/>
      <c r="I17" s="36"/>
      <c r="J17" s="36"/>
      <c r="K17" s="36"/>
      <c r="L17" s="36"/>
      <c r="M17" s="36"/>
    </row>
    <row r="18" spans="1:13" x14ac:dyDescent="0.25">
      <c r="B18" s="156"/>
    </row>
    <row r="19" spans="1:13" x14ac:dyDescent="0.25">
      <c r="B19" s="156"/>
    </row>
    <row r="21" spans="1:13" x14ac:dyDescent="0.25">
      <c r="A21" s="2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25" sqref="B25"/>
    </sheetView>
  </sheetViews>
  <sheetFormatPr defaultRowHeight="15" x14ac:dyDescent="0.25"/>
  <cols>
    <col min="1" max="1" width="54.140625" customWidth="1"/>
    <col min="2" max="2" width="85.7109375" customWidth="1"/>
    <col min="3" max="3" width="71.28515625" customWidth="1"/>
  </cols>
  <sheetData>
    <row r="1" spans="1:13" x14ac:dyDescent="0.25">
      <c r="A1" s="151" t="s">
        <v>436</v>
      </c>
      <c r="B1" s="152" t="s">
        <v>589</v>
      </c>
      <c r="C1" s="36"/>
      <c r="D1" s="36"/>
      <c r="E1" s="36"/>
      <c r="F1" s="36"/>
      <c r="G1" s="36"/>
      <c r="H1" s="36"/>
      <c r="I1" s="36"/>
      <c r="J1" s="36"/>
      <c r="K1" s="36"/>
      <c r="L1" s="36"/>
      <c r="M1" s="36"/>
    </row>
    <row r="2" spans="1:13" x14ac:dyDescent="0.25">
      <c r="A2" s="153" t="s">
        <v>590</v>
      </c>
      <c r="B2" s="154" t="s">
        <v>591</v>
      </c>
      <c r="C2" s="154"/>
      <c r="D2" s="36"/>
      <c r="E2" s="36"/>
      <c r="F2" s="36"/>
      <c r="G2" s="36"/>
      <c r="H2" s="36"/>
      <c r="I2" s="36"/>
      <c r="J2" s="36"/>
      <c r="K2" s="36"/>
      <c r="L2" s="36"/>
      <c r="M2" s="36"/>
    </row>
    <row r="3" spans="1:13" x14ac:dyDescent="0.25">
      <c r="A3" s="153" t="s">
        <v>592</v>
      </c>
      <c r="B3" s="154" t="s">
        <v>593</v>
      </c>
      <c r="C3" s="36"/>
      <c r="D3" s="36"/>
      <c r="E3" s="36"/>
      <c r="F3" s="36"/>
      <c r="G3" s="36"/>
      <c r="H3" s="36"/>
      <c r="I3" s="36"/>
      <c r="J3" s="36"/>
      <c r="K3" s="36"/>
      <c r="L3" s="36"/>
      <c r="M3" s="36"/>
    </row>
    <row r="4" spans="1:13" x14ac:dyDescent="0.25">
      <c r="A4" s="153" t="s">
        <v>594</v>
      </c>
      <c r="B4" s="154" t="s">
        <v>595</v>
      </c>
      <c r="C4" s="36"/>
      <c r="D4" s="36"/>
      <c r="E4" s="36"/>
      <c r="F4" s="36"/>
      <c r="G4" s="36"/>
      <c r="H4" s="36"/>
      <c r="I4" s="36"/>
      <c r="J4" s="36"/>
      <c r="K4" s="36"/>
      <c r="L4" s="36"/>
      <c r="M4" s="36"/>
    </row>
    <row r="5" spans="1:13" x14ac:dyDescent="0.25">
      <c r="A5" s="153" t="s">
        <v>596</v>
      </c>
      <c r="B5" s="154" t="s">
        <v>597</v>
      </c>
      <c r="C5" s="36"/>
      <c r="D5" s="36"/>
      <c r="E5" s="36"/>
      <c r="F5" s="36"/>
      <c r="G5" s="36"/>
      <c r="H5" s="36"/>
      <c r="I5" s="36"/>
      <c r="J5" s="36"/>
      <c r="K5" s="36"/>
      <c r="L5" s="36"/>
      <c r="M5" s="36"/>
    </row>
    <row r="6" spans="1:13" x14ac:dyDescent="0.25">
      <c r="A6" s="153" t="s">
        <v>598</v>
      </c>
      <c r="B6" s="154" t="s">
        <v>599</v>
      </c>
      <c r="C6" s="157"/>
      <c r="D6" s="36"/>
      <c r="E6" s="36"/>
      <c r="F6" s="36"/>
      <c r="G6" s="36"/>
      <c r="H6" s="36"/>
      <c r="I6" s="36"/>
      <c r="J6" s="36"/>
      <c r="K6" s="36"/>
      <c r="L6" s="36"/>
      <c r="M6" s="36"/>
    </row>
    <row r="7" spans="1:13" x14ac:dyDescent="0.25">
      <c r="A7" s="153" t="s">
        <v>600</v>
      </c>
      <c r="B7" s="154" t="s">
        <v>601</v>
      </c>
      <c r="C7" s="36"/>
      <c r="D7" s="36"/>
      <c r="E7" s="36"/>
      <c r="F7" s="36"/>
      <c r="G7" s="36"/>
      <c r="H7" s="36"/>
      <c r="I7" s="36"/>
      <c r="J7" s="36"/>
      <c r="K7" s="36"/>
      <c r="L7" s="36"/>
      <c r="M7" s="36"/>
    </row>
    <row r="8" spans="1:13" x14ac:dyDescent="0.25">
      <c r="A8" s="153" t="s">
        <v>602</v>
      </c>
      <c r="B8" s="154" t="s">
        <v>603</v>
      </c>
      <c r="C8" s="36"/>
      <c r="D8" s="36"/>
      <c r="E8" s="36"/>
      <c r="F8" s="36"/>
      <c r="G8" s="36"/>
      <c r="H8" s="36"/>
      <c r="I8" s="36"/>
      <c r="J8" s="36"/>
      <c r="K8" s="36"/>
      <c r="L8" s="36"/>
      <c r="M8" s="36"/>
    </row>
    <row r="9" spans="1:13" x14ac:dyDescent="0.25">
      <c r="A9" s="153" t="s">
        <v>604</v>
      </c>
      <c r="B9" s="154" t="s">
        <v>605</v>
      </c>
      <c r="C9" s="36"/>
      <c r="D9" s="36"/>
      <c r="E9" s="36"/>
      <c r="F9" s="36"/>
      <c r="G9" s="36"/>
      <c r="H9" s="36"/>
      <c r="I9" s="36"/>
      <c r="J9" s="36"/>
      <c r="K9" s="36"/>
      <c r="L9" s="36"/>
      <c r="M9" s="36"/>
    </row>
    <row r="10" spans="1:13" x14ac:dyDescent="0.25">
      <c r="A10" s="153" t="s">
        <v>606</v>
      </c>
      <c r="B10" s="154" t="s">
        <v>107</v>
      </c>
      <c r="C10" s="36"/>
      <c r="D10" s="36"/>
      <c r="E10" s="36"/>
      <c r="F10" s="36"/>
      <c r="G10" s="36"/>
      <c r="H10" s="36"/>
      <c r="I10" s="36"/>
      <c r="J10" s="36"/>
      <c r="K10" s="36"/>
      <c r="L10" s="36"/>
      <c r="M10" s="36"/>
    </row>
    <row r="11" spans="1:13" x14ac:dyDescent="0.25">
      <c r="A11" s="153" t="s">
        <v>607</v>
      </c>
      <c r="B11" s="154" t="s">
        <v>608</v>
      </c>
      <c r="C11" s="36"/>
      <c r="D11" s="36"/>
      <c r="E11" s="36"/>
      <c r="F11" s="36"/>
      <c r="G11" s="36"/>
      <c r="H11" s="36"/>
      <c r="I11" s="36"/>
      <c r="J11" s="36"/>
      <c r="K11" s="36"/>
      <c r="L11" s="36"/>
      <c r="M11" s="36"/>
    </row>
    <row r="12" spans="1:13" x14ac:dyDescent="0.25">
      <c r="A12" s="153" t="s">
        <v>609</v>
      </c>
      <c r="B12" s="154" t="s">
        <v>610</v>
      </c>
      <c r="C12" s="36"/>
      <c r="D12" s="36"/>
      <c r="E12" s="36"/>
      <c r="F12" s="36"/>
      <c r="G12" s="36"/>
      <c r="H12" s="36"/>
      <c r="I12" s="36"/>
      <c r="J12" s="36"/>
      <c r="K12" s="36"/>
      <c r="L12" s="36"/>
      <c r="M12" s="36"/>
    </row>
    <row r="13" spans="1:13" x14ac:dyDescent="0.25">
      <c r="A13" s="153" t="s">
        <v>611</v>
      </c>
      <c r="B13" s="154" t="s">
        <v>612</v>
      </c>
      <c r="C13" s="36"/>
      <c r="D13" s="36"/>
      <c r="E13" s="36"/>
      <c r="F13" s="36"/>
      <c r="G13" s="36"/>
      <c r="H13" s="36"/>
      <c r="I13" s="36"/>
      <c r="J13" s="36"/>
      <c r="K13" s="36"/>
      <c r="L13" s="36"/>
      <c r="M13" s="36"/>
    </row>
    <row r="14" spans="1:13" x14ac:dyDescent="0.25">
      <c r="A14" s="153" t="s">
        <v>613</v>
      </c>
      <c r="B14" s="154" t="s">
        <v>614</v>
      </c>
      <c r="C14" s="36"/>
      <c r="D14" s="36"/>
      <c r="E14" s="36"/>
      <c r="F14" s="36"/>
      <c r="G14" s="36"/>
      <c r="H14" s="36"/>
      <c r="I14" s="36"/>
      <c r="J14" s="36"/>
      <c r="K14" s="36"/>
      <c r="L14" s="36"/>
      <c r="M14" s="36"/>
    </row>
    <row r="15" spans="1:13" x14ac:dyDescent="0.25">
      <c r="A15" s="36"/>
      <c r="B15" s="153"/>
      <c r="C15" s="36"/>
      <c r="D15" s="36"/>
      <c r="E15" s="36"/>
      <c r="F15" s="36"/>
      <c r="G15" s="36"/>
      <c r="H15" s="36"/>
      <c r="I15" s="36"/>
      <c r="J15" s="36"/>
      <c r="K15" s="36"/>
      <c r="L15" s="36"/>
      <c r="M15" s="36"/>
    </row>
    <row r="16" spans="1:13" x14ac:dyDescent="0.25">
      <c r="A16" s="36"/>
      <c r="B16" s="153"/>
      <c r="C16" s="36"/>
      <c r="D16" s="36"/>
      <c r="E16" s="36"/>
      <c r="F16" s="36"/>
      <c r="G16" s="36"/>
      <c r="H16" s="36"/>
      <c r="I16" s="36"/>
      <c r="J16" s="36"/>
      <c r="K16" s="36"/>
      <c r="L16" s="36"/>
      <c r="M16" s="36"/>
    </row>
    <row r="17" spans="1:13" x14ac:dyDescent="0.25">
      <c r="A17" s="36"/>
      <c r="B17" s="153"/>
      <c r="C17" s="36"/>
      <c r="D17" s="36"/>
      <c r="E17" s="36"/>
      <c r="F17" s="36"/>
      <c r="G17" s="36"/>
      <c r="H17" s="36"/>
      <c r="I17" s="36"/>
      <c r="J17" s="36"/>
      <c r="K17" s="36"/>
      <c r="L17" s="36"/>
      <c r="M17" s="36"/>
    </row>
    <row r="18" spans="1:13" x14ac:dyDescent="0.25">
      <c r="B18" s="156"/>
    </row>
    <row r="19" spans="1:13" x14ac:dyDescent="0.25">
      <c r="B19" s="156"/>
    </row>
    <row r="21" spans="1:13" x14ac:dyDescent="0.25">
      <c r="A21" s="2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workbookViewId="0">
      <selection activeCell="R13" sqref="R13"/>
    </sheetView>
  </sheetViews>
  <sheetFormatPr defaultColWidth="9" defaultRowHeight="15" x14ac:dyDescent="0.25"/>
  <cols>
    <col min="1" max="1" width="17.7109375" style="7" customWidth="1"/>
    <col min="2" max="2" width="24.42578125" style="7" customWidth="1"/>
    <col min="3" max="3" width="21.85546875" style="7" customWidth="1"/>
    <col min="4" max="4" width="19.140625" style="7" customWidth="1"/>
    <col min="5" max="5" width="20.7109375" style="7" bestFit="1" customWidth="1"/>
    <col min="6" max="6" width="18.42578125" style="7" bestFit="1" customWidth="1"/>
    <col min="7" max="7" width="8.7109375" style="7" bestFit="1" customWidth="1"/>
    <col min="8" max="8" width="8.85546875" style="7" bestFit="1" customWidth="1"/>
    <col min="9" max="9" width="7.85546875" style="7" bestFit="1" customWidth="1"/>
    <col min="10" max="10" width="8" style="7" bestFit="1" customWidth="1"/>
    <col min="11" max="11" width="13.85546875" style="7" customWidth="1"/>
    <col min="12" max="12" width="17.28515625" style="7" bestFit="1" customWidth="1"/>
    <col min="13" max="13" width="39.85546875" style="7" customWidth="1"/>
    <col min="14" max="14" width="39" style="7" customWidth="1"/>
    <col min="15" max="15" width="31.42578125" style="7" customWidth="1"/>
    <col min="16" max="16" width="15.85546875" style="7" bestFit="1" customWidth="1"/>
    <col min="17" max="17" width="24.7109375" style="7" customWidth="1"/>
    <col min="18" max="20" width="15.7109375" style="7" customWidth="1"/>
    <col min="21" max="16384" width="9" style="7"/>
  </cols>
  <sheetData>
    <row r="1" spans="1:20" ht="30" x14ac:dyDescent="0.25">
      <c r="A1" s="51" t="s">
        <v>243</v>
      </c>
      <c r="B1" s="50" t="s">
        <v>244</v>
      </c>
    </row>
    <row r="2" spans="1:20" ht="15.75" thickBot="1" x14ac:dyDescent="0.3"/>
    <row r="3" spans="1:20" ht="30.75" thickBot="1" x14ac:dyDescent="0.3">
      <c r="A3" s="52" t="s">
        <v>176</v>
      </c>
      <c r="B3" s="53" t="s">
        <v>177</v>
      </c>
      <c r="C3" s="53" t="s">
        <v>178</v>
      </c>
      <c r="D3" s="53" t="s">
        <v>179</v>
      </c>
      <c r="E3" s="53" t="s">
        <v>180</v>
      </c>
      <c r="F3" s="54" t="s">
        <v>181</v>
      </c>
      <c r="G3" s="49" t="s">
        <v>31</v>
      </c>
      <c r="H3" s="49" t="s">
        <v>354</v>
      </c>
      <c r="I3" s="49" t="s">
        <v>32</v>
      </c>
      <c r="J3" s="49" t="s">
        <v>355</v>
      </c>
      <c r="K3" s="59" t="s">
        <v>246</v>
      </c>
      <c r="L3" s="59" t="s">
        <v>182</v>
      </c>
      <c r="M3" s="60" t="s">
        <v>183</v>
      </c>
      <c r="N3" s="60" t="s">
        <v>297</v>
      </c>
      <c r="O3" s="60" t="s">
        <v>184</v>
      </c>
      <c r="P3" s="60" t="s">
        <v>185</v>
      </c>
      <c r="Q3" s="60" t="s">
        <v>186</v>
      </c>
      <c r="R3" s="60" t="s">
        <v>294</v>
      </c>
      <c r="S3" s="60" t="s">
        <v>295</v>
      </c>
      <c r="T3" s="60" t="s">
        <v>296</v>
      </c>
    </row>
    <row r="4" spans="1:20" ht="45" x14ac:dyDescent="0.25">
      <c r="A4" s="7" t="s">
        <v>384</v>
      </c>
      <c r="B4" s="7" t="s">
        <v>384</v>
      </c>
      <c r="C4" s="7" t="s">
        <v>237</v>
      </c>
      <c r="D4" s="7" t="s">
        <v>237</v>
      </c>
      <c r="E4" s="7" t="s">
        <v>384</v>
      </c>
      <c r="G4" s="82">
        <v>44165</v>
      </c>
      <c r="H4" s="7" t="s">
        <v>543</v>
      </c>
      <c r="I4" s="82">
        <v>44165</v>
      </c>
      <c r="J4" s="7" t="s">
        <v>390</v>
      </c>
      <c r="K4" s="50" t="s">
        <v>258</v>
      </c>
      <c r="L4" s="7" t="s">
        <v>564</v>
      </c>
      <c r="M4" s="7" t="s">
        <v>541</v>
      </c>
      <c r="N4" s="7" t="s">
        <v>542</v>
      </c>
      <c r="O4" s="7" t="s">
        <v>395</v>
      </c>
      <c r="P4" s="7" t="s">
        <v>394</v>
      </c>
      <c r="Q4" s="7" t="s">
        <v>107</v>
      </c>
      <c r="R4" s="91"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S4" s="7" t="s">
        <v>394</v>
      </c>
      <c r="T4" s="7" t="s">
        <v>394</v>
      </c>
    </row>
    <row r="5" spans="1:20" ht="45" x14ac:dyDescent="0.25">
      <c r="A5" s="7" t="s">
        <v>384</v>
      </c>
      <c r="B5" s="7" t="s">
        <v>384</v>
      </c>
      <c r="C5" s="7" t="s">
        <v>237</v>
      </c>
      <c r="D5" s="7" t="s">
        <v>237</v>
      </c>
      <c r="E5" s="7" t="s">
        <v>384</v>
      </c>
      <c r="G5" s="82">
        <v>44166</v>
      </c>
      <c r="H5" s="7" t="s">
        <v>391</v>
      </c>
      <c r="I5" s="82">
        <v>44168</v>
      </c>
      <c r="J5" s="7" t="s">
        <v>390</v>
      </c>
      <c r="K5" s="50" t="s">
        <v>258</v>
      </c>
      <c r="L5" s="7" t="s">
        <v>565</v>
      </c>
      <c r="M5" s="7" t="s">
        <v>545</v>
      </c>
      <c r="N5" s="7" t="s">
        <v>542</v>
      </c>
      <c r="O5" s="7" t="s">
        <v>395</v>
      </c>
      <c r="P5" s="7" t="s">
        <v>394</v>
      </c>
      <c r="Q5" s="7" t="s">
        <v>107</v>
      </c>
      <c r="R5" s="91"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S5" s="7" t="s">
        <v>394</v>
      </c>
      <c r="T5" s="7" t="s">
        <v>394</v>
      </c>
    </row>
    <row r="6" spans="1:20" ht="45" x14ac:dyDescent="0.25">
      <c r="A6" s="7" t="s">
        <v>384</v>
      </c>
      <c r="B6" s="7" t="s">
        <v>384</v>
      </c>
      <c r="C6" s="7" t="s">
        <v>237</v>
      </c>
      <c r="D6" s="7" t="s">
        <v>237</v>
      </c>
      <c r="E6" s="7" t="s">
        <v>384</v>
      </c>
      <c r="G6" s="82">
        <v>44169</v>
      </c>
      <c r="H6" s="7" t="s">
        <v>391</v>
      </c>
      <c r="I6" s="82">
        <v>44171</v>
      </c>
      <c r="J6" s="7" t="s">
        <v>544</v>
      </c>
      <c r="K6" s="50" t="s">
        <v>258</v>
      </c>
      <c r="L6" s="7" t="s">
        <v>566</v>
      </c>
      <c r="M6" s="7" t="s">
        <v>546</v>
      </c>
      <c r="N6" s="7" t="s">
        <v>542</v>
      </c>
      <c r="O6" s="7" t="s">
        <v>394</v>
      </c>
      <c r="P6" s="7" t="s">
        <v>394</v>
      </c>
      <c r="Q6" s="7" t="s">
        <v>107</v>
      </c>
      <c r="R6" s="91"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S6" s="7" t="s">
        <v>394</v>
      </c>
      <c r="T6" s="7" t="s">
        <v>394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P29"/>
  <sheetViews>
    <sheetView zoomScale="85" zoomScaleNormal="85" workbookViewId="0">
      <pane ySplit="3" topLeftCell="A4" activePane="bottomLeft" state="frozen"/>
      <selection activeCell="A6" sqref="A6"/>
      <selection pane="bottomLeft" activeCell="Z4" sqref="Z4"/>
    </sheetView>
  </sheetViews>
  <sheetFormatPr defaultColWidth="8.85546875" defaultRowHeight="15" x14ac:dyDescent="0.25"/>
  <cols>
    <col min="1" max="1" width="7.85546875" style="7" bestFit="1" customWidth="1"/>
    <col min="2" max="2" width="18.7109375" style="7" bestFit="1" customWidth="1"/>
    <col min="3" max="3" width="3.7109375" style="7" customWidth="1"/>
    <col min="4" max="4" width="3.85546875" style="7" customWidth="1"/>
    <col min="5" max="5" width="14.5703125" style="7" bestFit="1" customWidth="1"/>
    <col min="6" max="6" width="3.28515625" style="7" customWidth="1"/>
    <col min="7" max="8" width="30.7109375" style="7" customWidth="1"/>
    <col min="9" max="9" width="13.85546875" style="7" customWidth="1"/>
    <col min="10" max="10" width="15.42578125" style="7" customWidth="1"/>
    <col min="11" max="11" width="22.28515625" style="7" customWidth="1"/>
    <col min="12" max="12" width="22.7109375" style="7" customWidth="1"/>
    <col min="13" max="14" width="15.85546875" style="7" customWidth="1"/>
    <col min="15" max="16" width="12.28515625" style="7" customWidth="1"/>
    <col min="17" max="18" width="13.85546875" style="7" customWidth="1"/>
    <col min="19" max="19" width="15.7109375" style="7" customWidth="1"/>
    <col min="20" max="20" width="17.28515625" style="7" customWidth="1"/>
    <col min="21" max="21" width="20" style="7" customWidth="1"/>
    <col min="22" max="22" width="16.140625" style="7" customWidth="1"/>
    <col min="23" max="24" width="15.85546875" style="7" customWidth="1"/>
    <col min="25" max="25" width="15.7109375" style="7" customWidth="1"/>
    <col min="26" max="26" width="10.28515625" style="7" customWidth="1"/>
    <col min="27" max="27" width="9.28515625" style="7" customWidth="1"/>
    <col min="28" max="28" width="9" style="7" customWidth="1"/>
    <col min="29" max="29" width="10.85546875" style="7" customWidth="1"/>
    <col min="30" max="30" width="13" style="7" customWidth="1"/>
    <col min="31" max="31" width="9.28515625" style="7" customWidth="1"/>
    <col min="32" max="32" width="10.42578125" style="7" customWidth="1"/>
    <col min="33" max="33" width="13" style="7" customWidth="1"/>
    <col min="34" max="34" width="47.5703125" style="7" customWidth="1"/>
    <col min="35" max="35" width="8.7109375" style="7" customWidth="1"/>
    <col min="36" max="36" width="8.28515625" style="7" customWidth="1"/>
    <col min="37" max="37" width="10.28515625" style="7" customWidth="1"/>
    <col min="38" max="38" width="9.42578125" style="7" customWidth="1"/>
    <col min="39" max="39" width="9" style="7" customWidth="1"/>
    <col min="40" max="40" width="10.85546875" style="7" customWidth="1"/>
    <col min="41" max="41" width="11.28515625" style="7" customWidth="1"/>
    <col min="42" max="42" width="9.85546875" style="7" customWidth="1"/>
    <col min="43" max="43" width="11.28515625" style="7" customWidth="1"/>
    <col min="44" max="44" width="10.42578125" style="7" customWidth="1"/>
    <col min="45" max="45" width="37.140625" style="7" customWidth="1"/>
    <col min="46" max="46" width="9.85546875" style="7" customWidth="1"/>
    <col min="47" max="47" width="10" style="7" customWidth="1"/>
    <col min="48" max="48" width="10.28515625" style="7" customWidth="1"/>
    <col min="49" max="49" width="9.5703125" style="7" customWidth="1"/>
    <col min="50" max="50" width="9.7109375" style="7" customWidth="1"/>
    <col min="51" max="51" width="10.85546875" style="7" customWidth="1"/>
    <col min="52" max="52" width="9.5703125" style="7" customWidth="1"/>
    <col min="53" max="53" width="9.28515625" style="7" customWidth="1"/>
    <col min="54" max="55" width="10.42578125" style="7" customWidth="1"/>
    <col min="56" max="56" width="32.140625" style="7" customWidth="1"/>
    <col min="57" max="57" width="9.28515625" style="7" customWidth="1"/>
    <col min="58" max="58" width="9.7109375" style="7" customWidth="1"/>
    <col min="59" max="59" width="10.28515625" style="7" customWidth="1"/>
    <col min="60" max="60" width="9.5703125" style="7" customWidth="1"/>
    <col min="61" max="61" width="9.28515625" style="7" customWidth="1"/>
    <col min="62" max="62" width="10.7109375" style="7" customWidth="1"/>
    <col min="63" max="63" width="9.140625" style="7" customWidth="1"/>
    <col min="64" max="64" width="9.85546875" style="7" customWidth="1"/>
    <col min="65" max="65" width="13.42578125" style="7" customWidth="1"/>
    <col min="66" max="66" width="10.42578125" style="7" customWidth="1"/>
    <col min="67" max="67" width="32.7109375" style="7" customWidth="1"/>
    <col min="68" max="68" width="9.85546875" style="7" customWidth="1"/>
    <col min="69" max="69" width="10" style="7" customWidth="1"/>
    <col min="70" max="70" width="10.28515625" style="7" customWidth="1"/>
    <col min="71" max="71" width="9.42578125" style="7" customWidth="1"/>
    <col min="72" max="72" width="9.7109375" style="7" customWidth="1"/>
    <col min="73" max="73" width="10.85546875" style="7" customWidth="1"/>
    <col min="74" max="74" width="7" style="7" customWidth="1"/>
    <col min="75" max="75" width="9.85546875" style="7" customWidth="1"/>
    <col min="76" max="76" width="10.7109375" style="7" customWidth="1"/>
    <col min="77" max="77" width="10.42578125" style="7" customWidth="1"/>
    <col min="78" max="78" width="33.5703125" style="7" customWidth="1"/>
    <col min="79" max="79" width="9.85546875" style="7" customWidth="1"/>
    <col min="80" max="80" width="10" style="7" customWidth="1"/>
    <col min="81" max="81" width="10.28515625" style="27" customWidth="1"/>
    <col min="82" max="82" width="10" style="7" customWidth="1"/>
    <col min="83" max="83" width="9.85546875" style="7" customWidth="1"/>
    <col min="84" max="84" width="10.85546875" style="7" customWidth="1"/>
    <col min="85" max="85" width="6.5703125" style="7" customWidth="1"/>
    <col min="86" max="86" width="9.85546875" style="7" customWidth="1"/>
    <col min="87" max="87" width="10.7109375" style="7" customWidth="1"/>
    <col min="88" max="88" width="10.42578125" style="7" customWidth="1"/>
    <col min="89" max="89" width="33.140625" style="7" customWidth="1"/>
    <col min="90" max="90" width="9.85546875" style="7" customWidth="1"/>
    <col min="91" max="91" width="9.140625" style="7" customWidth="1"/>
    <col min="92" max="93" width="9.5703125" style="7" customWidth="1"/>
    <col min="94" max="94" width="9.7109375" style="7" customWidth="1"/>
    <col min="95" max="95" width="10.85546875" style="7" customWidth="1"/>
    <col min="96" max="96" width="17.42578125" style="7" customWidth="1"/>
    <col min="97" max="97" width="9.85546875" style="7" customWidth="1"/>
    <col min="98" max="98" width="11" style="7" customWidth="1"/>
    <col min="99" max="99" width="10.42578125" style="7" customWidth="1"/>
    <col min="100" max="100" width="31.5703125" style="7" customWidth="1"/>
    <col min="101" max="101" width="9.85546875" style="7" customWidth="1"/>
    <col min="102" max="102" width="10" style="7" customWidth="1"/>
    <col min="103" max="103" width="10.28515625" style="7" customWidth="1"/>
    <col min="104" max="104" width="9.5703125" style="7" customWidth="1"/>
    <col min="105" max="105" width="9.7109375" style="7" customWidth="1"/>
    <col min="106" max="106" width="10.85546875" style="7" customWidth="1"/>
    <col min="107" max="107" width="17.85546875" style="7" customWidth="1"/>
    <col min="108" max="108" width="17.28515625" style="7" customWidth="1"/>
    <col min="109" max="110" width="20" style="7" customWidth="1"/>
    <col min="111" max="111" width="47.28515625" style="27" customWidth="1"/>
    <col min="112" max="112" width="15.85546875" style="7" customWidth="1"/>
    <col min="113" max="117" width="15.7109375" style="7" customWidth="1"/>
    <col min="118" max="118" width="17.5703125" style="7" customWidth="1"/>
    <col min="119" max="119" width="17.28515625" style="7" customWidth="1"/>
    <col min="120" max="121" width="20" style="7" customWidth="1"/>
    <col min="122" max="122" width="47.42578125" style="27" customWidth="1"/>
    <col min="123" max="123" width="15.85546875" style="7" customWidth="1"/>
    <col min="124" max="128" width="15.7109375" style="7" customWidth="1"/>
    <col min="129" max="129" width="17.5703125" style="7" customWidth="1"/>
    <col min="130" max="130" width="17.28515625" style="7" bestFit="1" customWidth="1"/>
    <col min="131" max="131" width="20" style="7" bestFit="1" customWidth="1"/>
    <col min="132" max="132" width="20" style="7" customWidth="1"/>
    <col min="133" max="133" width="47.42578125" style="27" customWidth="1"/>
    <col min="134" max="134" width="15.85546875" style="7" bestFit="1" customWidth="1"/>
    <col min="135" max="135" width="15.7109375" style="7" bestFit="1" customWidth="1"/>
    <col min="136" max="139" width="15.7109375" style="7" customWidth="1"/>
    <col min="140" max="140" width="17.5703125" style="7" customWidth="1"/>
    <col min="141" max="141" width="17.28515625" style="7" bestFit="1" customWidth="1"/>
    <col min="142" max="142" width="20" style="7" bestFit="1" customWidth="1"/>
    <col min="143" max="143" width="20" style="7" customWidth="1"/>
    <col min="144" max="144" width="48" style="27" customWidth="1"/>
    <col min="145" max="145" width="15.85546875" style="7" bestFit="1" customWidth="1"/>
    <col min="146" max="146" width="15.7109375" style="7" bestFit="1" customWidth="1"/>
    <col min="147" max="150" width="15.7109375" style="7" customWidth="1"/>
    <col min="151" max="151" width="17.5703125" style="7" customWidth="1"/>
    <col min="152" max="152" width="17.28515625" style="7" bestFit="1" customWidth="1"/>
    <col min="153" max="153" width="20" style="7" bestFit="1" customWidth="1"/>
    <col min="154" max="154" width="20" style="7" customWidth="1"/>
    <col min="155" max="155" width="48" style="27" customWidth="1"/>
    <col min="156" max="156" width="15.85546875" style="7" bestFit="1" customWidth="1"/>
    <col min="157" max="157" width="15.7109375" style="7" bestFit="1" customWidth="1"/>
    <col min="158" max="161" width="15.7109375" style="7" customWidth="1"/>
    <col min="162" max="162" width="17.5703125" style="7" customWidth="1"/>
    <col min="163" max="163" width="17.28515625" style="7" bestFit="1" customWidth="1"/>
    <col min="164" max="164" width="20" style="7" bestFit="1" customWidth="1"/>
    <col min="165" max="165" width="20" style="7" customWidth="1"/>
    <col min="166" max="166" width="47.140625" style="27" customWidth="1"/>
    <col min="167" max="167" width="15.85546875" style="7" bestFit="1" customWidth="1"/>
    <col min="168" max="168" width="15.7109375" style="7" bestFit="1" customWidth="1"/>
    <col min="169" max="172" width="15.7109375" style="7" customWidth="1"/>
    <col min="173" max="16384" width="8.85546875" style="7"/>
  </cols>
  <sheetData>
    <row r="1" spans="1:172" ht="30" x14ac:dyDescent="0.25">
      <c r="A1" s="51" t="s">
        <v>242</v>
      </c>
      <c r="B1" s="50" t="s">
        <v>244</v>
      </c>
      <c r="H1" s="57"/>
      <c r="J1" s="57"/>
      <c r="K1" s="57"/>
      <c r="N1" s="57"/>
    </row>
    <row r="2" spans="1:172" ht="15.75" thickBot="1" x14ac:dyDescent="0.3"/>
    <row r="3" spans="1:172" ht="47.45" customHeight="1" x14ac:dyDescent="0.25">
      <c r="A3" s="85" t="s">
        <v>176</v>
      </c>
      <c r="B3" s="86" t="s">
        <v>177</v>
      </c>
      <c r="C3" s="86" t="s">
        <v>178</v>
      </c>
      <c r="D3" s="86" t="s">
        <v>179</v>
      </c>
      <c r="E3" s="86" t="s">
        <v>180</v>
      </c>
      <c r="F3" s="87" t="s">
        <v>181</v>
      </c>
      <c r="G3" s="49" t="s">
        <v>198</v>
      </c>
      <c r="H3" s="49" t="s">
        <v>199</v>
      </c>
      <c r="I3" s="59" t="s">
        <v>246</v>
      </c>
      <c r="J3" s="59" t="s">
        <v>396</v>
      </c>
      <c r="K3" s="60" t="s">
        <v>183</v>
      </c>
      <c r="L3" s="60" t="s">
        <v>297</v>
      </c>
      <c r="M3" s="60" t="s">
        <v>184</v>
      </c>
      <c r="N3" s="60" t="s">
        <v>185</v>
      </c>
      <c r="O3" s="60" t="s">
        <v>186</v>
      </c>
      <c r="P3" s="60" t="s">
        <v>294</v>
      </c>
      <c r="Q3" s="60" t="s">
        <v>295</v>
      </c>
      <c r="R3" s="60" t="s">
        <v>296</v>
      </c>
      <c r="S3" s="49" t="s">
        <v>245</v>
      </c>
      <c r="T3" s="59" t="s">
        <v>397</v>
      </c>
      <c r="U3" s="60" t="s">
        <v>187</v>
      </c>
      <c r="V3" s="60" t="s">
        <v>315</v>
      </c>
      <c r="W3" s="60" t="s">
        <v>188</v>
      </c>
      <c r="X3" s="60" t="s">
        <v>189</v>
      </c>
      <c r="Y3" s="60" t="s">
        <v>316</v>
      </c>
      <c r="Z3" s="60" t="s">
        <v>317</v>
      </c>
      <c r="AA3" s="60" t="s">
        <v>424</v>
      </c>
      <c r="AB3" s="60" t="s">
        <v>318</v>
      </c>
      <c r="AC3" s="60" t="s">
        <v>319</v>
      </c>
      <c r="AD3" s="55" t="s">
        <v>247</v>
      </c>
      <c r="AE3" s="59" t="s">
        <v>398</v>
      </c>
      <c r="AF3" s="60" t="s">
        <v>190</v>
      </c>
      <c r="AG3" s="60" t="s">
        <v>320</v>
      </c>
      <c r="AH3" s="60" t="s">
        <v>191</v>
      </c>
      <c r="AI3" s="60" t="s">
        <v>192</v>
      </c>
      <c r="AJ3" s="60" t="s">
        <v>193</v>
      </c>
      <c r="AK3" s="60" t="s">
        <v>321</v>
      </c>
      <c r="AL3" s="60" t="s">
        <v>425</v>
      </c>
      <c r="AM3" s="60" t="s">
        <v>322</v>
      </c>
      <c r="AN3" s="60" t="s">
        <v>323</v>
      </c>
      <c r="AO3" s="55" t="s">
        <v>248</v>
      </c>
      <c r="AP3" s="59" t="s">
        <v>399</v>
      </c>
      <c r="AQ3" s="60" t="s">
        <v>194</v>
      </c>
      <c r="AR3" s="60" t="s">
        <v>324</v>
      </c>
      <c r="AS3" s="60" t="s">
        <v>195</v>
      </c>
      <c r="AT3" s="60" t="s">
        <v>196</v>
      </c>
      <c r="AU3" s="60" t="s">
        <v>197</v>
      </c>
      <c r="AV3" s="60" t="s">
        <v>325</v>
      </c>
      <c r="AW3" s="60" t="s">
        <v>426</v>
      </c>
      <c r="AX3" s="60" t="s">
        <v>326</v>
      </c>
      <c r="AY3" s="60" t="s">
        <v>409</v>
      </c>
      <c r="AZ3" s="56" t="s">
        <v>249</v>
      </c>
      <c r="BA3" s="59" t="s">
        <v>400</v>
      </c>
      <c r="BB3" s="60" t="s">
        <v>250</v>
      </c>
      <c r="BC3" s="60" t="s">
        <v>327</v>
      </c>
      <c r="BD3" s="60" t="s">
        <v>251</v>
      </c>
      <c r="BE3" s="60" t="s">
        <v>252</v>
      </c>
      <c r="BF3" s="60" t="s">
        <v>253</v>
      </c>
      <c r="BG3" s="60" t="s">
        <v>328</v>
      </c>
      <c r="BH3" s="60" t="s">
        <v>427</v>
      </c>
      <c r="BI3" s="60" t="s">
        <v>329</v>
      </c>
      <c r="BJ3" s="60" t="s">
        <v>410</v>
      </c>
      <c r="BK3" s="56" t="s">
        <v>259</v>
      </c>
      <c r="BL3" s="59" t="s">
        <v>401</v>
      </c>
      <c r="BM3" s="60" t="s">
        <v>260</v>
      </c>
      <c r="BN3" s="60" t="s">
        <v>330</v>
      </c>
      <c r="BO3" s="60" t="s">
        <v>261</v>
      </c>
      <c r="BP3" s="60" t="s">
        <v>262</v>
      </c>
      <c r="BQ3" s="60" t="s">
        <v>263</v>
      </c>
      <c r="BR3" s="60" t="s">
        <v>331</v>
      </c>
      <c r="BS3" s="60" t="s">
        <v>428</v>
      </c>
      <c r="BT3" s="60" t="s">
        <v>332</v>
      </c>
      <c r="BU3" s="60" t="s">
        <v>333</v>
      </c>
      <c r="BV3" s="56" t="s">
        <v>268</v>
      </c>
      <c r="BW3" s="59" t="s">
        <v>402</v>
      </c>
      <c r="BX3" s="60" t="s">
        <v>269</v>
      </c>
      <c r="BY3" s="60" t="s">
        <v>334</v>
      </c>
      <c r="BZ3" s="60" t="s">
        <v>270</v>
      </c>
      <c r="CA3" s="60" t="s">
        <v>271</v>
      </c>
      <c r="CB3" s="60" t="s">
        <v>272</v>
      </c>
      <c r="CC3" s="84" t="s">
        <v>335</v>
      </c>
      <c r="CD3" s="60" t="s">
        <v>429</v>
      </c>
      <c r="CE3" s="60" t="s">
        <v>336</v>
      </c>
      <c r="CF3" s="60" t="s">
        <v>337</v>
      </c>
      <c r="CG3" s="56" t="s">
        <v>274</v>
      </c>
      <c r="CH3" s="59" t="s">
        <v>403</v>
      </c>
      <c r="CI3" s="60" t="s">
        <v>275</v>
      </c>
      <c r="CJ3" s="60" t="s">
        <v>338</v>
      </c>
      <c r="CK3" s="60" t="s">
        <v>276</v>
      </c>
      <c r="CL3" s="60" t="s">
        <v>277</v>
      </c>
      <c r="CM3" s="60" t="s">
        <v>278</v>
      </c>
      <c r="CN3" s="60" t="s">
        <v>339</v>
      </c>
      <c r="CO3" s="60" t="s">
        <v>430</v>
      </c>
      <c r="CP3" s="60" t="s">
        <v>340</v>
      </c>
      <c r="CQ3" s="60" t="s">
        <v>341</v>
      </c>
      <c r="CR3" s="56" t="s">
        <v>281</v>
      </c>
      <c r="CS3" s="59" t="s">
        <v>404</v>
      </c>
      <c r="CT3" s="60" t="s">
        <v>282</v>
      </c>
      <c r="CU3" s="60" t="s">
        <v>342</v>
      </c>
      <c r="CV3" s="60" t="s">
        <v>283</v>
      </c>
      <c r="CW3" s="60" t="s">
        <v>284</v>
      </c>
      <c r="CX3" s="60" t="s">
        <v>285</v>
      </c>
      <c r="CY3" s="60" t="s">
        <v>343</v>
      </c>
      <c r="CZ3" s="60" t="s">
        <v>431</v>
      </c>
      <c r="DA3" s="60" t="s">
        <v>344</v>
      </c>
      <c r="DB3" s="60" t="s">
        <v>345</v>
      </c>
      <c r="DC3" s="56" t="s">
        <v>286</v>
      </c>
      <c r="DD3" s="59" t="s">
        <v>405</v>
      </c>
      <c r="DE3" s="60" t="s">
        <v>287</v>
      </c>
      <c r="DF3" s="60" t="s">
        <v>346</v>
      </c>
      <c r="DG3" s="84" t="s">
        <v>288</v>
      </c>
      <c r="DH3" s="60" t="s">
        <v>289</v>
      </c>
      <c r="DI3" s="60" t="s">
        <v>290</v>
      </c>
      <c r="DJ3" s="60" t="s">
        <v>347</v>
      </c>
      <c r="DK3" s="60" t="s">
        <v>432</v>
      </c>
      <c r="DL3" s="60" t="s">
        <v>348</v>
      </c>
      <c r="DM3" s="60" t="s">
        <v>349</v>
      </c>
      <c r="DN3" s="56" t="s">
        <v>372</v>
      </c>
      <c r="DO3" s="59" t="s">
        <v>406</v>
      </c>
      <c r="DP3" s="60" t="s">
        <v>373</v>
      </c>
      <c r="DQ3" s="60" t="s">
        <v>374</v>
      </c>
      <c r="DR3" s="84" t="s">
        <v>375</v>
      </c>
      <c r="DS3" s="60" t="s">
        <v>376</v>
      </c>
      <c r="DT3" s="60" t="s">
        <v>377</v>
      </c>
      <c r="DU3" s="60" t="s">
        <v>378</v>
      </c>
      <c r="DV3" s="60" t="s">
        <v>433</v>
      </c>
      <c r="DW3" s="60" t="s">
        <v>379</v>
      </c>
      <c r="DX3" s="60" t="s">
        <v>380</v>
      </c>
      <c r="DY3" s="56" t="s">
        <v>411</v>
      </c>
      <c r="DZ3" s="59" t="s">
        <v>412</v>
      </c>
      <c r="EA3" s="60" t="s">
        <v>413</v>
      </c>
      <c r="EB3" s="60" t="s">
        <v>414</v>
      </c>
      <c r="EC3" s="84" t="s">
        <v>415</v>
      </c>
      <c r="ED3" s="60" t="s">
        <v>416</v>
      </c>
      <c r="EE3" s="60" t="s">
        <v>417</v>
      </c>
      <c r="EF3" s="60" t="s">
        <v>418</v>
      </c>
      <c r="EG3" s="60" t="s">
        <v>434</v>
      </c>
      <c r="EH3" s="60" t="s">
        <v>419</v>
      </c>
      <c r="EI3" s="60" t="s">
        <v>420</v>
      </c>
      <c r="EJ3" s="56" t="s">
        <v>442</v>
      </c>
      <c r="EK3" s="59" t="s">
        <v>443</v>
      </c>
      <c r="EL3" s="60" t="s">
        <v>444</v>
      </c>
      <c r="EM3" s="60" t="s">
        <v>445</v>
      </c>
      <c r="EN3" s="84" t="s">
        <v>446</v>
      </c>
      <c r="EO3" s="60" t="s">
        <v>447</v>
      </c>
      <c r="EP3" s="60" t="s">
        <v>448</v>
      </c>
      <c r="EQ3" s="60" t="s">
        <v>449</v>
      </c>
      <c r="ER3" s="60" t="s">
        <v>450</v>
      </c>
      <c r="ES3" s="60" t="s">
        <v>451</v>
      </c>
      <c r="ET3" s="60" t="s">
        <v>452</v>
      </c>
      <c r="EU3" s="56" t="s">
        <v>453</v>
      </c>
      <c r="EV3" s="59" t="s">
        <v>454</v>
      </c>
      <c r="EW3" s="60" t="s">
        <v>455</v>
      </c>
      <c r="EX3" s="60" t="s">
        <v>456</v>
      </c>
      <c r="EY3" s="84" t="s">
        <v>457</v>
      </c>
      <c r="EZ3" s="60" t="s">
        <v>458</v>
      </c>
      <c r="FA3" s="60" t="s">
        <v>459</v>
      </c>
      <c r="FB3" s="60" t="s">
        <v>460</v>
      </c>
      <c r="FC3" s="60" t="s">
        <v>461</v>
      </c>
      <c r="FD3" s="60" t="s">
        <v>462</v>
      </c>
      <c r="FE3" s="60" t="s">
        <v>463</v>
      </c>
      <c r="FF3" s="56" t="s">
        <v>464</v>
      </c>
      <c r="FG3" s="59" t="s">
        <v>465</v>
      </c>
      <c r="FH3" s="60" t="s">
        <v>466</v>
      </c>
      <c r="FI3" s="60" t="s">
        <v>467</v>
      </c>
      <c r="FJ3" s="84" t="s">
        <v>468</v>
      </c>
      <c r="FK3" s="60" t="s">
        <v>469</v>
      </c>
      <c r="FL3" s="60" t="s">
        <v>470</v>
      </c>
      <c r="FM3" s="60" t="s">
        <v>471</v>
      </c>
      <c r="FN3" s="60" t="s">
        <v>472</v>
      </c>
      <c r="FO3" s="60" t="s">
        <v>473</v>
      </c>
      <c r="FP3" s="60" t="s">
        <v>474</v>
      </c>
    </row>
    <row r="4" spans="1:172" s="39" customFormat="1" ht="99.95" customHeight="1" x14ac:dyDescent="0.25">
      <c r="A4" s="39" t="s">
        <v>116</v>
      </c>
      <c r="B4" s="39" t="s">
        <v>236</v>
      </c>
      <c r="C4" s="39" t="s">
        <v>237</v>
      </c>
      <c r="D4" s="39" t="s">
        <v>237</v>
      </c>
      <c r="E4" s="39" t="s">
        <v>238</v>
      </c>
      <c r="G4" s="88" t="s">
        <v>540</v>
      </c>
      <c r="H4" s="88" t="s">
        <v>539</v>
      </c>
      <c r="I4" s="89" t="s">
        <v>381</v>
      </c>
      <c r="J4" s="39" t="s">
        <v>394</v>
      </c>
      <c r="K4" s="39" t="s">
        <v>394</v>
      </c>
      <c r="L4" s="39" t="s">
        <v>394</v>
      </c>
      <c r="M4" s="39" t="s">
        <v>394</v>
      </c>
      <c r="N4" s="39" t="s">
        <v>394</v>
      </c>
      <c r="O4" s="39" t="s">
        <v>394</v>
      </c>
      <c r="P4" s="39" t="s">
        <v>394</v>
      </c>
      <c r="Q4" s="39" t="s">
        <v>394</v>
      </c>
      <c r="R4" s="39" t="s">
        <v>394</v>
      </c>
      <c r="S4" s="89" t="s">
        <v>407</v>
      </c>
      <c r="T4" s="39" t="str">
        <f>'Dynamic Banners'!$L$5</f>
        <v>Cyber-monday-2.png</v>
      </c>
      <c r="U4" s="39" t="str">
        <f>'Dynamic Banners'!$M$5</f>
        <v xml:space="preserve">Cyber Monday is over. But, Cyber Week is just beginning. </v>
      </c>
      <c r="V4" s="39" t="s">
        <v>394</v>
      </c>
      <c r="W4" s="39" t="str">
        <f>'Dynamic Banners'!$N$5</f>
        <v xml:space="preserve">Shop amazing offers on showstopping products while supplies last. </v>
      </c>
      <c r="X4" s="39" t="s">
        <v>394</v>
      </c>
      <c r="Y4" s="39" t="str">
        <f>[1]MiscBanners!$B$4</f>
        <v>https://www.samsung.com/us/shop/all-deals/</v>
      </c>
      <c r="Z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4" s="39" t="s">
        <v>394</v>
      </c>
      <c r="AB4" s="39" t="s">
        <v>394</v>
      </c>
      <c r="AC4" s="39" t="s">
        <v>394</v>
      </c>
      <c r="AD4" s="89" t="s">
        <v>408</v>
      </c>
      <c r="AE4" s="39" t="s">
        <v>394</v>
      </c>
      <c r="AF4" s="39" t="s">
        <v>394</v>
      </c>
      <c r="AG4" s="7" t="s">
        <v>559</v>
      </c>
      <c r="AH4" s="39" t="s">
        <v>563</v>
      </c>
      <c r="AI4" s="39" t="s">
        <v>394</v>
      </c>
      <c r="AJ4" s="39" t="str">
        <f>[1]MiscBanners!$B$4</f>
        <v>https://www.samsung.com/us/shop/all-deals/</v>
      </c>
      <c r="AK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4" s="39" t="s">
        <v>394</v>
      </c>
      <c r="AM4" s="39" t="s">
        <v>394</v>
      </c>
      <c r="AN4" s="39" t="s">
        <v>394</v>
      </c>
      <c r="AO4" s="89" t="s">
        <v>257</v>
      </c>
      <c r="AP4" s="39" t="str">
        <f>DDOfferCopy!E4</f>
        <v>22_IM_HeadImage_MB_Note-500xV.jpg</v>
      </c>
      <c r="AQ4" s="39" t="str">
        <f>DDOfferCopy!F4</f>
        <v>Get up to 70% off Galaxy Note 20 5G or Note 20 Ultra 5G</v>
      </c>
      <c r="AR4" s="39" t="str">
        <f>DDOfferCopy!G4</f>
        <v>Now from only $8.34/mo for 36 mos⊕ or $299.99 with eligible trade-in.ᶿ</v>
      </c>
      <c r="AS4" s="39" t="str">
        <f>DDOfferCopy!H4</f>
        <v xml:space="preserve">Get $150 off instantly and up to $550 trade-in credit.ᶿ </v>
      </c>
      <c r="AT4" s="39" t="str">
        <f>DDOfferCopy!I4</f>
        <v>Buy now</v>
      </c>
      <c r="AU4" s="39" t="str">
        <f>DDOfferCopy!J4</f>
        <v>https://www.samsung.com/us/smartphones/galaxy-note20-5g/buy/</v>
      </c>
      <c r="AV4" s="39" t="str">
        <f>DDOfferCopy!K4</f>
        <v>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v>
      </c>
      <c r="AW4" s="39" t="str">
        <f>DDOfferCopy!L4</f>
        <v>NULL</v>
      </c>
      <c r="AX4" s="39" t="str">
        <f>DDOfferCopy!M4</f>
        <v>NULL</v>
      </c>
      <c r="AY4" s="39" t="str">
        <f>DDOfferCopy!N4</f>
        <v>NULL</v>
      </c>
      <c r="AZ4" s="89" t="s">
        <v>256</v>
      </c>
      <c r="BA4" s="39" t="str">
        <f>DDOfferCopy!E5</f>
        <v>21_IM_HeadImage_MB_Galaxy-500xV.jpg</v>
      </c>
      <c r="BB4" s="39" t="str">
        <f>DDOfferCopy!F5</f>
        <v>Get up to 73% off Galaxy S20 5G series devices</v>
      </c>
      <c r="BC4" s="39" t="str">
        <f>DDOfferCopy!G5</f>
        <v>Now from only $7.92/mo for 24 mos⊕ or $189.99 with eligible trade-in.ᶿ</v>
      </c>
      <c r="BD4" s="39" t="str">
        <f>DDOfferCopy!H5</f>
        <v xml:space="preserve">Get up to $150 off instantly and up to $460 trade-in credit.ᶿ </v>
      </c>
      <c r="BE4" s="39" t="str">
        <f>DDOfferCopy!I5</f>
        <v>Buy now</v>
      </c>
      <c r="BF4" s="39" t="str">
        <f>DDOfferCopy!J5</f>
        <v>https://www.samsung.com/us/mobile/galaxy-s20-5g/buy/</v>
      </c>
      <c r="BG4" s="39" t="str">
        <f>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BH4" s="39" t="str">
        <f>DDOfferCopy!L5</f>
        <v>NULL</v>
      </c>
      <c r="BI4" s="39" t="str">
        <f>DDOfferCopy!M5</f>
        <v>NULL</v>
      </c>
      <c r="BJ4" s="39" t="str">
        <f>DDOfferCopy!N5</f>
        <v>NULL</v>
      </c>
      <c r="BK4" s="89" t="s">
        <v>255</v>
      </c>
      <c r="BL4" s="39" t="str">
        <f>DDOfferCopy!E6</f>
        <v>23_IM_HeadImage_MB_Fold-500xV.jpg</v>
      </c>
      <c r="BM4" s="39" t="str">
        <f>DDOfferCopy!F6</f>
        <v xml:space="preserve">Get up to 50% off Galaxy Z Fold2 5G </v>
      </c>
      <c r="BN4" s="39" t="str">
        <f>DDOfferCopy!G6</f>
        <v>Now from only $20.84/mo for 48 mos⊕ or $999.99 with eligible trade-in.ᶿ</v>
      </c>
      <c r="BO4" s="39" t="str">
        <f>DDOfferCopy!H6</f>
        <v xml:space="preserve">Our best Galaxy Z Fold2 5G offer of the year. Get up to $1000 trade-in credit.ᶿ Plus, get up to $120 instant credit toward accessories.§‡ </v>
      </c>
      <c r="BP4" s="39" t="str">
        <f>DDOfferCopy!I6</f>
        <v>Buy now</v>
      </c>
      <c r="BQ4" s="39" t="str">
        <f>DDOfferCopy!J6</f>
        <v>https://www.samsung.com/us/smartphones/galaxy-z-fold2-5g/buy/</v>
      </c>
      <c r="BR4" s="39" t="str">
        <f>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S4" s="39" t="str">
        <f>DDOfferCopy!L6</f>
        <v>NULL</v>
      </c>
      <c r="BT4" s="39" t="str">
        <f>DDOfferCopy!M6</f>
        <v>NULL</v>
      </c>
      <c r="BU4" s="39" t="str">
        <f>DDOfferCopy!N6</f>
        <v>NULL</v>
      </c>
      <c r="BV4" s="90" t="s">
        <v>254</v>
      </c>
      <c r="BW4" s="39" t="str">
        <f>DDOfferCopy!E7</f>
        <v>24-IM-A71-A51-HeadImage-500xV.jpg</v>
      </c>
      <c r="BX4" s="39" t="str">
        <f>DDOfferCopy!F7</f>
        <v>Get 50% off Galaxy A71 5G with T-Mobile and Verizon</v>
      </c>
      <c r="BY4" s="39" t="str">
        <f>DDOfferCopy!G7</f>
        <v xml:space="preserve">Now from only only $8.34/mo for 36 mos⊕ or $299.99 with eligible trade-in.ᶿ </v>
      </c>
      <c r="BZ4" s="39" t="str">
        <f>DDOfferCopy!H7</f>
        <v xml:space="preserve">Save up to $250 instantly and get $75 or more trade-in credit. Treat yourself to blazing fast 5G speeds and incredible features at an amazing value. </v>
      </c>
      <c r="CA4" s="39" t="str">
        <f>DDOfferCopy!I7</f>
        <v>Buy now</v>
      </c>
      <c r="CB4" s="39" t="str">
        <f>DDOfferCopy!J7</f>
        <v>https://www.samsung.com/us/mobile/phones/galaxy-a/buy/?link=galaxy-a71-5g</v>
      </c>
      <c r="CC4" s="91" t="str">
        <f>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D4" s="39" t="str">
        <f>DDOfferCopy!L7</f>
        <v>NULL</v>
      </c>
      <c r="CE4" s="39" t="str">
        <f>DDOfferCopy!M7</f>
        <v>NULL</v>
      </c>
      <c r="CF4" s="39" t="str">
        <f>DDOfferCopy!N7</f>
        <v>NULL</v>
      </c>
      <c r="CG4" s="89" t="s">
        <v>280</v>
      </c>
      <c r="CH4" s="39" t="str">
        <f>MiscBanners!$H$4</f>
        <v>Give-wonder-500xV.jpg</v>
      </c>
      <c r="CI4" s="39" t="str">
        <f>MiscBanners!$I$4</f>
        <v>The gift that keeps on giving</v>
      </c>
      <c r="CJ4" s="39" t="str">
        <f>MiscBanners!$J$4</f>
        <v>NULL</v>
      </c>
      <c r="CK4" s="39" t="str">
        <f>MiscBanners!$K$4</f>
        <v>Discover even more exclusive offers on your favorite products and unlock the power of smart and savvy gifting.</v>
      </c>
      <c r="CL4" s="39" t="str">
        <f>MiscBanners!$L$4</f>
        <v>Shop now</v>
      </c>
      <c r="CM4" s="39" t="str">
        <f>MiscBanners!$M$4</f>
        <v>https://www.samsung.com/us/gift-ideas/</v>
      </c>
      <c r="CN4"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O4" s="39" t="str">
        <f>MiscBanners!$O$4</f>
        <v>NULL</v>
      </c>
      <c r="CP4" s="39" t="str">
        <f>MiscBanners!$P$4</f>
        <v>NULL</v>
      </c>
      <c r="CQ4" s="39" t="str">
        <f>MiscBanners!$Q$4</f>
        <v>NULL</v>
      </c>
      <c r="CR4" s="89" t="s">
        <v>273</v>
      </c>
      <c r="DC4" s="89" t="s">
        <v>440</v>
      </c>
      <c r="DD4" s="39" t="str">
        <f>TC!B2</f>
        <v>NULL</v>
      </c>
      <c r="DE4" s="39" t="str">
        <f>TC!C2</f>
        <v>NULL</v>
      </c>
      <c r="DF4" s="39" t="str">
        <f>TC!D2</f>
        <v>NULL</v>
      </c>
      <c r="DG4" s="91" t="str">
        <f>TC!E2</f>
        <v>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H4" s="39" t="str">
        <f>TC!F2</f>
        <v>NULL</v>
      </c>
      <c r="DI4" s="39" t="str">
        <f>TC!G2</f>
        <v>https://www.samsung.com/us/trade-in/terms-and-conditions/</v>
      </c>
      <c r="DJ4" s="39">
        <f>TC!H2</f>
        <v>0</v>
      </c>
      <c r="DK4" s="39" t="str">
        <f>TC!I2</f>
        <v>NULL</v>
      </c>
      <c r="DL4" s="39" t="str">
        <f>TC!J2</f>
        <v>NULL</v>
      </c>
      <c r="DM4" s="39" t="str">
        <f>TC!K2</f>
        <v>NULL</v>
      </c>
      <c r="DN4" s="89" t="s">
        <v>439</v>
      </c>
      <c r="DO4" s="39" t="str">
        <f>TC!B3</f>
        <v>NULL</v>
      </c>
      <c r="DP4" s="39" t="str">
        <f>TC!C3</f>
        <v>NULL</v>
      </c>
      <c r="DQ4" s="39" t="str">
        <f>TC!D3</f>
        <v>NULL</v>
      </c>
      <c r="DR4" s="91" t="str">
        <f>TC!E3</f>
        <v>⊕0%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S4" s="39" t="str">
        <f>TC!F3</f>
        <v>NULL</v>
      </c>
      <c r="DT4" s="39">
        <f>TC!G3</f>
        <v>0</v>
      </c>
      <c r="DU4" s="39">
        <f>TC!H3</f>
        <v>0</v>
      </c>
      <c r="DV4" s="39" t="str">
        <f>TC!I3</f>
        <v>NULL</v>
      </c>
      <c r="DW4" s="39" t="str">
        <f>TC!J3</f>
        <v>NULL</v>
      </c>
      <c r="DX4" s="39" t="str">
        <f>TC!K3</f>
        <v>NULL</v>
      </c>
      <c r="DY4" s="89" t="s">
        <v>441</v>
      </c>
      <c r="DZ4" s="39" t="str">
        <f>TC!B4</f>
        <v>NULL</v>
      </c>
      <c r="EA4" s="39" t="str">
        <f>TC!C4</f>
        <v>NULL</v>
      </c>
      <c r="EB4" s="39" t="str">
        <f>TC!D4</f>
        <v>NULL</v>
      </c>
      <c r="EC4"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4" s="39" t="str">
        <f>TC!F4</f>
        <v>NULL</v>
      </c>
      <c r="EE4" s="39" t="str">
        <f>TC!G4</f>
        <v>https://www.samsung.com/us/</v>
      </c>
      <c r="EF4" s="39">
        <f>TC!H4</f>
        <v>0</v>
      </c>
      <c r="EG4" s="39" t="str">
        <f>TC!I4</f>
        <v>NULL</v>
      </c>
      <c r="EH4" s="39" t="str">
        <f>TC!J4</f>
        <v>NULL</v>
      </c>
      <c r="EI4" s="39" t="str">
        <f>TC!K4</f>
        <v>NULL</v>
      </c>
      <c r="EJ4" s="89" t="s">
        <v>477</v>
      </c>
      <c r="EK4" s="39" t="str">
        <f>TC!B5</f>
        <v>NULL</v>
      </c>
      <c r="EL4" s="39" t="str">
        <f>TC!C5</f>
        <v>NULL</v>
      </c>
      <c r="EM4" s="39" t="str">
        <f>TC!D5</f>
        <v>NULL</v>
      </c>
      <c r="EN4"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4" s="39" t="str">
        <f>TC!F5</f>
        <v>NULL</v>
      </c>
      <c r="EP4" s="39" t="str">
        <f>TC!G5</f>
        <v>https://www.samsung.com/us/</v>
      </c>
      <c r="EQ4" s="39">
        <f>TC!H5</f>
        <v>0</v>
      </c>
      <c r="ER4" s="39" t="str">
        <f>TC!I5</f>
        <v>NULL</v>
      </c>
      <c r="ES4" s="39" t="str">
        <f>TC!J5</f>
        <v>NULL</v>
      </c>
      <c r="ET4" s="39" t="str">
        <f>TC!K5</f>
        <v>NULL</v>
      </c>
      <c r="EU4" s="89" t="s">
        <v>478</v>
      </c>
      <c r="EV4" s="39" t="str">
        <f>TC!B6</f>
        <v>NULL</v>
      </c>
      <c r="EW4" s="39" t="str">
        <f>TC!C6</f>
        <v>NULL</v>
      </c>
      <c r="EX4" s="39" t="str">
        <f>TC!D6</f>
        <v>NULL</v>
      </c>
      <c r="EY4"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Z4" s="39" t="str">
        <f>TC!F6</f>
        <v>NULL</v>
      </c>
      <c r="FA4" s="39" t="str">
        <f>TC!G6</f>
        <v>https://www.samsung.com/us/</v>
      </c>
      <c r="FB4" s="39">
        <f>TC!H6</f>
        <v>0</v>
      </c>
      <c r="FC4" s="39" t="str">
        <f>TC!I6</f>
        <v>NULL</v>
      </c>
      <c r="FD4" s="39" t="str">
        <f>TC!J6</f>
        <v>NULL</v>
      </c>
      <c r="FE4" s="39" t="str">
        <f>TC!K6</f>
        <v>NULL</v>
      </c>
      <c r="FF4" s="89"/>
      <c r="FJ4" s="91"/>
    </row>
    <row r="5" spans="1:172" s="39" customFormat="1" ht="99.95" customHeight="1" x14ac:dyDescent="0.25">
      <c r="A5" s="39" t="s">
        <v>116</v>
      </c>
      <c r="B5" s="39" t="s">
        <v>236</v>
      </c>
      <c r="C5" s="39" t="s">
        <v>237</v>
      </c>
      <c r="D5" s="39" t="s">
        <v>237</v>
      </c>
      <c r="E5" s="39" t="s">
        <v>239</v>
      </c>
      <c r="G5" s="88" t="s">
        <v>540</v>
      </c>
      <c r="H5" s="88" t="s">
        <v>539</v>
      </c>
      <c r="I5" s="89" t="s">
        <v>381</v>
      </c>
      <c r="J5" s="39" t="s">
        <v>394</v>
      </c>
      <c r="K5" s="39" t="s">
        <v>394</v>
      </c>
      <c r="L5" s="39" t="s">
        <v>394</v>
      </c>
      <c r="M5" s="39" t="s">
        <v>394</v>
      </c>
      <c r="N5" s="39" t="s">
        <v>394</v>
      </c>
      <c r="O5" s="39" t="s">
        <v>394</v>
      </c>
      <c r="P5" s="39" t="s">
        <v>394</v>
      </c>
      <c r="Q5" s="39" t="s">
        <v>394</v>
      </c>
      <c r="R5" s="39" t="s">
        <v>394</v>
      </c>
      <c r="S5" s="89" t="s">
        <v>407</v>
      </c>
      <c r="T5" s="39" t="str">
        <f>'Dynamic Banners'!$L$5</f>
        <v>Cyber-monday-2.png</v>
      </c>
      <c r="U5" s="39" t="str">
        <f>'Dynamic Banners'!$M$5</f>
        <v xml:space="preserve">Cyber Monday is over. But, Cyber Week is just beginning. </v>
      </c>
      <c r="V5" s="39" t="s">
        <v>394</v>
      </c>
      <c r="W5" s="39" t="str">
        <f>'Dynamic Banners'!$N$5</f>
        <v xml:space="preserve">Shop amazing offers on showstopping products while supplies last. </v>
      </c>
      <c r="X5" s="39" t="s">
        <v>394</v>
      </c>
      <c r="Y5" s="39" t="str">
        <f>[1]MiscBanners!$B$4</f>
        <v>https://www.samsung.com/us/shop/all-deals/</v>
      </c>
      <c r="Z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5" s="39" t="s">
        <v>394</v>
      </c>
      <c r="AB5" s="39" t="s">
        <v>394</v>
      </c>
      <c r="AC5" s="39" t="s">
        <v>394</v>
      </c>
      <c r="AD5" s="89" t="s">
        <v>408</v>
      </c>
      <c r="AE5" s="39" t="s">
        <v>394</v>
      </c>
      <c r="AF5" s="39" t="s">
        <v>394</v>
      </c>
      <c r="AG5" s="7" t="s">
        <v>559</v>
      </c>
      <c r="AH5" s="39" t="s">
        <v>562</v>
      </c>
      <c r="AI5" s="39" t="s">
        <v>394</v>
      </c>
      <c r="AJ5" s="39" t="str">
        <f>[1]MiscBanners!$B$4</f>
        <v>https://www.samsung.com/us/shop/all-deals/</v>
      </c>
      <c r="AK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5" s="39" t="s">
        <v>394</v>
      </c>
      <c r="AM5" s="39" t="s">
        <v>394</v>
      </c>
      <c r="AN5" s="39" t="s">
        <v>394</v>
      </c>
      <c r="AO5" s="89" t="s">
        <v>257</v>
      </c>
      <c r="AP5" s="39" t="str">
        <f>DDOfferCopy!E4</f>
        <v>22_IM_HeadImage_MB_Note-500xV.jpg</v>
      </c>
      <c r="AQ5" s="39" t="str">
        <f>DDOfferCopy!F4</f>
        <v>Get up to 70% off Galaxy Note 20 5G or Note 20 Ultra 5G</v>
      </c>
      <c r="AR5" s="39" t="str">
        <f>DDOfferCopy!G4</f>
        <v>Now from only $8.34/mo for 36 mos⊕ or $299.99 with eligible trade-in.ᶿ</v>
      </c>
      <c r="AS5" s="39" t="str">
        <f>DDOfferCopy!H4</f>
        <v xml:space="preserve">Get $150 off instantly and up to $550 trade-in credit.ᶿ </v>
      </c>
      <c r="AT5" s="39" t="str">
        <f>DDOfferCopy!I4</f>
        <v>Buy now</v>
      </c>
      <c r="AU5" s="39" t="str">
        <f>DDOfferCopy!P4</f>
        <v>https://www.samsung.com/us/smartphones/galaxy-note20-5g/buy/</v>
      </c>
      <c r="AV5" s="39" t="str">
        <f>DDOfferCopy!$Q$4</f>
        <v>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v>
      </c>
      <c r="AW5" s="39" t="str">
        <f>DDOfferCopy!R4</f>
        <v>NULL</v>
      </c>
      <c r="AX5" s="39" t="str">
        <f>DDOfferCopy!S4</f>
        <v>NULL</v>
      </c>
      <c r="AY5" s="39" t="str">
        <f>DDOfferCopy!T4</f>
        <v>NULL</v>
      </c>
      <c r="AZ5" s="89" t="s">
        <v>256</v>
      </c>
      <c r="BA5" s="39" t="str">
        <f>DDOfferCopy!E5</f>
        <v>21_IM_HeadImage_MB_Galaxy-500xV.jpg</v>
      </c>
      <c r="BB5" s="39" t="str">
        <f>DDOfferCopy!F5</f>
        <v>Get up to 73% off Galaxy S20 5G series devices</v>
      </c>
      <c r="BC5" s="39" t="str">
        <f>DDOfferCopy!G5</f>
        <v>Now from only $7.92/mo for 24 mos⊕ or $189.99 with eligible trade-in.ᶿ</v>
      </c>
      <c r="BD5" s="39" t="str">
        <f>DDOfferCopy!H5</f>
        <v xml:space="preserve">Get up to $150 off instantly and up to $460 trade-in credit.ᶿ </v>
      </c>
      <c r="BE5" s="39" t="str">
        <f>DDOfferCopy!I5</f>
        <v>Buy now</v>
      </c>
      <c r="BF5" s="39" t="str">
        <f>DDOfferCopy!J5</f>
        <v>https://www.samsung.com/us/mobile/galaxy-s20-5g/buy/</v>
      </c>
      <c r="BG5" s="39" t="str">
        <f>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BH5" s="39" t="str">
        <f>DDOfferCopy!L5</f>
        <v>NULL</v>
      </c>
      <c r="BI5" s="39" t="str">
        <f>DDOfferCopy!M5</f>
        <v>NULL</v>
      </c>
      <c r="BJ5" s="39" t="str">
        <f>DDOfferCopy!N5</f>
        <v>NULL</v>
      </c>
      <c r="BK5" s="89" t="s">
        <v>255</v>
      </c>
      <c r="BL5" s="39" t="str">
        <f>DDOfferCopy!E6</f>
        <v>23_IM_HeadImage_MB_Fold-500xV.jpg</v>
      </c>
      <c r="BM5" s="39" t="str">
        <f>DDOfferCopy!F6</f>
        <v xml:space="preserve">Get up to 50% off Galaxy Z Fold2 5G </v>
      </c>
      <c r="BN5" s="39" t="str">
        <f>DDOfferCopy!G6</f>
        <v>Now from only $20.84/mo for 48 mos⊕ or $999.99 with eligible trade-in.ᶿ</v>
      </c>
      <c r="BO5" s="39" t="str">
        <f>DDOfferCopy!H6</f>
        <v xml:space="preserve">Our best Galaxy Z Fold2 5G offer of the year. Get up to $1000 trade-in credit.ᶿ Plus, get up to $120 instant credit toward accessories.§‡ </v>
      </c>
      <c r="BP5" s="39" t="str">
        <f>DDOfferCopy!I6</f>
        <v>Buy now</v>
      </c>
      <c r="BQ5" s="39" t="str">
        <f>DDOfferCopy!J6</f>
        <v>https://www.samsung.com/us/smartphones/galaxy-z-fold2-5g/buy/</v>
      </c>
      <c r="BR5" s="39" t="str">
        <f>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S5" s="39" t="str">
        <f>DDOfferCopy!L6</f>
        <v>NULL</v>
      </c>
      <c r="BT5" s="39" t="str">
        <f>DDOfferCopy!M6</f>
        <v>NULL</v>
      </c>
      <c r="BU5" s="39" t="str">
        <f>DDOfferCopy!N6</f>
        <v>NULL</v>
      </c>
      <c r="BV5" s="90" t="s">
        <v>254</v>
      </c>
      <c r="BW5" s="39" t="str">
        <f>DDOfferCopy!E7</f>
        <v>24-IM-A71-A51-HeadImage-500xV.jpg</v>
      </c>
      <c r="BX5" s="39" t="str">
        <f>DDOfferCopy!F7</f>
        <v>Get 50% off Galaxy A71 5G with T-Mobile and Verizon</v>
      </c>
      <c r="BY5" s="39" t="str">
        <f>DDOfferCopy!G7</f>
        <v xml:space="preserve">Now from only only $8.34/mo for 36 mos⊕ or $299.99 with eligible trade-in.ᶿ </v>
      </c>
      <c r="BZ5" s="39" t="str">
        <f>DDOfferCopy!H7</f>
        <v xml:space="preserve">Save up to $250 instantly and get $75 or more trade-in credit. Treat yourself to blazing fast 5G speeds and incredible features at an amazing value. </v>
      </c>
      <c r="CA5" s="39" t="str">
        <f>DDOfferCopy!I7</f>
        <v>Buy now</v>
      </c>
      <c r="CB5" s="39" t="str">
        <f>DDOfferCopy!J7</f>
        <v>https://www.samsung.com/us/mobile/phones/galaxy-a/buy/?link=galaxy-a71-5g</v>
      </c>
      <c r="CC5" s="91" t="str">
        <f>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D5" s="39" t="str">
        <f>DDOfferCopy!L7</f>
        <v>NULL</v>
      </c>
      <c r="CE5" s="39" t="str">
        <f>DDOfferCopy!M7</f>
        <v>NULL</v>
      </c>
      <c r="CF5" s="39" t="str">
        <f>DDOfferCopy!N7</f>
        <v>NULL</v>
      </c>
      <c r="CG5" s="89" t="s">
        <v>280</v>
      </c>
      <c r="CH5" s="39" t="str">
        <f>MiscBanners!$H$4</f>
        <v>Give-wonder-500xV.jpg</v>
      </c>
      <c r="CI5" s="39" t="str">
        <f>MiscBanners!$I$4</f>
        <v>The gift that keeps on giving</v>
      </c>
      <c r="CJ5" s="39" t="str">
        <f>MiscBanners!$J$4</f>
        <v>NULL</v>
      </c>
      <c r="CK5" s="39" t="str">
        <f>MiscBanners!$K$4</f>
        <v>Discover even more exclusive offers on your favorite products and unlock the power of smart and savvy gifting.</v>
      </c>
      <c r="CL5" s="39" t="str">
        <f>MiscBanners!$L$4</f>
        <v>Shop now</v>
      </c>
      <c r="CM5" s="39" t="str">
        <f>MiscBanners!$M$4</f>
        <v>https://www.samsung.com/us/gift-ideas/</v>
      </c>
      <c r="CN5"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O5" s="39" t="str">
        <f>MiscBanners!$O$4</f>
        <v>NULL</v>
      </c>
      <c r="CP5" s="39" t="str">
        <f>MiscBanners!$P$4</f>
        <v>NULL</v>
      </c>
      <c r="CQ5" s="39" t="str">
        <f>MiscBanners!$Q$4</f>
        <v>NULL</v>
      </c>
      <c r="CR5" s="89" t="s">
        <v>273</v>
      </c>
      <c r="DC5" s="89" t="s">
        <v>440</v>
      </c>
      <c r="DD5" s="39" t="s">
        <v>394</v>
      </c>
      <c r="DE5" s="39" t="s">
        <v>394</v>
      </c>
      <c r="DF5" s="39" t="s">
        <v>394</v>
      </c>
      <c r="DG5" s="91" t="s">
        <v>479</v>
      </c>
      <c r="DH5" s="39" t="s">
        <v>394</v>
      </c>
      <c r="DI5" s="39" t="s">
        <v>475</v>
      </c>
      <c r="DJ5" s="39">
        <v>0</v>
      </c>
      <c r="DK5" s="39" t="s">
        <v>394</v>
      </c>
      <c r="DL5" s="39" t="s">
        <v>394</v>
      </c>
      <c r="DM5" s="39" t="s">
        <v>394</v>
      </c>
      <c r="DN5" s="89" t="s">
        <v>439</v>
      </c>
      <c r="DO5" s="39" t="s">
        <v>394</v>
      </c>
      <c r="DP5" s="39" t="s">
        <v>394</v>
      </c>
      <c r="DQ5" s="39" t="s">
        <v>394</v>
      </c>
      <c r="DR5" s="91" t="s">
        <v>480</v>
      </c>
      <c r="DS5" s="39" t="s">
        <v>394</v>
      </c>
      <c r="DT5" s="39">
        <v>0</v>
      </c>
      <c r="DU5" s="39">
        <v>0</v>
      </c>
      <c r="DV5" s="39" t="s">
        <v>394</v>
      </c>
      <c r="DW5" s="39" t="s">
        <v>394</v>
      </c>
      <c r="DX5" s="39" t="s">
        <v>394</v>
      </c>
      <c r="DY5" s="89" t="s">
        <v>441</v>
      </c>
      <c r="DZ5" s="39" t="s">
        <v>394</v>
      </c>
      <c r="EA5" s="39" t="s">
        <v>394</v>
      </c>
      <c r="EB5" s="39" t="s">
        <v>394</v>
      </c>
      <c r="EC5" s="91" t="s">
        <v>482</v>
      </c>
      <c r="ED5" s="39" t="s">
        <v>394</v>
      </c>
      <c r="EE5" s="39" t="s">
        <v>476</v>
      </c>
      <c r="EF5" s="39">
        <v>0</v>
      </c>
      <c r="EG5" s="39" t="s">
        <v>394</v>
      </c>
      <c r="EH5" s="39" t="s">
        <v>394</v>
      </c>
      <c r="EI5" s="39" t="s">
        <v>394</v>
      </c>
      <c r="EJ5" s="89" t="s">
        <v>477</v>
      </c>
      <c r="EK5" s="39" t="s">
        <v>394</v>
      </c>
      <c r="EL5" s="39" t="s">
        <v>394</v>
      </c>
      <c r="EM5" s="39" t="s">
        <v>394</v>
      </c>
      <c r="EN5" s="91" t="s">
        <v>483</v>
      </c>
      <c r="EO5" s="39" t="s">
        <v>394</v>
      </c>
      <c r="EP5" s="39" t="s">
        <v>476</v>
      </c>
      <c r="EQ5" s="39">
        <v>0</v>
      </c>
      <c r="ER5" s="39" t="s">
        <v>394</v>
      </c>
      <c r="ES5" s="39" t="s">
        <v>394</v>
      </c>
      <c r="ET5" s="39" t="s">
        <v>394</v>
      </c>
      <c r="EU5" s="89"/>
      <c r="EY5" s="91"/>
      <c r="FF5" s="89"/>
      <c r="FJ5" s="91"/>
    </row>
    <row r="6" spans="1:172" s="39" customFormat="1" ht="99.95" customHeight="1" x14ac:dyDescent="0.25">
      <c r="A6" s="39" t="s">
        <v>235</v>
      </c>
      <c r="B6" s="39" t="s">
        <v>236</v>
      </c>
      <c r="C6" s="39" t="s">
        <v>237</v>
      </c>
      <c r="D6" s="39" t="s">
        <v>237</v>
      </c>
      <c r="E6" s="39" t="s">
        <v>0</v>
      </c>
      <c r="G6" s="88" t="s">
        <v>540</v>
      </c>
      <c r="H6" s="88" t="s">
        <v>539</v>
      </c>
      <c r="I6" s="89" t="s">
        <v>381</v>
      </c>
      <c r="J6" s="39" t="s">
        <v>394</v>
      </c>
      <c r="K6" s="39" t="s">
        <v>394</v>
      </c>
      <c r="L6" s="39" t="s">
        <v>394</v>
      </c>
      <c r="M6" s="39" t="s">
        <v>394</v>
      </c>
      <c r="N6" s="39" t="s">
        <v>394</v>
      </c>
      <c r="O6" s="39" t="s">
        <v>394</v>
      </c>
      <c r="P6" s="39" t="s">
        <v>394</v>
      </c>
      <c r="Q6" s="39" t="s">
        <v>394</v>
      </c>
      <c r="R6" s="39" t="s">
        <v>394</v>
      </c>
      <c r="S6" s="89" t="s">
        <v>407</v>
      </c>
      <c r="T6" s="39" t="str">
        <f>'Dynamic Banners'!$L$5</f>
        <v>Cyber-monday-2.png</v>
      </c>
      <c r="U6" s="39" t="str">
        <f>'Dynamic Banners'!$M$5</f>
        <v xml:space="preserve">Cyber Monday is over. But, Cyber Week is just beginning. </v>
      </c>
      <c r="V6" s="39" t="s">
        <v>394</v>
      </c>
      <c r="W6" s="39" t="str">
        <f>'Dynamic Banners'!$N$5</f>
        <v xml:space="preserve">Shop amazing offers on showstopping products while supplies last. </v>
      </c>
      <c r="X6" s="39" t="s">
        <v>394</v>
      </c>
      <c r="Y6" s="39" t="str">
        <f>[1]MiscBanners!$B$4</f>
        <v>https://www.samsung.com/us/shop/all-deals/</v>
      </c>
      <c r="Z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6" s="39" t="s">
        <v>394</v>
      </c>
      <c r="AB6" s="39" t="s">
        <v>394</v>
      </c>
      <c r="AC6" s="39" t="s">
        <v>394</v>
      </c>
      <c r="AD6" s="89" t="s">
        <v>408</v>
      </c>
      <c r="AE6" s="39" t="s">
        <v>394</v>
      </c>
      <c r="AF6" s="39" t="s">
        <v>394</v>
      </c>
      <c r="AG6" s="7" t="s">
        <v>559</v>
      </c>
      <c r="AH6" s="39" t="s">
        <v>560</v>
      </c>
      <c r="AI6" s="39" t="s">
        <v>394</v>
      </c>
      <c r="AJ6" s="39" t="str">
        <f>[1]MiscBanners!$B$4</f>
        <v>https://www.samsung.com/us/shop/all-deals/</v>
      </c>
      <c r="AK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6" s="39" t="s">
        <v>394</v>
      </c>
      <c r="AM6" s="39" t="s">
        <v>394</v>
      </c>
      <c r="AN6" s="39" t="s">
        <v>394</v>
      </c>
      <c r="AO6" s="89" t="s">
        <v>267</v>
      </c>
      <c r="AP6" s="39" t="str">
        <f>CCModuleCopy!$B$3</f>
        <v>IM_HeadImage_Shop_Phones_500xV.jpg</v>
      </c>
      <c r="AQ6" s="39" t="str">
        <f>CCModuleCopy!$C$3</f>
        <v>Save up to $1000 instantly on the latest and greatest Galaxy smartphones</v>
      </c>
      <c r="AR6" s="39" t="str">
        <f>CCModuleCopy!$D$3</f>
        <v>NULL</v>
      </c>
      <c r="AS6"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AT6" s="39" t="str">
        <f>CCModuleCopy!$F$3</f>
        <v>Shop all</v>
      </c>
      <c r="AU6" s="39" t="str">
        <f>CCModuleCopy!$G$3</f>
        <v>https://www.samsung.com/us/shop/all-deals/cell-phone-deals/</v>
      </c>
      <c r="AV6"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W6" s="39" t="str">
        <f>CCModuleCopy!$I$3</f>
        <v>NULL</v>
      </c>
      <c r="AX6" s="39" t="str">
        <f>CCModuleCopy!$J$3</f>
        <v>NULL</v>
      </c>
      <c r="AY6" s="39" t="str">
        <f>CCModuleCopy!$K$3</f>
        <v>NULL</v>
      </c>
      <c r="AZ6" s="89" t="s">
        <v>265</v>
      </c>
      <c r="BA6" s="39" t="str">
        <f>CCModuleCopy!$B$7</f>
        <v>HE_HeadImage_Shop_TVs_500xV.jpg</v>
      </c>
      <c r="BB6" s="39" t="str">
        <f>CCModuleCopy!$C$7</f>
        <v>Get up to $3000 off select 8K, 4K and Lifestyle TVs</v>
      </c>
      <c r="BC6" s="39" t="str">
        <f>CCModuleCopy!$D$7</f>
        <v>NULL</v>
      </c>
      <c r="BD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6" s="39" t="str">
        <f>CCModuleCopy!$F$7</f>
        <v>Shop all</v>
      </c>
      <c r="BF6" s="39" t="str">
        <f>CCModuleCopy!$G$7</f>
        <v>https://www.samsung.com/us/shop/all-deals/tv-and-home-theater-deals/</v>
      </c>
      <c r="BG6"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H6" s="39" t="str">
        <f>CCModuleCopy!$I$7</f>
        <v>NULL</v>
      </c>
      <c r="BI6" s="39" t="str">
        <f>CCModuleCopy!$J$7</f>
        <v>NULL</v>
      </c>
      <c r="BJ6" s="39" t="str">
        <f>CCModuleCopy!$K$7</f>
        <v>NULL</v>
      </c>
      <c r="BK6" s="89" t="s">
        <v>266</v>
      </c>
      <c r="BL6" s="39" t="str">
        <f>CCModuleCopy!$B$15</f>
        <v>Tablet-HeadImage-500xV.jpg</v>
      </c>
      <c r="BM6" s="39" t="str">
        <f>CCModuleCopy!$C$15</f>
        <v>Save up to $150 on select tablets</v>
      </c>
      <c r="BN6" s="39" t="str">
        <f>CCModuleCopy!$D$15</f>
        <v>NULL</v>
      </c>
      <c r="BO6" s="39" t="str">
        <f>CCModuleCopy!$E$15</f>
        <v xml:space="preserve">Empower how you create, learn, game and more with our powerful line of tablets. Shop offers on must-have products from the new Galaxy Tab S7+ to the Galaxy Tab S6 Lite. </v>
      </c>
      <c r="BP6" s="39" t="str">
        <f>CCModuleCopy!$F$15</f>
        <v>Shop all</v>
      </c>
      <c r="BQ6" s="39" t="str">
        <f>CCModuleCopy!$G$15</f>
        <v>https://www.samsung.com/us/shop/all-deals/tablets-laptops-computers-deals/</v>
      </c>
      <c r="BR6"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6" s="39" t="str">
        <f>CCModuleCopy!$I$15</f>
        <v>NULL</v>
      </c>
      <c r="BT6" s="39" t="str">
        <f>CCModuleCopy!$J$15</f>
        <v>NULL</v>
      </c>
      <c r="BU6" s="39" t="str">
        <f>CCModuleCopy!$K$15</f>
        <v>NULL</v>
      </c>
      <c r="BV6" s="89" t="s">
        <v>367</v>
      </c>
      <c r="BW6" s="39" t="str">
        <f>CCModuleCopy!$B$11</f>
        <v>ME_HeadImage_Wearables_500xV.jpg</v>
      </c>
      <c r="BX6" s="39" t="str">
        <f>CCModuleCopy!$C$11</f>
        <v>Get up to $100 off select watches and earbuds</v>
      </c>
      <c r="BY6" s="39" t="str">
        <f>CCModuleCopy!$D$11</f>
        <v>NULL</v>
      </c>
      <c r="BZ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6" s="39" t="str">
        <f>CCModuleCopy!$F$11</f>
        <v>Shop all</v>
      </c>
      <c r="CB6" s="39" t="str">
        <f>CCModuleCopy!$G$11</f>
        <v>https://www.samsung.com/us/shop/all-deals/watches-audio-accessories-deals/</v>
      </c>
      <c r="CC6"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6" s="39" t="str">
        <f>CCModuleCopy!$I$11</f>
        <v>NULL</v>
      </c>
      <c r="CE6" s="39" t="str">
        <f>CCModuleCopy!$J$11</f>
        <v>NULL</v>
      </c>
      <c r="CF6" s="39" t="str">
        <f>CCModuleCopy!$K$11</f>
        <v>NULL</v>
      </c>
      <c r="CG6" s="89" t="s">
        <v>368</v>
      </c>
      <c r="CH6" s="39" t="str">
        <f>CCModuleCopy!$B$13</f>
        <v>CE_HeadImage_Computing_500xV.jpg</v>
      </c>
      <c r="CI6" s="39" t="str">
        <f>CCModuleCopy!$C$13</f>
        <v>Get up to 60% off memory cards, SSD, monitors and more</v>
      </c>
      <c r="CJ6" s="39" t="str">
        <f>CCModuleCopy!$D$13</f>
        <v>NULL</v>
      </c>
      <c r="CK6" s="39" t="str">
        <f>CCModuleCopy!$E$13</f>
        <v xml:space="preserve">Expand the way you play, store and create and get up to 30% off monitors, up to 60% off memory cards, up to 35% off SSD and more. Work and game smarter, not harder with these must-have computing offers. </v>
      </c>
      <c r="CL6" s="39" t="str">
        <f>CCModuleCopy!$F$13</f>
        <v>Shop all</v>
      </c>
      <c r="CM6" s="39" t="str">
        <f>CCModuleCopy!$G$13</f>
        <v>https://www.samsung.com/us/shop/all-deals/tablets-laptops-computers-deals/</v>
      </c>
      <c r="CN6"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6" s="39" t="str">
        <f>CCModuleCopy!$I$13</f>
        <v>NULL</v>
      </c>
      <c r="CP6" s="39" t="str">
        <f>CCModuleCopy!$J$13</f>
        <v>NULL</v>
      </c>
      <c r="CQ6" s="39" t="str">
        <f>CCModuleCopy!$K$13</f>
        <v>NULL</v>
      </c>
      <c r="CR6" s="89" t="s">
        <v>279</v>
      </c>
      <c r="CS6" s="39" t="str">
        <f>CCModuleCopy!$B$9</f>
        <v>HA_HeadImage_Shop_HA_500xV.jpg</v>
      </c>
      <c r="CT6" s="39" t="str">
        <f>CCModuleCopy!$C$9</f>
        <v>Save up to 50% on everything you need to upgrade your home and home care</v>
      </c>
      <c r="CU6" s="39" t="str">
        <f>CCModuleCopy!$D$9</f>
        <v>NULL</v>
      </c>
      <c r="CV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6" s="39" t="str">
        <f>CCModuleCopy!$F$9</f>
        <v>Shop all</v>
      </c>
      <c r="CX6" s="39" t="str">
        <f>CCModuleCopy!$G$9</f>
        <v>https://www.samsung.com/us/shop/all-deals/home-appliance-and-smart-home-sales/</v>
      </c>
      <c r="CY6"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6" s="39" t="str">
        <f>CCModuleCopy!$I$9</f>
        <v>NULL</v>
      </c>
      <c r="DA6" s="39" t="str">
        <f>CCModuleCopy!$J$9</f>
        <v>NULL</v>
      </c>
      <c r="DB6" s="39" t="str">
        <f>CCModuleCopy!$K$9</f>
        <v>NULL</v>
      </c>
      <c r="DC6" s="89" t="s">
        <v>280</v>
      </c>
      <c r="DD6" s="39" t="str">
        <f>MiscBanners!$H$4</f>
        <v>Give-wonder-500xV.jpg</v>
      </c>
      <c r="DE6" s="39" t="str">
        <f>MiscBanners!$I$4</f>
        <v>The gift that keeps on giving</v>
      </c>
      <c r="DF6" s="39" t="str">
        <f>MiscBanners!$J$4</f>
        <v>NULL</v>
      </c>
      <c r="DG6" s="91" t="str">
        <f>MiscBanners!$K$4</f>
        <v>Discover even more exclusive offers on your favorite products and unlock the power of smart and savvy gifting.</v>
      </c>
      <c r="DH6" s="39" t="str">
        <f>MiscBanners!$L$4</f>
        <v>Shop now</v>
      </c>
      <c r="DI6" s="39" t="str">
        <f>MiscBanners!$M$4</f>
        <v>https://www.samsung.com/us/gift-ideas/</v>
      </c>
      <c r="DJ6"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6" s="39" t="str">
        <f>MiscBanners!$O$4</f>
        <v>NULL</v>
      </c>
      <c r="DL6" s="39" t="str">
        <f>MiscBanners!$P$4</f>
        <v>NULL</v>
      </c>
      <c r="DM6" s="39" t="str">
        <f>MiscBanners!$Q$4</f>
        <v>NULL</v>
      </c>
      <c r="DN6" s="89" t="s">
        <v>273</v>
      </c>
      <c r="DR6" s="91"/>
      <c r="DY6" s="89" t="s">
        <v>481</v>
      </c>
      <c r="DZ6" s="39" t="str">
        <f>TC!B4</f>
        <v>NULL</v>
      </c>
      <c r="EA6" s="39" t="str">
        <f>TC!C4</f>
        <v>NULL</v>
      </c>
      <c r="EB6" s="39" t="str">
        <f>TC!D4</f>
        <v>NULL</v>
      </c>
      <c r="EC6"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6" s="39" t="str">
        <f>TC!F4</f>
        <v>NULL</v>
      </c>
      <c r="EE6" s="39" t="str">
        <f>TC!G4</f>
        <v>https://www.samsung.com/us/</v>
      </c>
      <c r="EF6" s="39">
        <f>TC!H4</f>
        <v>0</v>
      </c>
      <c r="EG6" s="39" t="str">
        <f>TC!I4</f>
        <v>NULL</v>
      </c>
      <c r="EH6" s="39" t="str">
        <f>TC!J4</f>
        <v>NULL</v>
      </c>
      <c r="EI6" s="39" t="str">
        <f>TC!K4</f>
        <v>NULL</v>
      </c>
      <c r="EJ6" s="89" t="s">
        <v>439</v>
      </c>
      <c r="EK6" s="39" t="str">
        <f>TC!B5</f>
        <v>NULL</v>
      </c>
      <c r="EL6" s="39" t="str">
        <f>TC!C5</f>
        <v>NULL</v>
      </c>
      <c r="EM6" s="39" t="str">
        <f>TC!D5</f>
        <v>NULL</v>
      </c>
      <c r="EN6"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6" s="39" t="str">
        <f>TC!F5</f>
        <v>NULL</v>
      </c>
      <c r="EP6" s="39" t="str">
        <f>TC!G5</f>
        <v>https://www.samsung.com/us/</v>
      </c>
      <c r="EQ6" s="39">
        <f>TC!H5</f>
        <v>0</v>
      </c>
      <c r="ER6" s="39" t="str">
        <f>TC!I5</f>
        <v>NULL</v>
      </c>
      <c r="ES6" s="39" t="str">
        <f>TC!J5</f>
        <v>NULL</v>
      </c>
      <c r="ET6" s="39" t="str">
        <f>TC!K5</f>
        <v>NULL</v>
      </c>
      <c r="EU6" s="89" t="s">
        <v>441</v>
      </c>
      <c r="EV6" s="39" t="str">
        <f>TC!B6</f>
        <v>NULL</v>
      </c>
      <c r="EW6" s="39" t="str">
        <f>TC!C6</f>
        <v>NULL</v>
      </c>
      <c r="EX6" s="39" t="str">
        <f>TC!D6</f>
        <v>NULL</v>
      </c>
      <c r="EY6"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Z6" s="39" t="str">
        <f>TC!F6</f>
        <v>NULL</v>
      </c>
      <c r="FA6" s="39" t="str">
        <f>TC!G6</f>
        <v>https://www.samsung.com/us/</v>
      </c>
      <c r="FB6" s="39">
        <f>TC!H6</f>
        <v>0</v>
      </c>
      <c r="FC6" s="39" t="str">
        <f>TC!I6</f>
        <v>NULL</v>
      </c>
      <c r="FD6" s="39" t="str">
        <f>TC!J6</f>
        <v>NULL</v>
      </c>
      <c r="FE6" s="39" t="str">
        <f>TC!K6</f>
        <v>NULL</v>
      </c>
      <c r="FF6" s="89" t="s">
        <v>477</v>
      </c>
      <c r="FG6" s="39" t="str">
        <f>TC!B7</f>
        <v>NULL</v>
      </c>
      <c r="FH6" s="39" t="str">
        <f>TC!C7</f>
        <v>NULL</v>
      </c>
      <c r="FI6" s="39" t="str">
        <f>TC!D7</f>
        <v>NULL</v>
      </c>
      <c r="FJ6"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FK6" s="39" t="str">
        <f>TC!F7</f>
        <v>NULL</v>
      </c>
      <c r="FL6" s="39">
        <f>TC!G7</f>
        <v>0</v>
      </c>
      <c r="FM6" s="39">
        <f>TC!H7</f>
        <v>0</v>
      </c>
      <c r="FN6" s="39" t="str">
        <f>TC!I7</f>
        <v>NULL</v>
      </c>
      <c r="FO6" s="39" t="str">
        <f>TC!J7</f>
        <v>NULL</v>
      </c>
      <c r="FP6" s="39" t="str">
        <f>TC!K7</f>
        <v>NULL</v>
      </c>
    </row>
    <row r="7" spans="1:172" s="39" customFormat="1" ht="99.95" customHeight="1" x14ac:dyDescent="0.25">
      <c r="A7" s="39" t="s">
        <v>235</v>
      </c>
      <c r="B7" s="39" t="s">
        <v>240</v>
      </c>
      <c r="C7" s="39" t="s">
        <v>237</v>
      </c>
      <c r="D7" s="39" t="s">
        <v>237</v>
      </c>
      <c r="E7" s="39" t="s">
        <v>0</v>
      </c>
      <c r="G7" s="88" t="s">
        <v>540</v>
      </c>
      <c r="H7" s="88" t="s">
        <v>539</v>
      </c>
      <c r="I7" s="89" t="s">
        <v>381</v>
      </c>
      <c r="J7" s="39" t="s">
        <v>394</v>
      </c>
      <c r="K7" s="39" t="s">
        <v>394</v>
      </c>
      <c r="L7" s="39" t="s">
        <v>394</v>
      </c>
      <c r="M7" s="39" t="s">
        <v>394</v>
      </c>
      <c r="N7" s="39" t="s">
        <v>394</v>
      </c>
      <c r="O7" s="39" t="s">
        <v>394</v>
      </c>
      <c r="P7" s="39" t="s">
        <v>394</v>
      </c>
      <c r="Q7" s="39" t="s">
        <v>394</v>
      </c>
      <c r="R7" s="39" t="s">
        <v>394</v>
      </c>
      <c r="S7" s="89" t="s">
        <v>407</v>
      </c>
      <c r="T7" s="39" t="str">
        <f>'Dynamic Banners'!$L$5</f>
        <v>Cyber-monday-2.png</v>
      </c>
      <c r="U7" s="39" t="str">
        <f>'Dynamic Banners'!$M$5</f>
        <v xml:space="preserve">Cyber Monday is over. But, Cyber Week is just beginning. </v>
      </c>
      <c r="V7" s="39" t="s">
        <v>394</v>
      </c>
      <c r="W7" s="39" t="str">
        <f>'Dynamic Banners'!$N$5</f>
        <v xml:space="preserve">Shop amazing offers on showstopping products while supplies last. </v>
      </c>
      <c r="X7" s="39" t="s">
        <v>394</v>
      </c>
      <c r="Y7" s="39" t="str">
        <f>[1]MiscBanners!$B$4</f>
        <v>https://www.samsung.com/us/shop/all-deals/</v>
      </c>
      <c r="Z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7" s="39" t="s">
        <v>394</v>
      </c>
      <c r="AB7" s="39" t="s">
        <v>394</v>
      </c>
      <c r="AC7" s="39" t="s">
        <v>394</v>
      </c>
      <c r="AD7" s="89" t="s">
        <v>408</v>
      </c>
      <c r="AE7" s="39" t="s">
        <v>394</v>
      </c>
      <c r="AF7" s="39" t="s">
        <v>394</v>
      </c>
      <c r="AG7" s="7" t="s">
        <v>559</v>
      </c>
      <c r="AH7" s="39" t="s">
        <v>561</v>
      </c>
      <c r="AI7" s="39" t="s">
        <v>394</v>
      </c>
      <c r="AJ7" s="39" t="str">
        <f>[1]MiscBanners!$B$4</f>
        <v>https://www.samsung.com/us/shop/all-deals/</v>
      </c>
      <c r="AK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7" s="39" t="s">
        <v>394</v>
      </c>
      <c r="AM7" s="39" t="s">
        <v>394</v>
      </c>
      <c r="AN7" s="39" t="s">
        <v>394</v>
      </c>
      <c r="AO7" s="89" t="s">
        <v>265</v>
      </c>
      <c r="AP7" s="39" t="str">
        <f>CCModuleCopy!$B$7</f>
        <v>HE_HeadImage_Shop_TVs_500xV.jpg</v>
      </c>
      <c r="AQ7" s="39" t="str">
        <f>CCModuleCopy!$C$7</f>
        <v>Get up to $3000 off select 8K, 4K and Lifestyle TVs</v>
      </c>
      <c r="AR7" s="39" t="str">
        <f>CCModuleCopy!$D$7</f>
        <v>NULL</v>
      </c>
      <c r="AS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7" s="39" t="str">
        <f>CCModuleCopy!$F$7</f>
        <v>Shop all</v>
      </c>
      <c r="AU7" s="39" t="str">
        <f>CCModuleCopy!$G$7</f>
        <v>https://www.samsung.com/us/shop/all-deals/tv-and-home-theater-deals/</v>
      </c>
      <c r="AV7"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W7" s="39" t="str">
        <f>CCModuleCopy!$I$7</f>
        <v>NULL</v>
      </c>
      <c r="AX7" s="39" t="str">
        <f>CCModuleCopy!$J$7</f>
        <v>NULL</v>
      </c>
      <c r="AY7" s="39" t="str">
        <f>CCModuleCopy!$K$7</f>
        <v>NULL</v>
      </c>
      <c r="AZ7" s="89" t="s">
        <v>267</v>
      </c>
      <c r="BA7" s="39" t="str">
        <f>CCModuleCopy!$B$3</f>
        <v>IM_HeadImage_Shop_Phones_500xV.jpg</v>
      </c>
      <c r="BB7" s="39" t="str">
        <f>CCModuleCopy!$C$3</f>
        <v>Save up to $1000 instantly on the latest and greatest Galaxy smartphones</v>
      </c>
      <c r="BC7" s="39" t="str">
        <f>CCModuleCopy!$D$3</f>
        <v>NULL</v>
      </c>
      <c r="BD7"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7" s="39" t="str">
        <f>CCModuleCopy!$F$3</f>
        <v>Shop all</v>
      </c>
      <c r="BF7" s="39" t="str">
        <f>CCModuleCopy!$G$3</f>
        <v>https://www.samsung.com/us/shop/all-deals/cell-phone-deals/</v>
      </c>
      <c r="BG7"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7" s="39" t="str">
        <f>CCModuleCopy!$I$3</f>
        <v>NULL</v>
      </c>
      <c r="BI7" s="39" t="str">
        <f>CCModuleCopy!$J$3</f>
        <v>NULL</v>
      </c>
      <c r="BJ7" s="39" t="str">
        <f>CCModuleCopy!$K$3</f>
        <v>NULL</v>
      </c>
      <c r="BK7" s="89" t="s">
        <v>266</v>
      </c>
      <c r="BL7" s="39">
        <v>0</v>
      </c>
      <c r="BM7" s="39" t="s">
        <v>365</v>
      </c>
      <c r="BN7" s="39" t="s">
        <v>394</v>
      </c>
      <c r="BO7" s="39" t="s">
        <v>366</v>
      </c>
      <c r="BP7" s="39" t="s">
        <v>89</v>
      </c>
      <c r="BQ7" s="39">
        <v>0</v>
      </c>
      <c r="BR7" s="39">
        <v>0</v>
      </c>
      <c r="BS7" s="39" t="s">
        <v>394</v>
      </c>
      <c r="BT7" s="39" t="s">
        <v>394</v>
      </c>
      <c r="BU7" s="39" t="s">
        <v>394</v>
      </c>
      <c r="BV7" s="89" t="s">
        <v>367</v>
      </c>
      <c r="BW7" s="39" t="str">
        <f>CCModuleCopy!$B$11</f>
        <v>ME_HeadImage_Wearables_500xV.jpg</v>
      </c>
      <c r="BX7" s="39" t="str">
        <f>CCModuleCopy!$C$11</f>
        <v>Get up to $100 off select watches and earbuds</v>
      </c>
      <c r="BY7" s="39" t="str">
        <f>CCModuleCopy!$D$11</f>
        <v>NULL</v>
      </c>
      <c r="BZ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7" s="39" t="str">
        <f>CCModuleCopy!$F$11</f>
        <v>Shop all</v>
      </c>
      <c r="CB7" s="39" t="str">
        <f>CCModuleCopy!$G$11</f>
        <v>https://www.samsung.com/us/shop/all-deals/watches-audio-accessories-deals/</v>
      </c>
      <c r="CC7"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7" s="39" t="str">
        <f>CCModuleCopy!$I$11</f>
        <v>NULL</v>
      </c>
      <c r="CE7" s="39" t="str">
        <f>CCModuleCopy!$J$11</f>
        <v>NULL</v>
      </c>
      <c r="CF7" s="39" t="str">
        <f>CCModuleCopy!$K$11</f>
        <v>NULL</v>
      </c>
      <c r="CG7" s="89" t="s">
        <v>368</v>
      </c>
      <c r="CH7" s="39" t="str">
        <f>CCModuleCopy!$B$13</f>
        <v>CE_HeadImage_Computing_500xV.jpg</v>
      </c>
      <c r="CI7" s="39" t="str">
        <f>CCModuleCopy!$C$13</f>
        <v>Get up to 60% off memory cards, SSD, monitors and more</v>
      </c>
      <c r="CJ7" s="39" t="str">
        <f>CCModuleCopy!$D$13</f>
        <v>NULL</v>
      </c>
      <c r="CK7" s="39" t="str">
        <f>CCModuleCopy!$E$13</f>
        <v xml:space="preserve">Expand the way you play, store and create and get up to 30% off monitors, up to 60% off memory cards, up to 35% off SSD and more. Work and game smarter, not harder with these must-have computing offers. </v>
      </c>
      <c r="CL7" s="39" t="str">
        <f>CCModuleCopy!$F$13</f>
        <v>Shop all</v>
      </c>
      <c r="CM7" s="39" t="str">
        <f>CCModuleCopy!$G$13</f>
        <v>https://www.samsung.com/us/shop/all-deals/tablets-laptops-computers-deals/</v>
      </c>
      <c r="CN7"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7" s="39" t="str">
        <f>CCModuleCopy!$I$13</f>
        <v>NULL</v>
      </c>
      <c r="CP7" s="39" t="str">
        <f>CCModuleCopy!$J$13</f>
        <v>NULL</v>
      </c>
      <c r="CQ7" s="39" t="str">
        <f>CCModuleCopy!$K$13</f>
        <v>NULL</v>
      </c>
      <c r="CR7" s="89" t="s">
        <v>279</v>
      </c>
      <c r="CS7" s="39" t="str">
        <f>CCModuleCopy!$B$9</f>
        <v>HA_HeadImage_Shop_HA_500xV.jpg</v>
      </c>
      <c r="CT7" s="39" t="str">
        <f>CCModuleCopy!$C$9</f>
        <v>Save up to 50% on everything you need to upgrade your home and home care</v>
      </c>
      <c r="CU7" s="39" t="str">
        <f>CCModuleCopy!$D$9</f>
        <v>NULL</v>
      </c>
      <c r="CV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7" s="39" t="str">
        <f>CCModuleCopy!$F$9</f>
        <v>Shop all</v>
      </c>
      <c r="CX7" s="39" t="str">
        <f>CCModuleCopy!$G$9</f>
        <v>https://www.samsung.com/us/shop/all-deals/home-appliance-and-smart-home-sales/</v>
      </c>
      <c r="CY7"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7" s="39" t="str">
        <f>CCModuleCopy!$I$9</f>
        <v>NULL</v>
      </c>
      <c r="DA7" s="39" t="str">
        <f>CCModuleCopy!$J$9</f>
        <v>NULL</v>
      </c>
      <c r="DB7" s="39" t="str">
        <f>CCModuleCopy!$K$9</f>
        <v>NULL</v>
      </c>
      <c r="DC7" s="89" t="s">
        <v>280</v>
      </c>
      <c r="DD7" s="39" t="str">
        <f>MiscBanners!$H$4</f>
        <v>Give-wonder-500xV.jpg</v>
      </c>
      <c r="DE7" s="39" t="str">
        <f>MiscBanners!$I$4</f>
        <v>The gift that keeps on giving</v>
      </c>
      <c r="DF7" s="39" t="str">
        <f>MiscBanners!$J$4</f>
        <v>NULL</v>
      </c>
      <c r="DG7" s="91" t="str">
        <f>MiscBanners!$K$4</f>
        <v>Discover even more exclusive offers on your favorite products and unlock the power of smart and savvy gifting.</v>
      </c>
      <c r="DH7" s="39" t="str">
        <f>MiscBanners!$L$4</f>
        <v>Shop now</v>
      </c>
      <c r="DI7" s="39" t="str">
        <f>MiscBanners!$M$4</f>
        <v>https://www.samsung.com/us/gift-ideas/</v>
      </c>
      <c r="DJ7"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7" s="39" t="str">
        <f>MiscBanners!$O$4</f>
        <v>NULL</v>
      </c>
      <c r="DL7" s="39" t="str">
        <f>MiscBanners!$P$4</f>
        <v>NULL</v>
      </c>
      <c r="DM7" s="39" t="str">
        <f>MiscBanners!$Q$4</f>
        <v>NULL</v>
      </c>
      <c r="DN7" s="89" t="s">
        <v>273</v>
      </c>
      <c r="DR7" s="91"/>
      <c r="DY7" s="89" t="s">
        <v>481</v>
      </c>
      <c r="DZ7" s="39" t="str">
        <f>TC!B5</f>
        <v>NULL</v>
      </c>
      <c r="EA7" s="39" t="str">
        <f>TC!C5</f>
        <v>NULL</v>
      </c>
      <c r="EB7" s="39" t="str">
        <f>TC!D5</f>
        <v>NULL</v>
      </c>
      <c r="EC7"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7" s="39" t="str">
        <f>TC!F5</f>
        <v>NULL</v>
      </c>
      <c r="EE7" s="39" t="str">
        <f>TC!G5</f>
        <v>https://www.samsung.com/us/</v>
      </c>
      <c r="EF7" s="39">
        <f>TC!H5</f>
        <v>0</v>
      </c>
      <c r="EG7" s="39" t="str">
        <f>TC!I5</f>
        <v>NULL</v>
      </c>
      <c r="EH7" s="39" t="str">
        <f>TC!J5</f>
        <v>NULL</v>
      </c>
      <c r="EI7" s="39" t="str">
        <f>TC!K5</f>
        <v>NULL</v>
      </c>
      <c r="EJ7" s="89" t="s">
        <v>439</v>
      </c>
      <c r="EK7" s="39" t="str">
        <f>TC!B6</f>
        <v>NULL</v>
      </c>
      <c r="EL7" s="39" t="str">
        <f>TC!C6</f>
        <v>NULL</v>
      </c>
      <c r="EM7" s="39" t="str">
        <f>TC!D6</f>
        <v>NULL</v>
      </c>
      <c r="EN7"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7" s="39" t="str">
        <f>TC!F6</f>
        <v>NULL</v>
      </c>
      <c r="EP7" s="39" t="str">
        <f>TC!G6</f>
        <v>https://www.samsung.com/us/</v>
      </c>
      <c r="EQ7" s="39">
        <f>TC!H6</f>
        <v>0</v>
      </c>
      <c r="ER7" s="39" t="str">
        <f>TC!I6</f>
        <v>NULL</v>
      </c>
      <c r="ES7" s="39" t="str">
        <f>TC!J6</f>
        <v>NULL</v>
      </c>
      <c r="ET7" s="39" t="str">
        <f>TC!K6</f>
        <v>NULL</v>
      </c>
      <c r="EU7" s="89" t="s">
        <v>441</v>
      </c>
      <c r="EV7" s="39" t="str">
        <f>TC!B7</f>
        <v>NULL</v>
      </c>
      <c r="EW7" s="39" t="str">
        <f>TC!C7</f>
        <v>NULL</v>
      </c>
      <c r="EX7" s="39" t="str">
        <f>TC!D7</f>
        <v>NULL</v>
      </c>
      <c r="EY7"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EZ7" s="39" t="str">
        <f>TC!F7</f>
        <v>NULL</v>
      </c>
      <c r="FA7" s="39">
        <f>TC!G7</f>
        <v>0</v>
      </c>
      <c r="FB7" s="39">
        <f>TC!H7</f>
        <v>0</v>
      </c>
      <c r="FC7" s="39" t="str">
        <f>TC!I7</f>
        <v>NULL</v>
      </c>
      <c r="FD7" s="39" t="str">
        <f>TC!J7</f>
        <v>NULL</v>
      </c>
      <c r="FE7" s="39" t="str">
        <f>TC!K7</f>
        <v>NULL</v>
      </c>
      <c r="FF7" s="89" t="s">
        <v>477</v>
      </c>
      <c r="FG7" s="39">
        <f>TC!B8</f>
        <v>0</v>
      </c>
      <c r="FH7" s="39">
        <f>TC!C8</f>
        <v>0</v>
      </c>
      <c r="FI7" s="39">
        <f>TC!D8</f>
        <v>0</v>
      </c>
      <c r="FJ7" s="91">
        <f>TC!E8</f>
        <v>0</v>
      </c>
      <c r="FK7" s="39">
        <f>TC!F8</f>
        <v>0</v>
      </c>
      <c r="FL7" s="39">
        <f>TC!G8</f>
        <v>0</v>
      </c>
      <c r="FM7" s="39">
        <f>TC!H8</f>
        <v>0</v>
      </c>
      <c r="FN7" s="39">
        <f>TC!I8</f>
        <v>0</v>
      </c>
      <c r="FO7" s="39">
        <f>TC!J8</f>
        <v>0</v>
      </c>
      <c r="FP7" s="39">
        <f>TC!K8</f>
        <v>0</v>
      </c>
    </row>
    <row r="8" spans="1:172" s="39" customFormat="1" ht="99.95" customHeight="1" x14ac:dyDescent="0.25">
      <c r="A8" s="39" t="s">
        <v>235</v>
      </c>
      <c r="B8" s="92" t="s">
        <v>241</v>
      </c>
      <c r="C8" s="39" t="s">
        <v>237</v>
      </c>
      <c r="D8" s="39" t="s">
        <v>237</v>
      </c>
      <c r="E8" s="39" t="s">
        <v>0</v>
      </c>
      <c r="G8" s="88" t="s">
        <v>540</v>
      </c>
      <c r="H8" s="88" t="s">
        <v>539</v>
      </c>
      <c r="I8" s="89" t="s">
        <v>381</v>
      </c>
      <c r="J8" s="39" t="s">
        <v>394</v>
      </c>
      <c r="K8" s="39" t="s">
        <v>394</v>
      </c>
      <c r="L8" s="39" t="s">
        <v>394</v>
      </c>
      <c r="M8" s="39" t="s">
        <v>394</v>
      </c>
      <c r="N8" s="39" t="s">
        <v>394</v>
      </c>
      <c r="O8" s="39" t="s">
        <v>394</v>
      </c>
      <c r="P8" s="39" t="s">
        <v>394</v>
      </c>
      <c r="Q8" s="39" t="s">
        <v>394</v>
      </c>
      <c r="R8" s="39" t="s">
        <v>394</v>
      </c>
      <c r="S8" s="89" t="s">
        <v>407</v>
      </c>
      <c r="T8" s="39" t="str">
        <f>'Dynamic Banners'!$L$5</f>
        <v>Cyber-monday-2.png</v>
      </c>
      <c r="U8" s="39" t="str">
        <f>'Dynamic Banners'!$M$5</f>
        <v xml:space="preserve">Cyber Monday is over. But, Cyber Week is just beginning. </v>
      </c>
      <c r="V8" s="39" t="s">
        <v>394</v>
      </c>
      <c r="W8" s="39" t="str">
        <f>'Dynamic Banners'!$N$5</f>
        <v xml:space="preserve">Shop amazing offers on showstopping products while supplies last. </v>
      </c>
      <c r="X8" s="39" t="s">
        <v>394</v>
      </c>
      <c r="Y8" s="39" t="str">
        <f>[1]MiscBanners!$B$4</f>
        <v>https://www.samsung.com/us/shop/all-deals/</v>
      </c>
      <c r="Z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8" s="39" t="s">
        <v>394</v>
      </c>
      <c r="AB8" s="39" t="s">
        <v>394</v>
      </c>
      <c r="AC8" s="39" t="s">
        <v>394</v>
      </c>
      <c r="AD8" s="89" t="s">
        <v>408</v>
      </c>
      <c r="AE8" s="39" t="s">
        <v>394</v>
      </c>
      <c r="AF8" s="39" t="s">
        <v>394</v>
      </c>
      <c r="AG8" s="7" t="s">
        <v>559</v>
      </c>
      <c r="AH8" s="39" t="s">
        <v>561</v>
      </c>
      <c r="AI8" s="39" t="s">
        <v>394</v>
      </c>
      <c r="AJ8" s="39" t="str">
        <f>[1]MiscBanners!$B$4</f>
        <v>https://www.samsung.com/us/shop/all-deals/</v>
      </c>
      <c r="AK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8" s="39" t="s">
        <v>394</v>
      </c>
      <c r="AM8" s="39" t="s">
        <v>394</v>
      </c>
      <c r="AN8" s="39" t="s">
        <v>394</v>
      </c>
      <c r="AO8" s="89" t="s">
        <v>266</v>
      </c>
      <c r="AP8" s="39" t="str">
        <f>CCModuleCopy!$B$15</f>
        <v>Tablet-HeadImage-500xV.jpg</v>
      </c>
      <c r="AQ8" s="39" t="str">
        <f>CCModuleCopy!$C$15</f>
        <v>Save up to $150 on select tablets</v>
      </c>
      <c r="AR8" s="39" t="str">
        <f>CCModuleCopy!$D$15</f>
        <v>NULL</v>
      </c>
      <c r="AS8" s="39" t="str">
        <f>CCModuleCopy!$E$15</f>
        <v xml:space="preserve">Empower how you create, learn, game and more with our powerful line of tablets. Shop offers on must-have products from the new Galaxy Tab S7+ to the Galaxy Tab S6 Lite. </v>
      </c>
      <c r="AT8" s="39" t="str">
        <f>CCModuleCopy!$F$15</f>
        <v>Shop all</v>
      </c>
      <c r="AU8" s="39" t="str">
        <f>CCModuleCopy!$G$15</f>
        <v>https://www.samsung.com/us/shop/all-deals/tablets-laptops-computers-deals/</v>
      </c>
      <c r="AV8"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W8" s="39" t="str">
        <f>CCModuleCopy!$I$15</f>
        <v>NULL</v>
      </c>
      <c r="AX8" s="39" t="str">
        <f>CCModuleCopy!$J$15</f>
        <v>NULL</v>
      </c>
      <c r="AY8" s="39" t="str">
        <f>CCModuleCopy!$K$15</f>
        <v>NULL</v>
      </c>
      <c r="AZ8" s="89" t="s">
        <v>267</v>
      </c>
      <c r="BA8" s="39" t="str">
        <f>CCModuleCopy!$B$3</f>
        <v>IM_HeadImage_Shop_Phones_500xV.jpg</v>
      </c>
      <c r="BB8" s="39" t="str">
        <f>CCModuleCopy!$C$3</f>
        <v>Save up to $1000 instantly on the latest and greatest Galaxy smartphones</v>
      </c>
      <c r="BC8" s="39" t="str">
        <f>CCModuleCopy!$D$3</f>
        <v>NULL</v>
      </c>
      <c r="BD8"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8" s="39" t="str">
        <f>CCModuleCopy!$F$3</f>
        <v>Shop all</v>
      </c>
      <c r="BF8" s="39" t="str">
        <f>CCModuleCopy!$G$3</f>
        <v>https://www.samsung.com/us/shop/all-deals/cell-phone-deals/</v>
      </c>
      <c r="BG8"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8" s="39" t="str">
        <f>CCModuleCopy!$I$3</f>
        <v>NULL</v>
      </c>
      <c r="BI8" s="39" t="str">
        <f>CCModuleCopy!$J$3</f>
        <v>NULL</v>
      </c>
      <c r="BJ8" s="39" t="str">
        <f>CCModuleCopy!$K$3</f>
        <v>NULL</v>
      </c>
      <c r="BK8" s="89" t="s">
        <v>265</v>
      </c>
      <c r="BL8" s="39" t="str">
        <f>CCModuleCopy!$B$7</f>
        <v>HE_HeadImage_Shop_TVs_500xV.jpg</v>
      </c>
      <c r="BM8" s="39" t="str">
        <f>CCModuleCopy!$C$7</f>
        <v>Get up to $3000 off select 8K, 4K and Lifestyle TVs</v>
      </c>
      <c r="BN8" s="39" t="str">
        <f>CCModuleCopy!$D$7</f>
        <v>NULL</v>
      </c>
      <c r="BO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8" s="39" t="str">
        <f>CCModuleCopy!$F$7</f>
        <v>Shop all</v>
      </c>
      <c r="BQ8" s="39" t="str">
        <f>CCModuleCopy!$G$7</f>
        <v>https://www.samsung.com/us/shop/all-deals/tv-and-home-theater-deals/</v>
      </c>
      <c r="BR8"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8" s="39" t="str">
        <f>CCModuleCopy!$I$7</f>
        <v>NULL</v>
      </c>
      <c r="BT8" s="39" t="str">
        <f>CCModuleCopy!$J$7</f>
        <v>NULL</v>
      </c>
      <c r="BU8" s="39" t="str">
        <f>CCModuleCopy!$K$7</f>
        <v>NULL</v>
      </c>
      <c r="BV8" s="89" t="s">
        <v>367</v>
      </c>
      <c r="BW8" s="39" t="str">
        <f>CCModuleCopy!$B$11</f>
        <v>ME_HeadImage_Wearables_500xV.jpg</v>
      </c>
      <c r="BX8" s="39" t="str">
        <f>CCModuleCopy!$C$11</f>
        <v>Get up to $100 off select watches and earbuds</v>
      </c>
      <c r="BY8" s="39" t="str">
        <f>CCModuleCopy!$D$11</f>
        <v>NULL</v>
      </c>
      <c r="BZ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8" s="39" t="str">
        <f>CCModuleCopy!$F$11</f>
        <v>Shop all</v>
      </c>
      <c r="CB8" s="39" t="str">
        <f>CCModuleCopy!$G$11</f>
        <v>https://www.samsung.com/us/shop/all-deals/watches-audio-accessories-deals/</v>
      </c>
      <c r="CC8"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8" s="39" t="str">
        <f>CCModuleCopy!$I$11</f>
        <v>NULL</v>
      </c>
      <c r="CE8" s="39" t="str">
        <f>CCModuleCopy!$J$11</f>
        <v>NULL</v>
      </c>
      <c r="CF8" s="39" t="str">
        <f>CCModuleCopy!$K$11</f>
        <v>NULL</v>
      </c>
      <c r="CG8" s="89" t="s">
        <v>368</v>
      </c>
      <c r="CH8" s="39" t="str">
        <f>CCModuleCopy!$B$13</f>
        <v>CE_HeadImage_Computing_500xV.jpg</v>
      </c>
      <c r="CI8" s="39" t="str">
        <f>CCModuleCopy!$C$13</f>
        <v>Get up to 60% off memory cards, SSD, monitors and more</v>
      </c>
      <c r="CJ8" s="39" t="str">
        <f>CCModuleCopy!$D$13</f>
        <v>NULL</v>
      </c>
      <c r="CK8" s="39" t="str">
        <f>CCModuleCopy!$E$13</f>
        <v xml:space="preserve">Expand the way you play, store and create and get up to 30% off monitors, up to 60% off memory cards, up to 35% off SSD and more. Work and game smarter, not harder with these must-have computing offers. </v>
      </c>
      <c r="CL8" s="39" t="str">
        <f>CCModuleCopy!$F$13</f>
        <v>Shop all</v>
      </c>
      <c r="CM8" s="39" t="str">
        <f>CCModuleCopy!$G$13</f>
        <v>https://www.samsung.com/us/shop/all-deals/tablets-laptops-computers-deals/</v>
      </c>
      <c r="CN8"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8" s="39" t="str">
        <f>CCModuleCopy!$I$13</f>
        <v>NULL</v>
      </c>
      <c r="CP8" s="39" t="str">
        <f>CCModuleCopy!$J$13</f>
        <v>NULL</v>
      </c>
      <c r="CQ8" s="39" t="str">
        <f>CCModuleCopy!$K$13</f>
        <v>NULL</v>
      </c>
      <c r="CR8" s="89" t="s">
        <v>279</v>
      </c>
      <c r="CS8" s="39" t="str">
        <f>CCModuleCopy!$B$9</f>
        <v>HA_HeadImage_Shop_HA_500xV.jpg</v>
      </c>
      <c r="CT8" s="39" t="str">
        <f>CCModuleCopy!$C$9</f>
        <v>Save up to 50% on everything you need to upgrade your home and home care</v>
      </c>
      <c r="CU8" s="39" t="str">
        <f>CCModuleCopy!$D$9</f>
        <v>NULL</v>
      </c>
      <c r="CV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8" s="39" t="str">
        <f>CCModuleCopy!$F$9</f>
        <v>Shop all</v>
      </c>
      <c r="CX8" s="39" t="str">
        <f>CCModuleCopy!$G$9</f>
        <v>https://www.samsung.com/us/shop/all-deals/home-appliance-and-smart-home-sales/</v>
      </c>
      <c r="CY8"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8" s="39" t="str">
        <f>CCModuleCopy!$I$9</f>
        <v>NULL</v>
      </c>
      <c r="DA8" s="39" t="str">
        <f>CCModuleCopy!$J$9</f>
        <v>NULL</v>
      </c>
      <c r="DB8" s="39" t="str">
        <f>CCModuleCopy!$K$9</f>
        <v>NULL</v>
      </c>
      <c r="DC8" s="89" t="s">
        <v>280</v>
      </c>
      <c r="DD8" s="39" t="str">
        <f>MiscBanners!$H$4</f>
        <v>Give-wonder-500xV.jpg</v>
      </c>
      <c r="DE8" s="39" t="str">
        <f>MiscBanners!$I$4</f>
        <v>The gift that keeps on giving</v>
      </c>
      <c r="DF8" s="39" t="str">
        <f>MiscBanners!$J$4</f>
        <v>NULL</v>
      </c>
      <c r="DG8" s="91" t="str">
        <f>MiscBanners!$K$4</f>
        <v>Discover even more exclusive offers on your favorite products and unlock the power of smart and savvy gifting.</v>
      </c>
      <c r="DH8" s="39" t="str">
        <f>MiscBanners!$L$4</f>
        <v>Shop now</v>
      </c>
      <c r="DI8" s="39" t="str">
        <f>MiscBanners!$M$4</f>
        <v>https://www.samsung.com/us/gift-ideas/</v>
      </c>
      <c r="DJ8"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8" s="39" t="str">
        <f>MiscBanners!$O$4</f>
        <v>NULL</v>
      </c>
      <c r="DL8" s="39" t="str">
        <f>MiscBanners!$P$4</f>
        <v>NULL</v>
      </c>
      <c r="DM8" s="39" t="str">
        <f>MiscBanners!$Q$4</f>
        <v>NULL</v>
      </c>
      <c r="DN8" s="89" t="s">
        <v>273</v>
      </c>
      <c r="DR8" s="91"/>
      <c r="DY8" s="89" t="s">
        <v>481</v>
      </c>
      <c r="DZ8" s="39" t="s">
        <v>394</v>
      </c>
      <c r="EA8" s="39" t="s">
        <v>394</v>
      </c>
      <c r="EB8" s="39" t="s">
        <v>394</v>
      </c>
      <c r="EC8" s="91" t="s">
        <v>482</v>
      </c>
      <c r="ED8" s="39" t="s">
        <v>394</v>
      </c>
      <c r="EE8" s="39" t="s">
        <v>476</v>
      </c>
      <c r="EF8" s="39">
        <v>0</v>
      </c>
      <c r="EG8" s="39" t="s">
        <v>394</v>
      </c>
      <c r="EH8" s="39" t="s">
        <v>394</v>
      </c>
      <c r="EI8" s="39" t="s">
        <v>394</v>
      </c>
      <c r="EJ8" s="89" t="s">
        <v>439</v>
      </c>
      <c r="EK8" s="39" t="s">
        <v>394</v>
      </c>
      <c r="EL8" s="39" t="s">
        <v>394</v>
      </c>
      <c r="EM8" s="39" t="s">
        <v>394</v>
      </c>
      <c r="EN8" s="91" t="s">
        <v>483</v>
      </c>
      <c r="EO8" s="39" t="s">
        <v>394</v>
      </c>
      <c r="EP8" s="39" t="s">
        <v>476</v>
      </c>
      <c r="EQ8" s="39">
        <v>0</v>
      </c>
      <c r="ER8" s="39" t="s">
        <v>394</v>
      </c>
      <c r="ES8" s="39" t="s">
        <v>394</v>
      </c>
      <c r="ET8" s="39" t="s">
        <v>394</v>
      </c>
      <c r="EU8" s="89" t="s">
        <v>441</v>
      </c>
      <c r="EV8" s="39" t="s">
        <v>394</v>
      </c>
      <c r="EW8" s="39" t="s">
        <v>394</v>
      </c>
      <c r="EX8" s="39" t="s">
        <v>394</v>
      </c>
      <c r="EY8" s="91" t="s">
        <v>484</v>
      </c>
      <c r="EZ8" s="39" t="s">
        <v>394</v>
      </c>
      <c r="FA8" s="39" t="s">
        <v>476</v>
      </c>
      <c r="FB8" s="39">
        <v>0</v>
      </c>
      <c r="FC8" s="39" t="s">
        <v>394</v>
      </c>
      <c r="FD8" s="39" t="s">
        <v>394</v>
      </c>
      <c r="FE8" s="39" t="s">
        <v>394</v>
      </c>
      <c r="FF8" s="89" t="s">
        <v>477</v>
      </c>
      <c r="FG8" s="39" t="s">
        <v>394</v>
      </c>
      <c r="FH8" s="39" t="s">
        <v>394</v>
      </c>
      <c r="FI8" s="39" t="s">
        <v>394</v>
      </c>
      <c r="FJ8" s="91" t="s">
        <v>485</v>
      </c>
      <c r="FK8" s="39" t="s">
        <v>394</v>
      </c>
      <c r="FL8" s="39">
        <v>0</v>
      </c>
      <c r="FM8" s="39">
        <v>0</v>
      </c>
      <c r="FN8" s="39" t="s">
        <v>394</v>
      </c>
      <c r="FO8" s="39" t="s">
        <v>394</v>
      </c>
      <c r="FP8" s="39" t="s">
        <v>394</v>
      </c>
    </row>
    <row r="9" spans="1:172" s="39" customFormat="1" ht="99.95" customHeight="1" x14ac:dyDescent="0.25">
      <c r="A9" s="39" t="s">
        <v>235</v>
      </c>
      <c r="B9" s="39" t="s">
        <v>264</v>
      </c>
      <c r="C9" s="39" t="s">
        <v>237</v>
      </c>
      <c r="D9" s="39" t="s">
        <v>237</v>
      </c>
      <c r="E9" s="39" t="s">
        <v>0</v>
      </c>
      <c r="G9" s="88" t="s">
        <v>540</v>
      </c>
      <c r="H9" s="88" t="s">
        <v>539</v>
      </c>
      <c r="I9" s="89" t="s">
        <v>381</v>
      </c>
      <c r="J9" s="39" t="s">
        <v>394</v>
      </c>
      <c r="K9" s="39" t="s">
        <v>394</v>
      </c>
      <c r="L9" s="39" t="s">
        <v>394</v>
      </c>
      <c r="M9" s="39" t="s">
        <v>394</v>
      </c>
      <c r="N9" s="39" t="s">
        <v>394</v>
      </c>
      <c r="O9" s="39" t="s">
        <v>394</v>
      </c>
      <c r="P9" s="39" t="s">
        <v>394</v>
      </c>
      <c r="Q9" s="39" t="s">
        <v>394</v>
      </c>
      <c r="R9" s="39" t="s">
        <v>394</v>
      </c>
      <c r="S9" s="89" t="s">
        <v>407</v>
      </c>
      <c r="T9" s="39" t="str">
        <f>'Dynamic Banners'!$L$5</f>
        <v>Cyber-monday-2.png</v>
      </c>
      <c r="U9" s="39" t="str">
        <f>'Dynamic Banners'!$M$5</f>
        <v xml:space="preserve">Cyber Monday is over. But, Cyber Week is just beginning. </v>
      </c>
      <c r="V9" s="39" t="s">
        <v>394</v>
      </c>
      <c r="W9" s="39" t="str">
        <f>'Dynamic Banners'!$N$5</f>
        <v xml:space="preserve">Shop amazing offers on showstopping products while supplies last. </v>
      </c>
      <c r="X9" s="39" t="s">
        <v>394</v>
      </c>
      <c r="Y9" s="39" t="str">
        <f>[1]MiscBanners!$B$4</f>
        <v>https://www.samsung.com/us/shop/all-deals/</v>
      </c>
      <c r="Z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9" s="39" t="s">
        <v>394</v>
      </c>
      <c r="AB9" s="39" t="s">
        <v>394</v>
      </c>
      <c r="AC9" s="39" t="s">
        <v>394</v>
      </c>
      <c r="AD9" s="89" t="s">
        <v>408</v>
      </c>
      <c r="AE9" s="39" t="s">
        <v>394</v>
      </c>
      <c r="AF9" s="39" t="s">
        <v>394</v>
      </c>
      <c r="AG9" s="7" t="s">
        <v>559</v>
      </c>
      <c r="AH9" s="39" t="s">
        <v>561</v>
      </c>
      <c r="AI9" s="39" t="s">
        <v>394</v>
      </c>
      <c r="AJ9" s="39" t="str">
        <f>[1]MiscBanners!$B$4</f>
        <v>https://www.samsung.com/us/shop/all-deals/</v>
      </c>
      <c r="AK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9" s="39" t="s">
        <v>394</v>
      </c>
      <c r="AM9" s="39" t="s">
        <v>394</v>
      </c>
      <c r="AN9" s="39" t="s">
        <v>394</v>
      </c>
      <c r="AO9" s="89" t="s">
        <v>367</v>
      </c>
      <c r="AP9" s="39" t="str">
        <f>CCModuleCopy!$B$11</f>
        <v>ME_HeadImage_Wearables_500xV.jpg</v>
      </c>
      <c r="AQ9" s="39" t="str">
        <f>CCModuleCopy!$C$11</f>
        <v>Get up to $100 off select watches and earbuds</v>
      </c>
      <c r="AR9" s="39" t="str">
        <f>CCModuleCopy!$D$11</f>
        <v>NULL</v>
      </c>
      <c r="AS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9" s="39" t="str">
        <f>CCModuleCopy!$F$11</f>
        <v>Shop all</v>
      </c>
      <c r="AU9" s="39" t="str">
        <f>CCModuleCopy!$G$11</f>
        <v>https://www.samsung.com/us/shop/all-deals/watches-audio-accessories-deals/</v>
      </c>
      <c r="AV9"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W9" s="39" t="str">
        <f>CCModuleCopy!$I$11</f>
        <v>NULL</v>
      </c>
      <c r="AX9" s="39" t="str">
        <f>CCModuleCopy!$J$11</f>
        <v>NULL</v>
      </c>
      <c r="AY9" s="39" t="str">
        <f>CCModuleCopy!$K$11</f>
        <v>NULL</v>
      </c>
      <c r="AZ9" s="89" t="s">
        <v>267</v>
      </c>
      <c r="BA9" s="39" t="str">
        <f>CCModuleCopy!$B$3</f>
        <v>IM_HeadImage_Shop_Phones_500xV.jpg</v>
      </c>
      <c r="BB9" s="39" t="str">
        <f>CCModuleCopy!$C$3</f>
        <v>Save up to $1000 instantly on the latest and greatest Galaxy smartphones</v>
      </c>
      <c r="BC9" s="39" t="str">
        <f>CCModuleCopy!$D$3</f>
        <v>NULL</v>
      </c>
      <c r="BD9"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9" s="39" t="str">
        <f>CCModuleCopy!$F$3</f>
        <v>Shop all</v>
      </c>
      <c r="BF9" s="39" t="str">
        <f>CCModuleCopy!$G$3</f>
        <v>https://www.samsung.com/us/shop/all-deals/cell-phone-deals/</v>
      </c>
      <c r="BG9"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9" s="39" t="str">
        <f>CCModuleCopy!$I$3</f>
        <v>NULL</v>
      </c>
      <c r="BI9" s="39" t="str">
        <f>CCModuleCopy!$J$3</f>
        <v>NULL</v>
      </c>
      <c r="BJ9" s="39" t="str">
        <f>CCModuleCopy!$K$3</f>
        <v>NULL</v>
      </c>
      <c r="BK9" s="89" t="s">
        <v>265</v>
      </c>
      <c r="BL9" s="39" t="str">
        <f>CCModuleCopy!$B$7</f>
        <v>HE_HeadImage_Shop_TVs_500xV.jpg</v>
      </c>
      <c r="BM9" s="39" t="str">
        <f>CCModuleCopy!$C$7</f>
        <v>Get up to $3000 off select 8K, 4K and Lifestyle TVs</v>
      </c>
      <c r="BN9" s="39" t="str">
        <f>CCModuleCopy!$D$7</f>
        <v>NULL</v>
      </c>
      <c r="BO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9" s="39" t="str">
        <f>CCModuleCopy!$F$7</f>
        <v>Shop all</v>
      </c>
      <c r="BQ9" s="39" t="str">
        <f>CCModuleCopy!$G$7</f>
        <v>https://www.samsung.com/us/shop/all-deals/tv-and-home-theater-deals/</v>
      </c>
      <c r="BR9"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9" s="39" t="str">
        <f>CCModuleCopy!$I$7</f>
        <v>NULL</v>
      </c>
      <c r="BT9" s="39" t="str">
        <f>CCModuleCopy!$J$7</f>
        <v>NULL</v>
      </c>
      <c r="BU9" s="39" t="str">
        <f>CCModuleCopy!$K$7</f>
        <v>NULL</v>
      </c>
      <c r="BV9" s="89" t="s">
        <v>266</v>
      </c>
      <c r="BW9" s="39" t="str">
        <f>CCModuleCopy!$B$15</f>
        <v>Tablet-HeadImage-500xV.jpg</v>
      </c>
      <c r="BX9" s="39" t="str">
        <f>CCModuleCopy!$C$15</f>
        <v>Save up to $150 on select tablets</v>
      </c>
      <c r="BY9" s="39" t="str">
        <f>CCModuleCopy!$D$15</f>
        <v>NULL</v>
      </c>
      <c r="BZ9" s="39" t="str">
        <f>CCModuleCopy!$E$15</f>
        <v xml:space="preserve">Empower how you create, learn, game and more with our powerful line of tablets. Shop offers on must-have products from the new Galaxy Tab S7+ to the Galaxy Tab S6 Lite. </v>
      </c>
      <c r="CA9" s="39" t="str">
        <f>CCModuleCopy!$F$15</f>
        <v>Shop all</v>
      </c>
      <c r="CB9" s="39" t="str">
        <f>CCModuleCopy!$G$15</f>
        <v>https://www.samsung.com/us/shop/all-deals/tablets-laptops-computers-deals/</v>
      </c>
      <c r="CC9"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9" s="39" t="str">
        <f>CCModuleCopy!$I$15</f>
        <v>NULL</v>
      </c>
      <c r="CE9" s="39" t="str">
        <f>CCModuleCopy!$J$15</f>
        <v>NULL</v>
      </c>
      <c r="CF9" s="39" t="str">
        <f>CCModuleCopy!$K$15</f>
        <v>NULL</v>
      </c>
      <c r="CG9" s="89" t="s">
        <v>368</v>
      </c>
      <c r="CH9" s="39" t="str">
        <f>CCModuleCopy!$B$13</f>
        <v>CE_HeadImage_Computing_500xV.jpg</v>
      </c>
      <c r="CI9" s="39" t="str">
        <f>CCModuleCopy!$C$13</f>
        <v>Get up to 60% off memory cards, SSD, monitors and more</v>
      </c>
      <c r="CJ9" s="39" t="str">
        <f>CCModuleCopy!$D$13</f>
        <v>NULL</v>
      </c>
      <c r="CK9" s="39" t="str">
        <f>CCModuleCopy!$E$13</f>
        <v xml:space="preserve">Expand the way you play, store and create and get up to 30% off monitors, up to 60% off memory cards, up to 35% off SSD and more. Work and game smarter, not harder with these must-have computing offers. </v>
      </c>
      <c r="CL9" s="39" t="str">
        <f>CCModuleCopy!$F$13</f>
        <v>Shop all</v>
      </c>
      <c r="CM9" s="39" t="str">
        <f>CCModuleCopy!$G$13</f>
        <v>https://www.samsung.com/us/shop/all-deals/tablets-laptops-computers-deals/</v>
      </c>
      <c r="CN9"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9" s="39" t="str">
        <f>CCModuleCopy!$I$13</f>
        <v>NULL</v>
      </c>
      <c r="CP9" s="39" t="str">
        <f>CCModuleCopy!$J$13</f>
        <v>NULL</v>
      </c>
      <c r="CQ9" s="39" t="str">
        <f>CCModuleCopy!$K$13</f>
        <v>NULL</v>
      </c>
      <c r="CR9" s="89" t="s">
        <v>279</v>
      </c>
      <c r="CS9" s="39" t="str">
        <f>CCModuleCopy!$B$9</f>
        <v>HA_HeadImage_Shop_HA_500xV.jpg</v>
      </c>
      <c r="CT9" s="39" t="str">
        <f>CCModuleCopy!$C$9</f>
        <v>Save up to 50% on everything you need to upgrade your home and home care</v>
      </c>
      <c r="CU9" s="39" t="str">
        <f>CCModuleCopy!$D$9</f>
        <v>NULL</v>
      </c>
      <c r="CV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9" s="39" t="str">
        <f>CCModuleCopy!$F$9</f>
        <v>Shop all</v>
      </c>
      <c r="CX9" s="39" t="str">
        <f>CCModuleCopy!$G$9</f>
        <v>https://www.samsung.com/us/shop/all-deals/home-appliance-and-smart-home-sales/</v>
      </c>
      <c r="CY9"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9" s="39" t="str">
        <f>CCModuleCopy!$I$9</f>
        <v>NULL</v>
      </c>
      <c r="DA9" s="39" t="str">
        <f>CCModuleCopy!$J$9</f>
        <v>NULL</v>
      </c>
      <c r="DB9" s="39" t="str">
        <f>CCModuleCopy!$K$9</f>
        <v>NULL</v>
      </c>
      <c r="DC9" s="89" t="s">
        <v>280</v>
      </c>
      <c r="DD9" s="39" t="str">
        <f>MiscBanners!$H$4</f>
        <v>Give-wonder-500xV.jpg</v>
      </c>
      <c r="DE9" s="39" t="str">
        <f>MiscBanners!$I$4</f>
        <v>The gift that keeps on giving</v>
      </c>
      <c r="DF9" s="39" t="str">
        <f>MiscBanners!$J$4</f>
        <v>NULL</v>
      </c>
      <c r="DG9" s="91" t="str">
        <f>MiscBanners!$K$4</f>
        <v>Discover even more exclusive offers on your favorite products and unlock the power of smart and savvy gifting.</v>
      </c>
      <c r="DH9" s="39" t="str">
        <f>MiscBanners!$L$4</f>
        <v>Shop now</v>
      </c>
      <c r="DI9" s="39" t="str">
        <f>MiscBanners!$M$4</f>
        <v>https://www.samsung.com/us/gift-ideas/</v>
      </c>
      <c r="DJ9"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9" s="39" t="str">
        <f>MiscBanners!$O$4</f>
        <v>NULL</v>
      </c>
      <c r="DL9" s="39" t="str">
        <f>MiscBanners!$P$4</f>
        <v>NULL</v>
      </c>
      <c r="DM9" s="39" t="str">
        <f>MiscBanners!$Q$4</f>
        <v>NULL</v>
      </c>
      <c r="DN9" s="89" t="s">
        <v>273</v>
      </c>
      <c r="DR9" s="91"/>
      <c r="DY9" s="89" t="s">
        <v>481</v>
      </c>
      <c r="DZ9" s="39" t="s">
        <v>394</v>
      </c>
      <c r="EA9" s="39" t="s">
        <v>394</v>
      </c>
      <c r="EB9" s="39" t="s">
        <v>394</v>
      </c>
      <c r="EC9" s="91" t="s">
        <v>482</v>
      </c>
      <c r="ED9" s="39" t="s">
        <v>394</v>
      </c>
      <c r="EE9" s="39" t="s">
        <v>476</v>
      </c>
      <c r="EF9" s="39">
        <v>0</v>
      </c>
      <c r="EG9" s="39" t="s">
        <v>394</v>
      </c>
      <c r="EH9" s="39" t="s">
        <v>394</v>
      </c>
      <c r="EI9" s="39" t="s">
        <v>394</v>
      </c>
      <c r="EJ9" s="89" t="s">
        <v>439</v>
      </c>
      <c r="EK9" s="39" t="s">
        <v>394</v>
      </c>
      <c r="EL9" s="39" t="s">
        <v>394</v>
      </c>
      <c r="EM9" s="39" t="s">
        <v>394</v>
      </c>
      <c r="EN9" s="91" t="s">
        <v>483</v>
      </c>
      <c r="EO9" s="39" t="s">
        <v>394</v>
      </c>
      <c r="EP9" s="39" t="s">
        <v>476</v>
      </c>
      <c r="EQ9" s="39">
        <v>0</v>
      </c>
      <c r="ER9" s="39" t="s">
        <v>394</v>
      </c>
      <c r="ES9" s="39" t="s">
        <v>394</v>
      </c>
      <c r="ET9" s="39" t="s">
        <v>394</v>
      </c>
      <c r="EU9" s="89" t="s">
        <v>441</v>
      </c>
      <c r="EV9" s="39" t="s">
        <v>394</v>
      </c>
      <c r="EW9" s="39" t="s">
        <v>394</v>
      </c>
      <c r="EX9" s="39" t="s">
        <v>394</v>
      </c>
      <c r="EY9" s="91" t="s">
        <v>484</v>
      </c>
      <c r="EZ9" s="39" t="s">
        <v>394</v>
      </c>
      <c r="FA9" s="39" t="s">
        <v>476</v>
      </c>
      <c r="FB9" s="39">
        <v>0</v>
      </c>
      <c r="FC9" s="39" t="s">
        <v>394</v>
      </c>
      <c r="FD9" s="39" t="s">
        <v>394</v>
      </c>
      <c r="FE9" s="39" t="s">
        <v>394</v>
      </c>
      <c r="FF9" s="89" t="s">
        <v>477</v>
      </c>
      <c r="FG9" s="39" t="s">
        <v>394</v>
      </c>
      <c r="FH9" s="39" t="s">
        <v>394</v>
      </c>
      <c r="FI9" s="39" t="s">
        <v>394</v>
      </c>
      <c r="FJ9" s="91" t="s">
        <v>485</v>
      </c>
      <c r="FK9" s="39" t="s">
        <v>394</v>
      </c>
      <c r="FL9" s="39">
        <v>0</v>
      </c>
      <c r="FM9" s="39">
        <v>0</v>
      </c>
      <c r="FN9" s="39" t="s">
        <v>394</v>
      </c>
      <c r="FO9" s="39" t="s">
        <v>394</v>
      </c>
      <c r="FP9" s="39" t="s">
        <v>394</v>
      </c>
    </row>
    <row r="10" spans="1:172" s="39" customFormat="1" ht="99.95" customHeight="1" x14ac:dyDescent="0.25">
      <c r="A10" s="39" t="s">
        <v>235</v>
      </c>
      <c r="B10" s="39" t="s">
        <v>361</v>
      </c>
      <c r="C10" s="39" t="s">
        <v>237</v>
      </c>
      <c r="D10" s="39" t="s">
        <v>237</v>
      </c>
      <c r="E10" s="39" t="s">
        <v>0</v>
      </c>
      <c r="G10" s="88" t="s">
        <v>540</v>
      </c>
      <c r="H10" s="88" t="s">
        <v>539</v>
      </c>
      <c r="I10" s="89" t="s">
        <v>381</v>
      </c>
      <c r="J10" s="39" t="s">
        <v>394</v>
      </c>
      <c r="K10" s="39" t="s">
        <v>394</v>
      </c>
      <c r="L10" s="39" t="s">
        <v>394</v>
      </c>
      <c r="M10" s="39" t="s">
        <v>394</v>
      </c>
      <c r="N10" s="39" t="s">
        <v>394</v>
      </c>
      <c r="O10" s="39" t="s">
        <v>394</v>
      </c>
      <c r="P10" s="39" t="s">
        <v>394</v>
      </c>
      <c r="Q10" s="39" t="s">
        <v>394</v>
      </c>
      <c r="R10" s="39" t="s">
        <v>394</v>
      </c>
      <c r="S10" s="89" t="s">
        <v>407</v>
      </c>
      <c r="T10" s="39" t="str">
        <f>'Dynamic Banners'!$L$5</f>
        <v>Cyber-monday-2.png</v>
      </c>
      <c r="U10" s="39" t="str">
        <f>'Dynamic Banners'!$M$5</f>
        <v xml:space="preserve">Cyber Monday is over. But, Cyber Week is just beginning. </v>
      </c>
      <c r="V10" s="39" t="s">
        <v>394</v>
      </c>
      <c r="W10" s="39" t="str">
        <f>'Dynamic Banners'!$N$5</f>
        <v xml:space="preserve">Shop amazing offers on showstopping products while supplies last. </v>
      </c>
      <c r="X10" s="39" t="s">
        <v>394</v>
      </c>
      <c r="Y10" s="39" t="str">
        <f>[1]MiscBanners!$B$4</f>
        <v>https://www.samsung.com/us/shop/all-deals/</v>
      </c>
      <c r="Z1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0" s="39" t="s">
        <v>394</v>
      </c>
      <c r="AB10" s="39" t="s">
        <v>394</v>
      </c>
      <c r="AC10" s="39" t="s">
        <v>394</v>
      </c>
      <c r="AD10" s="89" t="s">
        <v>408</v>
      </c>
      <c r="AE10" s="39" t="s">
        <v>394</v>
      </c>
      <c r="AF10" s="39" t="s">
        <v>394</v>
      </c>
      <c r="AG10" s="7" t="s">
        <v>559</v>
      </c>
      <c r="AH10" s="39" t="s">
        <v>561</v>
      </c>
      <c r="AI10" s="39" t="s">
        <v>394</v>
      </c>
      <c r="AJ10" s="39" t="str">
        <f>[1]MiscBanners!$B$4</f>
        <v>https://www.samsung.com/us/shop/all-deals/</v>
      </c>
      <c r="AK1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0" s="39" t="s">
        <v>394</v>
      </c>
      <c r="AM10" s="39" t="s">
        <v>394</v>
      </c>
      <c r="AN10" s="39" t="s">
        <v>394</v>
      </c>
      <c r="AO10" s="89" t="s">
        <v>368</v>
      </c>
      <c r="AP10" s="39" t="str">
        <f>CCModuleCopy!$B$13</f>
        <v>CE_HeadImage_Computing_500xV.jpg</v>
      </c>
      <c r="AQ10" s="39" t="str">
        <f>CCModuleCopy!$C$13</f>
        <v>Get up to 60% off memory cards, SSD, monitors and more</v>
      </c>
      <c r="AR10" s="39" t="str">
        <f>CCModuleCopy!$D$13</f>
        <v>NULL</v>
      </c>
      <c r="AS10" s="39" t="str">
        <f>CCModuleCopy!$E$13</f>
        <v xml:space="preserve">Expand the way you play, store and create and get up to 30% off monitors, up to 60% off memory cards, up to 35% off SSD and more. Work and game smarter, not harder with these must-have computing offers. </v>
      </c>
      <c r="AT10" s="39" t="str">
        <f>CCModuleCopy!$F$13</f>
        <v>Shop all</v>
      </c>
      <c r="AU10" s="39" t="str">
        <f>CCModuleCopy!$G$13</f>
        <v>https://www.samsung.com/us/shop/all-deals/tablets-laptops-computers-deals/</v>
      </c>
      <c r="AV10"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W10" s="39" t="str">
        <f>CCModuleCopy!$I$13</f>
        <v>NULL</v>
      </c>
      <c r="AX10" s="39" t="str">
        <f>CCModuleCopy!$J$13</f>
        <v>NULL</v>
      </c>
      <c r="AY10" s="39" t="str">
        <f>CCModuleCopy!$K$13</f>
        <v>NULL</v>
      </c>
      <c r="AZ10" s="89" t="s">
        <v>267</v>
      </c>
      <c r="BA10" s="39" t="str">
        <f>CCModuleCopy!$B$3</f>
        <v>IM_HeadImage_Shop_Phones_500xV.jpg</v>
      </c>
      <c r="BB10" s="39" t="str">
        <f>CCModuleCopy!$C$3</f>
        <v>Save up to $1000 instantly on the latest and greatest Galaxy smartphones</v>
      </c>
      <c r="BC10" s="39" t="str">
        <f>CCModuleCopy!$D$3</f>
        <v>NULL</v>
      </c>
      <c r="BD10"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0" s="39" t="str">
        <f>CCModuleCopy!$F$3</f>
        <v>Shop all</v>
      </c>
      <c r="BF10" s="39" t="str">
        <f>CCModuleCopy!$G$3</f>
        <v>https://www.samsung.com/us/shop/all-deals/cell-phone-deals/</v>
      </c>
      <c r="BG10"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0" s="39" t="str">
        <f>CCModuleCopy!$I$3</f>
        <v>NULL</v>
      </c>
      <c r="BI10" s="39" t="str">
        <f>CCModuleCopy!$J$3</f>
        <v>NULL</v>
      </c>
      <c r="BJ10" s="39" t="str">
        <f>CCModuleCopy!$K$3</f>
        <v>NULL</v>
      </c>
      <c r="BK10" s="89" t="s">
        <v>265</v>
      </c>
      <c r="BL10" s="39" t="str">
        <f>CCModuleCopy!$B$7</f>
        <v>HE_HeadImage_Shop_TVs_500xV.jpg</v>
      </c>
      <c r="BM10" s="39" t="str">
        <f>CCModuleCopy!$C$7</f>
        <v>Get up to $3000 off select 8K, 4K and Lifestyle TVs</v>
      </c>
      <c r="BN10" s="39" t="str">
        <f>CCModuleCopy!$D$7</f>
        <v>NULL</v>
      </c>
      <c r="BO10"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0" s="39" t="str">
        <f>CCModuleCopy!$F$7</f>
        <v>Shop all</v>
      </c>
      <c r="BQ10" s="39" t="str">
        <f>CCModuleCopy!$G$7</f>
        <v>https://www.samsung.com/us/shop/all-deals/tv-and-home-theater-deals/</v>
      </c>
      <c r="BR10"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10" s="39" t="str">
        <f>CCModuleCopy!$I$7</f>
        <v>NULL</v>
      </c>
      <c r="BT10" s="39" t="str">
        <f>CCModuleCopy!$J$7</f>
        <v>NULL</v>
      </c>
      <c r="BU10" s="39" t="str">
        <f>CCModuleCopy!$K$7</f>
        <v>NULL</v>
      </c>
      <c r="BV10" s="89" t="s">
        <v>266</v>
      </c>
      <c r="BW10" s="39" t="str">
        <f>CCModuleCopy!$B$15</f>
        <v>Tablet-HeadImage-500xV.jpg</v>
      </c>
      <c r="BX10" s="39" t="str">
        <f>CCModuleCopy!$C$15</f>
        <v>Save up to $150 on select tablets</v>
      </c>
      <c r="BY10" s="39" t="str">
        <f>CCModuleCopy!$D$15</f>
        <v>NULL</v>
      </c>
      <c r="BZ10" s="39" t="str">
        <f>CCModuleCopy!$E$15</f>
        <v xml:space="preserve">Empower how you create, learn, game and more with our powerful line of tablets. Shop offers on must-have products from the new Galaxy Tab S7+ to the Galaxy Tab S6 Lite. </v>
      </c>
      <c r="CA10" s="39" t="str">
        <f>CCModuleCopy!$F$15</f>
        <v>Shop all</v>
      </c>
      <c r="CB10" s="39" t="str">
        <f>CCModuleCopy!$G$15</f>
        <v>https://www.samsung.com/us/shop/all-deals/tablets-laptops-computers-deals/</v>
      </c>
      <c r="CC10"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10" s="39" t="str">
        <f>CCModuleCopy!$I$15</f>
        <v>NULL</v>
      </c>
      <c r="CE10" s="39" t="str">
        <f>CCModuleCopy!$J$15</f>
        <v>NULL</v>
      </c>
      <c r="CF10" s="39" t="str">
        <f>CCModuleCopy!$K$15</f>
        <v>NULL</v>
      </c>
      <c r="CG10" s="89" t="s">
        <v>367</v>
      </c>
      <c r="CH10" s="39" t="str">
        <f>CCModuleCopy!$B$11</f>
        <v>ME_HeadImage_Wearables_500xV.jpg</v>
      </c>
      <c r="CI10" s="39" t="str">
        <f>CCModuleCopy!$C$11</f>
        <v>Get up to $100 off select watches and earbuds</v>
      </c>
      <c r="CJ10" s="39" t="str">
        <f>CCModuleCopy!$D$11</f>
        <v>NULL</v>
      </c>
      <c r="CK10"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0" s="39" t="str">
        <f>CCModuleCopy!$F$11</f>
        <v>Shop all</v>
      </c>
      <c r="CM10" s="39" t="str">
        <f>CCModuleCopy!$G$11</f>
        <v>https://www.samsung.com/us/shop/all-deals/watches-audio-accessories-deals/</v>
      </c>
      <c r="CN10"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10" s="39" t="str">
        <f>CCModuleCopy!$I$11</f>
        <v>NULL</v>
      </c>
      <c r="CP10" s="39" t="str">
        <f>CCModuleCopy!$J$11</f>
        <v>NULL</v>
      </c>
      <c r="CQ10" s="39" t="str">
        <f>CCModuleCopy!$K$11</f>
        <v>NULL</v>
      </c>
      <c r="CR10" s="89" t="s">
        <v>279</v>
      </c>
      <c r="CS10" s="39" t="str">
        <f>CCModuleCopy!$B$9</f>
        <v>HA_HeadImage_Shop_HA_500xV.jpg</v>
      </c>
      <c r="CT10" s="39" t="str">
        <f>CCModuleCopy!$C$9</f>
        <v>Save up to 50% on everything you need to upgrade your home and home care</v>
      </c>
      <c r="CU10" s="39" t="str">
        <f>CCModuleCopy!$D$9</f>
        <v>NULL</v>
      </c>
      <c r="CV10"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0" s="39" t="str">
        <f>CCModuleCopy!$F$9</f>
        <v>Shop all</v>
      </c>
      <c r="CX10" s="39" t="str">
        <f>CCModuleCopy!$G$9</f>
        <v>https://www.samsung.com/us/shop/all-deals/home-appliance-and-smart-home-sales/</v>
      </c>
      <c r="CY10"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0" s="39" t="str">
        <f>CCModuleCopy!$I$9</f>
        <v>NULL</v>
      </c>
      <c r="DA10" s="39" t="str">
        <f>CCModuleCopy!$J$9</f>
        <v>NULL</v>
      </c>
      <c r="DB10" s="39" t="str">
        <f>CCModuleCopy!$K$9</f>
        <v>NULL</v>
      </c>
      <c r="DC10" s="89" t="s">
        <v>280</v>
      </c>
      <c r="DD10" s="39" t="str">
        <f>MiscBanners!$H$4</f>
        <v>Give-wonder-500xV.jpg</v>
      </c>
      <c r="DE10" s="39" t="str">
        <f>MiscBanners!$I$4</f>
        <v>The gift that keeps on giving</v>
      </c>
      <c r="DF10" s="39" t="str">
        <f>MiscBanners!$J$4</f>
        <v>NULL</v>
      </c>
      <c r="DG10" s="91" t="str">
        <f>MiscBanners!$K$4</f>
        <v>Discover even more exclusive offers on your favorite products and unlock the power of smart and savvy gifting.</v>
      </c>
      <c r="DH10" s="39" t="str">
        <f>MiscBanners!$L$4</f>
        <v>Shop now</v>
      </c>
      <c r="DI10" s="39" t="str">
        <f>MiscBanners!$M$4</f>
        <v>https://www.samsung.com/us/gift-ideas/</v>
      </c>
      <c r="DJ10"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0" s="39" t="str">
        <f>MiscBanners!$O$4</f>
        <v>NULL</v>
      </c>
      <c r="DL10" s="39" t="str">
        <f>MiscBanners!$P$4</f>
        <v>NULL</v>
      </c>
      <c r="DM10" s="39" t="str">
        <f>MiscBanners!$Q$4</f>
        <v>NULL</v>
      </c>
      <c r="DN10" s="89" t="s">
        <v>273</v>
      </c>
      <c r="DR10" s="91"/>
      <c r="DY10" s="89" t="s">
        <v>481</v>
      </c>
      <c r="DZ10" s="39" t="s">
        <v>394</v>
      </c>
      <c r="EA10" s="39" t="s">
        <v>394</v>
      </c>
      <c r="EB10" s="39" t="s">
        <v>394</v>
      </c>
      <c r="EC10" s="91" t="s">
        <v>482</v>
      </c>
      <c r="ED10" s="39" t="s">
        <v>394</v>
      </c>
      <c r="EE10" s="39" t="s">
        <v>476</v>
      </c>
      <c r="EF10" s="39">
        <v>0</v>
      </c>
      <c r="EG10" s="39" t="s">
        <v>394</v>
      </c>
      <c r="EH10" s="39" t="s">
        <v>394</v>
      </c>
      <c r="EI10" s="39" t="s">
        <v>394</v>
      </c>
      <c r="EJ10" s="89" t="s">
        <v>439</v>
      </c>
      <c r="EK10" s="39" t="s">
        <v>394</v>
      </c>
      <c r="EL10" s="39" t="s">
        <v>394</v>
      </c>
      <c r="EM10" s="39" t="s">
        <v>394</v>
      </c>
      <c r="EN10" s="91" t="s">
        <v>483</v>
      </c>
      <c r="EO10" s="39" t="s">
        <v>394</v>
      </c>
      <c r="EP10" s="39" t="s">
        <v>476</v>
      </c>
      <c r="EQ10" s="39">
        <v>0</v>
      </c>
      <c r="ER10" s="39" t="s">
        <v>394</v>
      </c>
      <c r="ES10" s="39" t="s">
        <v>394</v>
      </c>
      <c r="ET10" s="39" t="s">
        <v>394</v>
      </c>
      <c r="EU10" s="89" t="s">
        <v>441</v>
      </c>
      <c r="EV10" s="39" t="s">
        <v>394</v>
      </c>
      <c r="EW10" s="39" t="s">
        <v>394</v>
      </c>
      <c r="EX10" s="39" t="s">
        <v>394</v>
      </c>
      <c r="EY10" s="91" t="s">
        <v>484</v>
      </c>
      <c r="EZ10" s="39" t="s">
        <v>394</v>
      </c>
      <c r="FA10" s="39" t="s">
        <v>476</v>
      </c>
      <c r="FB10" s="39">
        <v>0</v>
      </c>
      <c r="FC10" s="39" t="s">
        <v>394</v>
      </c>
      <c r="FD10" s="39" t="s">
        <v>394</v>
      </c>
      <c r="FE10" s="39" t="s">
        <v>394</v>
      </c>
      <c r="FF10" s="89" t="s">
        <v>477</v>
      </c>
      <c r="FG10" s="39" t="s">
        <v>394</v>
      </c>
      <c r="FH10" s="39" t="s">
        <v>394</v>
      </c>
      <c r="FI10" s="39" t="s">
        <v>394</v>
      </c>
      <c r="FJ10" s="91" t="s">
        <v>485</v>
      </c>
      <c r="FK10" s="39" t="s">
        <v>394</v>
      </c>
      <c r="FL10" s="39">
        <v>0</v>
      </c>
      <c r="FM10" s="39">
        <v>0</v>
      </c>
      <c r="FN10" s="39" t="s">
        <v>394</v>
      </c>
      <c r="FO10" s="39" t="s">
        <v>394</v>
      </c>
      <c r="FP10" s="39" t="s">
        <v>394</v>
      </c>
    </row>
    <row r="11" spans="1:172" s="39" customFormat="1" ht="99.95" customHeight="1" x14ac:dyDescent="0.25">
      <c r="A11" s="39" t="s">
        <v>235</v>
      </c>
      <c r="B11" s="39" t="s">
        <v>369</v>
      </c>
      <c r="C11" s="39" t="s">
        <v>237</v>
      </c>
      <c r="D11" s="39" t="s">
        <v>237</v>
      </c>
      <c r="E11" s="39" t="s">
        <v>0</v>
      </c>
      <c r="G11" s="88" t="s">
        <v>540</v>
      </c>
      <c r="H11" s="88" t="s">
        <v>539</v>
      </c>
      <c r="I11" s="89" t="s">
        <v>381</v>
      </c>
      <c r="J11" s="39" t="s">
        <v>394</v>
      </c>
      <c r="K11" s="39" t="s">
        <v>394</v>
      </c>
      <c r="L11" s="39" t="s">
        <v>394</v>
      </c>
      <c r="M11" s="39" t="s">
        <v>394</v>
      </c>
      <c r="N11" s="39" t="s">
        <v>394</v>
      </c>
      <c r="O11" s="39" t="s">
        <v>394</v>
      </c>
      <c r="P11" s="39" t="s">
        <v>394</v>
      </c>
      <c r="Q11" s="39" t="s">
        <v>394</v>
      </c>
      <c r="R11" s="39" t="s">
        <v>394</v>
      </c>
      <c r="S11" s="89" t="s">
        <v>407</v>
      </c>
      <c r="T11" s="39" t="str">
        <f>'Dynamic Banners'!$L$5</f>
        <v>Cyber-monday-2.png</v>
      </c>
      <c r="U11" s="39" t="str">
        <f>'Dynamic Banners'!$M$5</f>
        <v xml:space="preserve">Cyber Monday is over. But, Cyber Week is just beginning. </v>
      </c>
      <c r="V11" s="39" t="s">
        <v>394</v>
      </c>
      <c r="W11" s="39" t="str">
        <f>'Dynamic Banners'!$N$5</f>
        <v xml:space="preserve">Shop amazing offers on showstopping products while supplies last. </v>
      </c>
      <c r="X11" s="39" t="s">
        <v>394</v>
      </c>
      <c r="Y11" s="39" t="str">
        <f>[1]MiscBanners!$B$4</f>
        <v>https://www.samsung.com/us/shop/all-deals/</v>
      </c>
      <c r="Z1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1" s="39" t="s">
        <v>394</v>
      </c>
      <c r="AB11" s="39" t="s">
        <v>394</v>
      </c>
      <c r="AC11" s="39" t="s">
        <v>394</v>
      </c>
      <c r="AD11" s="89" t="s">
        <v>408</v>
      </c>
      <c r="AE11" s="39" t="s">
        <v>394</v>
      </c>
      <c r="AF11" s="39" t="s">
        <v>394</v>
      </c>
      <c r="AG11" s="7" t="s">
        <v>559</v>
      </c>
      <c r="AH11" s="39" t="s">
        <v>561</v>
      </c>
      <c r="AI11" s="39" t="s">
        <v>394</v>
      </c>
      <c r="AJ11" s="39" t="str">
        <f>[1]MiscBanners!$B$4</f>
        <v>https://www.samsung.com/us/shop/all-deals/</v>
      </c>
      <c r="AK1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1" s="39" t="s">
        <v>394</v>
      </c>
      <c r="AM11" s="39" t="s">
        <v>394</v>
      </c>
      <c r="AN11" s="39" t="s">
        <v>394</v>
      </c>
      <c r="AO11" s="89" t="s">
        <v>279</v>
      </c>
      <c r="AP11" s="39" t="str">
        <f>CCModuleCopy!$B$9</f>
        <v>HA_HeadImage_Shop_HA_500xV.jpg</v>
      </c>
      <c r="AQ11" s="39" t="str">
        <f>CCModuleCopy!$C$9</f>
        <v>Save up to 50% on everything you need to upgrade your home and home care</v>
      </c>
      <c r="AR11" s="39" t="str">
        <f>CCModuleCopy!$D$9</f>
        <v>NULL</v>
      </c>
      <c r="AS11"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11" s="39" t="str">
        <f>CCModuleCopy!$F$9</f>
        <v>Shop all</v>
      </c>
      <c r="AU11" s="39" t="str">
        <f>CCModuleCopy!$G$9</f>
        <v>https://www.samsung.com/us/shop/all-deals/home-appliance-and-smart-home-sales/</v>
      </c>
      <c r="AV11"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AW11" s="39" t="str">
        <f>CCModuleCopy!$I$9</f>
        <v>NULL</v>
      </c>
      <c r="AX11" s="39" t="str">
        <f>CCModuleCopy!$J$9</f>
        <v>NULL</v>
      </c>
      <c r="AY11" s="39" t="str">
        <f>CCModuleCopy!$K$9</f>
        <v>NULL</v>
      </c>
      <c r="AZ11" s="89" t="s">
        <v>267</v>
      </c>
      <c r="BA11" s="39" t="str">
        <f>CCModuleCopy!$B$3</f>
        <v>IM_HeadImage_Shop_Phones_500xV.jpg</v>
      </c>
      <c r="BB11" s="39" t="str">
        <f>CCModuleCopy!$C$3</f>
        <v>Save up to $1000 instantly on the latest and greatest Galaxy smartphones</v>
      </c>
      <c r="BC11" s="39" t="str">
        <f>CCModuleCopy!$D$3</f>
        <v>NULL</v>
      </c>
      <c r="BD11"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1" s="39" t="str">
        <f>CCModuleCopy!$F$3</f>
        <v>Shop all</v>
      </c>
      <c r="BF11" s="39" t="str">
        <f>CCModuleCopy!$G$3</f>
        <v>https://www.samsung.com/us/shop/all-deals/cell-phone-deals/</v>
      </c>
      <c r="BG11"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1" s="39" t="str">
        <f>CCModuleCopy!$I$3</f>
        <v>NULL</v>
      </c>
      <c r="BI11" s="39" t="str">
        <f>CCModuleCopy!$J$3</f>
        <v>NULL</v>
      </c>
      <c r="BJ11" s="39" t="str">
        <f>CCModuleCopy!$K$3</f>
        <v>NULL</v>
      </c>
      <c r="BK11" s="89" t="s">
        <v>265</v>
      </c>
      <c r="BL11" s="39" t="str">
        <f>CCModuleCopy!$B$7</f>
        <v>HE_HeadImage_Shop_TVs_500xV.jpg</v>
      </c>
      <c r="BM11" s="39" t="str">
        <f>CCModuleCopy!$C$7</f>
        <v>Get up to $3000 off select 8K, 4K and Lifestyle TVs</v>
      </c>
      <c r="BN11" s="39" t="str">
        <f>CCModuleCopy!$D$7</f>
        <v>NULL</v>
      </c>
      <c r="BO11"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1" s="39" t="str">
        <f>CCModuleCopy!$F$7</f>
        <v>Shop all</v>
      </c>
      <c r="BQ11" s="39" t="str">
        <f>CCModuleCopy!$G$7</f>
        <v>https://www.samsung.com/us/shop/all-deals/tv-and-home-theater-deals/</v>
      </c>
      <c r="BR11"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11" s="39" t="str">
        <f>CCModuleCopy!$I$7</f>
        <v>NULL</v>
      </c>
      <c r="BT11" s="39" t="str">
        <f>CCModuleCopy!$J$7</f>
        <v>NULL</v>
      </c>
      <c r="BU11" s="39" t="str">
        <f>CCModuleCopy!$K$7</f>
        <v>NULL</v>
      </c>
      <c r="BV11" s="89" t="s">
        <v>266</v>
      </c>
      <c r="BW11" s="39" t="str">
        <f>CCModuleCopy!$B$15</f>
        <v>Tablet-HeadImage-500xV.jpg</v>
      </c>
      <c r="BX11" s="39" t="str">
        <f>CCModuleCopy!$C$15</f>
        <v>Save up to $150 on select tablets</v>
      </c>
      <c r="BY11" s="39" t="str">
        <f>CCModuleCopy!$D$15</f>
        <v>NULL</v>
      </c>
      <c r="BZ11" s="39" t="str">
        <f>CCModuleCopy!$E$15</f>
        <v xml:space="preserve">Empower how you create, learn, game and more with our powerful line of tablets. Shop offers on must-have products from the new Galaxy Tab S7+ to the Galaxy Tab S6 Lite. </v>
      </c>
      <c r="CA11" s="39" t="str">
        <f>CCModuleCopy!$F$15</f>
        <v>Shop all</v>
      </c>
      <c r="CB11" s="39" t="str">
        <f>CCModuleCopy!$G$15</f>
        <v>https://www.samsung.com/us/shop/all-deals/tablets-laptops-computers-deals/</v>
      </c>
      <c r="CC11"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11" s="39" t="str">
        <f>CCModuleCopy!$I$15</f>
        <v>NULL</v>
      </c>
      <c r="CE11" s="39" t="str">
        <f>CCModuleCopy!$J$15</f>
        <v>NULL</v>
      </c>
      <c r="CF11" s="39" t="str">
        <f>CCModuleCopy!$K$15</f>
        <v>NULL</v>
      </c>
      <c r="CG11" s="89" t="s">
        <v>367</v>
      </c>
      <c r="CH11" s="39" t="str">
        <f>CCModuleCopy!$B$11</f>
        <v>ME_HeadImage_Wearables_500xV.jpg</v>
      </c>
      <c r="CI11" s="39" t="str">
        <f>CCModuleCopy!$C$11</f>
        <v>Get up to $100 off select watches and earbuds</v>
      </c>
      <c r="CJ11" s="39" t="str">
        <f>CCModuleCopy!$D$11</f>
        <v>NULL</v>
      </c>
      <c r="CK11"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1" s="39" t="str">
        <f>CCModuleCopy!$F$11</f>
        <v>Shop all</v>
      </c>
      <c r="CM11" s="39" t="str">
        <f>CCModuleCopy!$G$11</f>
        <v>https://www.samsung.com/us/shop/all-deals/watches-audio-accessories-deals/</v>
      </c>
      <c r="CN11"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11" s="39" t="str">
        <f>CCModuleCopy!$I$11</f>
        <v>NULL</v>
      </c>
      <c r="CP11" s="39" t="str">
        <f>CCModuleCopy!$J$11</f>
        <v>NULL</v>
      </c>
      <c r="CQ11" s="39" t="str">
        <f>CCModuleCopy!$K$11</f>
        <v>NULL</v>
      </c>
      <c r="CR11" s="89" t="s">
        <v>368</v>
      </c>
      <c r="CS11" s="39" t="str">
        <f>CCModuleCopy!$B$13</f>
        <v>CE_HeadImage_Computing_500xV.jpg</v>
      </c>
      <c r="CT11" s="39" t="str">
        <f>CCModuleCopy!$C$13</f>
        <v>Get up to 60% off memory cards, SSD, monitors and more</v>
      </c>
      <c r="CU11" s="39" t="str">
        <f>CCModuleCopy!$D$13</f>
        <v>NULL</v>
      </c>
      <c r="CV11" s="39" t="str">
        <f>CCModuleCopy!$E$13</f>
        <v xml:space="preserve">Expand the way you play, store and create and get up to 30% off monitors, up to 60% off memory cards, up to 35% off SSD and more. Work and game smarter, not harder with these must-have computing offers. </v>
      </c>
      <c r="CW11" s="39" t="str">
        <f>CCModuleCopy!$F$13</f>
        <v>Shop all</v>
      </c>
      <c r="CX11" s="39" t="str">
        <f>CCModuleCopy!$G$13</f>
        <v>https://www.samsung.com/us/shop/all-deals/tablets-laptops-computers-deals/</v>
      </c>
      <c r="CY11"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Z11" s="39" t="str">
        <f>CCModuleCopy!$I$13</f>
        <v>NULL</v>
      </c>
      <c r="DA11" s="39" t="str">
        <f>CCModuleCopy!$J$13</f>
        <v>NULL</v>
      </c>
      <c r="DB11" s="39" t="str">
        <f>CCModuleCopy!$K$13</f>
        <v>NULL</v>
      </c>
      <c r="DC11" s="89" t="s">
        <v>280</v>
      </c>
      <c r="DD11" s="39" t="str">
        <f>MiscBanners!$H$4</f>
        <v>Give-wonder-500xV.jpg</v>
      </c>
      <c r="DE11" s="39" t="str">
        <f>MiscBanners!$I$4</f>
        <v>The gift that keeps on giving</v>
      </c>
      <c r="DF11" s="39" t="str">
        <f>MiscBanners!$J$4</f>
        <v>NULL</v>
      </c>
      <c r="DG11" s="91" t="str">
        <f>MiscBanners!$K$4</f>
        <v>Discover even more exclusive offers on your favorite products and unlock the power of smart and savvy gifting.</v>
      </c>
      <c r="DH11" s="39" t="str">
        <f>MiscBanners!$L$4</f>
        <v>Shop now</v>
      </c>
      <c r="DI11" s="39" t="str">
        <f>MiscBanners!$M$4</f>
        <v>https://www.samsung.com/us/gift-ideas/</v>
      </c>
      <c r="DJ11"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1" s="39" t="str">
        <f>MiscBanners!$O$4</f>
        <v>NULL</v>
      </c>
      <c r="DL11" s="39" t="str">
        <f>MiscBanners!$P$4</f>
        <v>NULL</v>
      </c>
      <c r="DM11" s="39" t="str">
        <f>MiscBanners!$Q$4</f>
        <v>NULL</v>
      </c>
      <c r="DN11" s="89" t="s">
        <v>273</v>
      </c>
      <c r="DR11" s="91"/>
      <c r="DY11" s="89" t="s">
        <v>481</v>
      </c>
      <c r="DZ11" s="39" t="s">
        <v>394</v>
      </c>
      <c r="EA11" s="39" t="s">
        <v>394</v>
      </c>
      <c r="EB11" s="39" t="s">
        <v>394</v>
      </c>
      <c r="EC11" s="91" t="s">
        <v>482</v>
      </c>
      <c r="ED11" s="39" t="s">
        <v>394</v>
      </c>
      <c r="EE11" s="39" t="s">
        <v>476</v>
      </c>
      <c r="EF11" s="39">
        <v>0</v>
      </c>
      <c r="EG11" s="39" t="s">
        <v>394</v>
      </c>
      <c r="EH11" s="39" t="s">
        <v>394</v>
      </c>
      <c r="EI11" s="39" t="s">
        <v>394</v>
      </c>
      <c r="EJ11" s="89" t="s">
        <v>439</v>
      </c>
      <c r="EK11" s="39" t="s">
        <v>394</v>
      </c>
      <c r="EL11" s="39" t="s">
        <v>394</v>
      </c>
      <c r="EM11" s="39" t="s">
        <v>394</v>
      </c>
      <c r="EN11" s="91" t="s">
        <v>483</v>
      </c>
      <c r="EO11" s="39" t="s">
        <v>394</v>
      </c>
      <c r="EP11" s="39" t="s">
        <v>476</v>
      </c>
      <c r="EQ11" s="39">
        <v>0</v>
      </c>
      <c r="ER11" s="39" t="s">
        <v>394</v>
      </c>
      <c r="ES11" s="39" t="s">
        <v>394</v>
      </c>
      <c r="ET11" s="39" t="s">
        <v>394</v>
      </c>
      <c r="EU11" s="89" t="s">
        <v>441</v>
      </c>
      <c r="EV11" s="39" t="s">
        <v>394</v>
      </c>
      <c r="EW11" s="39" t="s">
        <v>394</v>
      </c>
      <c r="EX11" s="39" t="s">
        <v>394</v>
      </c>
      <c r="EY11" s="91" t="s">
        <v>484</v>
      </c>
      <c r="EZ11" s="39" t="s">
        <v>394</v>
      </c>
      <c r="FA11" s="39" t="s">
        <v>476</v>
      </c>
      <c r="FB11" s="39">
        <v>0</v>
      </c>
      <c r="FC11" s="39" t="s">
        <v>394</v>
      </c>
      <c r="FD11" s="39" t="s">
        <v>394</v>
      </c>
      <c r="FE11" s="39" t="s">
        <v>394</v>
      </c>
      <c r="FF11" s="89" t="s">
        <v>477</v>
      </c>
      <c r="FG11" s="39" t="s">
        <v>394</v>
      </c>
      <c r="FH11" s="39" t="s">
        <v>394</v>
      </c>
      <c r="FI11" s="39" t="s">
        <v>394</v>
      </c>
      <c r="FJ11" s="91" t="s">
        <v>485</v>
      </c>
      <c r="FK11" s="39" t="s">
        <v>394</v>
      </c>
      <c r="FL11" s="39">
        <v>0</v>
      </c>
      <c r="FM11" s="39">
        <v>0</v>
      </c>
      <c r="FN11" s="39" t="s">
        <v>394</v>
      </c>
      <c r="FO11" s="39" t="s">
        <v>394</v>
      </c>
      <c r="FP11" s="39" t="s">
        <v>394</v>
      </c>
    </row>
    <row r="12" spans="1:172" s="39" customFormat="1" ht="99.95" customHeight="1" x14ac:dyDescent="0.25">
      <c r="A12" s="39" t="s">
        <v>235</v>
      </c>
      <c r="B12" s="39" t="s">
        <v>236</v>
      </c>
      <c r="C12" s="39" t="s">
        <v>237</v>
      </c>
      <c r="D12" s="39" t="s">
        <v>237</v>
      </c>
      <c r="E12" s="39" t="s">
        <v>370</v>
      </c>
      <c r="G12" s="88" t="s">
        <v>540</v>
      </c>
      <c r="H12" s="88" t="s">
        <v>539</v>
      </c>
      <c r="I12" s="89" t="s">
        <v>381</v>
      </c>
      <c r="J12" s="39" t="s">
        <v>394</v>
      </c>
      <c r="K12" s="39" t="s">
        <v>394</v>
      </c>
      <c r="L12" s="39" t="s">
        <v>394</v>
      </c>
      <c r="M12" s="39" t="s">
        <v>394</v>
      </c>
      <c r="N12" s="39" t="s">
        <v>394</v>
      </c>
      <c r="O12" s="39" t="s">
        <v>394</v>
      </c>
      <c r="P12" s="39" t="s">
        <v>394</v>
      </c>
      <c r="Q12" s="39" t="s">
        <v>394</v>
      </c>
      <c r="R12" s="39" t="s">
        <v>394</v>
      </c>
      <c r="S12" s="89" t="s">
        <v>407</v>
      </c>
      <c r="T12" s="39" t="str">
        <f>'Dynamic Banners'!$L$5</f>
        <v>Cyber-monday-2.png</v>
      </c>
      <c r="U12" s="39" t="str">
        <f>'Dynamic Banners'!$M$5</f>
        <v xml:space="preserve">Cyber Monday is over. But, Cyber Week is just beginning. </v>
      </c>
      <c r="V12" s="39" t="s">
        <v>394</v>
      </c>
      <c r="W12" s="39" t="str">
        <f>'Dynamic Banners'!$N$5</f>
        <v xml:space="preserve">Shop amazing offers on showstopping products while supplies last. </v>
      </c>
      <c r="X12" s="39" t="s">
        <v>394</v>
      </c>
      <c r="Y12" s="39" t="str">
        <f>[1]MiscBanners!$B$4</f>
        <v>https://www.samsung.com/us/shop/all-deals/</v>
      </c>
      <c r="Z1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2" s="39" t="s">
        <v>394</v>
      </c>
      <c r="AB12" s="39" t="s">
        <v>394</v>
      </c>
      <c r="AC12" s="39" t="s">
        <v>394</v>
      </c>
      <c r="AD12" s="89" t="s">
        <v>408</v>
      </c>
      <c r="AE12" s="39" t="s">
        <v>394</v>
      </c>
      <c r="AF12" s="39" t="s">
        <v>394</v>
      </c>
      <c r="AG12" s="7" t="s">
        <v>559</v>
      </c>
      <c r="AH12" s="39" t="s">
        <v>562</v>
      </c>
      <c r="AI12" s="39" t="s">
        <v>394</v>
      </c>
      <c r="AJ12" s="39" t="str">
        <f>[1]MiscBanners!$B$4</f>
        <v>https://www.samsung.com/us/shop/all-deals/</v>
      </c>
      <c r="AK1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2" s="39" t="s">
        <v>394</v>
      </c>
      <c r="AM12" s="39" t="s">
        <v>394</v>
      </c>
      <c r="AN12" s="39" t="s">
        <v>394</v>
      </c>
      <c r="AO12" s="89" t="s">
        <v>371</v>
      </c>
      <c r="AP12" s="39" t="str">
        <f>CCModuleCopy!$B$5</f>
        <v>IM_HeadImage_Shop_Phones_500xV.jpg</v>
      </c>
      <c r="AQ12" s="39" t="str">
        <f>CCModuleCopy!$C$5</f>
        <v>Save up to $1000 instantly on the latest and greatest Galaxy smartphones</v>
      </c>
      <c r="AR12" s="39" t="str">
        <f>CCModuleCopy!$D$5</f>
        <v>NULL</v>
      </c>
      <c r="AS12"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AT12" s="39" t="str">
        <f>CCModuleCopy!$L$5</f>
        <v>Shop all</v>
      </c>
      <c r="AU12" s="39" t="str">
        <f>CCModuleCopy!$M$5</f>
        <v>https://www.samsung.com/us/shop/all-deals/cell-phone-deals/</v>
      </c>
      <c r="AV12"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W12" s="39" t="str">
        <f>CCModuleCopy!$O$5</f>
        <v>NULL</v>
      </c>
      <c r="AX12" s="39" t="str">
        <f>CCModuleCopy!$P$5</f>
        <v>NULL</v>
      </c>
      <c r="AY12" s="39" t="str">
        <f>CCModuleCopy!$Q$5</f>
        <v>NULL</v>
      </c>
      <c r="AZ12" s="89" t="s">
        <v>265</v>
      </c>
      <c r="BA12" s="39" t="str">
        <f>CCModuleCopy!$B$7</f>
        <v>HE_HeadImage_Shop_TVs_500xV.jpg</v>
      </c>
      <c r="BB12" s="39" t="str">
        <f>CCModuleCopy!$C$7</f>
        <v>Get up to $3000 off select 8K, 4K and Lifestyle TVs</v>
      </c>
      <c r="BC12" s="39" t="str">
        <f>CCModuleCopy!$D$7</f>
        <v>NULL</v>
      </c>
      <c r="BD12"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12" s="39" t="str">
        <f>CCModuleCopy!$L$7</f>
        <v>Shop all</v>
      </c>
      <c r="BF12" s="39" t="str">
        <f>CCModuleCopy!$M$7</f>
        <v>https://www.samsung.com/us/shop/all-deals/tv-and-home-theater-deals/</v>
      </c>
      <c r="BG12"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H12" s="39" t="str">
        <f>CCModuleCopy!$O$7</f>
        <v>NULL</v>
      </c>
      <c r="BI12" s="39" t="str">
        <f>CCModuleCopy!$P$7</f>
        <v>NULL</v>
      </c>
      <c r="BJ12" s="39" t="str">
        <f>CCModuleCopy!$Q$7</f>
        <v>NULL</v>
      </c>
      <c r="BK12" s="89" t="s">
        <v>266</v>
      </c>
      <c r="BL12" s="39" t="str">
        <f>CCModuleCopy!$B$15</f>
        <v>Tablet-HeadImage-500xV.jpg</v>
      </c>
      <c r="BM12" s="39" t="str">
        <f>CCModuleCopy!$C$15</f>
        <v>Save up to $150 on select tablets</v>
      </c>
      <c r="BN12" s="39" t="str">
        <f>CCModuleCopy!$D$15</f>
        <v>NULL</v>
      </c>
      <c r="BO12" s="39" t="str">
        <f>CCModuleCopy!$E$15</f>
        <v xml:space="preserve">Empower how you create, learn, game and more with our powerful line of tablets. Shop offers on must-have products from the new Galaxy Tab S7+ to the Galaxy Tab S6 Lite. </v>
      </c>
      <c r="BP12" s="39" t="str">
        <f>CCModuleCopy!$L$15</f>
        <v>Shop all</v>
      </c>
      <c r="BQ12" s="39" t="str">
        <f>CCModuleCopy!$M$15</f>
        <v>https://www.samsung.com/us/shop/all-deals/tablets-laptops-computers-deals/</v>
      </c>
      <c r="BR12"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12" s="39" t="str">
        <f>CCModuleCopy!$O$15</f>
        <v>NULL</v>
      </c>
      <c r="BT12" s="39" t="str">
        <f>CCModuleCopy!$P$15</f>
        <v>NULL</v>
      </c>
      <c r="BU12" s="39" t="str">
        <f>CCModuleCopy!$Q$15</f>
        <v>NULL</v>
      </c>
      <c r="BV12" s="89" t="s">
        <v>367</v>
      </c>
      <c r="BW12" s="39" t="str">
        <f>CCModuleCopy!$B$11</f>
        <v>ME_HeadImage_Wearables_500xV.jpg</v>
      </c>
      <c r="BX12" s="39" t="str">
        <f>CCModuleCopy!$C$11</f>
        <v>Get up to $100 off select watches and earbuds</v>
      </c>
      <c r="BY12" s="39" t="str">
        <f>CCModuleCopy!$D$11</f>
        <v>NULL</v>
      </c>
      <c r="BZ12"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2" s="39" t="str">
        <f>CCModuleCopy!$L$11</f>
        <v>Shop all</v>
      </c>
      <c r="CB12" s="39" t="str">
        <f>CCModuleCopy!$M$11</f>
        <v>https://www.samsung.com/us/shop/all-deals/tablets-wearables-cell-phone-accessories-deals/</v>
      </c>
      <c r="CC12"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2" s="39" t="str">
        <f>CCModuleCopy!$O$11</f>
        <v>NULL</v>
      </c>
      <c r="CE12" s="39" t="str">
        <f>CCModuleCopy!$P$11</f>
        <v>NULL</v>
      </c>
      <c r="CF12" s="39" t="str">
        <f>CCModuleCopy!$Q$11</f>
        <v>NULL</v>
      </c>
      <c r="CG12" s="89" t="s">
        <v>368</v>
      </c>
      <c r="CH12" s="39" t="str">
        <f>CCModuleCopy!$B$13</f>
        <v>CE_HeadImage_Computing_500xV.jpg</v>
      </c>
      <c r="CI12" s="39" t="str">
        <f>CCModuleCopy!$C$13</f>
        <v>Get up to 60% off memory cards, SSD, monitors and more</v>
      </c>
      <c r="CJ12" s="39" t="str">
        <f>CCModuleCopy!$D$13</f>
        <v>NULL</v>
      </c>
      <c r="CK12" s="39" t="str">
        <f>CCModuleCopy!$E$13</f>
        <v xml:space="preserve">Expand the way you play, store and create and get up to 30% off monitors, up to 60% off memory cards, up to 35% off SSD and more. Work and game smarter, not harder with these must-have computing offers. </v>
      </c>
      <c r="CL12" s="39" t="str">
        <f>CCModuleCopy!$L$13</f>
        <v>Shop all</v>
      </c>
      <c r="CM12" s="39" t="str">
        <f>CCModuleCopy!$M$13</f>
        <v>https://www.samsung.com/us/shop/all-deals/laptop-and-computer-deals/</v>
      </c>
      <c r="CN12"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2" s="39" t="str">
        <f>CCModuleCopy!$O$13</f>
        <v>NULL</v>
      </c>
      <c r="CP12" s="39" t="str">
        <f>CCModuleCopy!$P$13</f>
        <v>NULL</v>
      </c>
      <c r="CQ12" s="39" t="str">
        <f>CCModuleCopy!$Q$13</f>
        <v>NULL</v>
      </c>
      <c r="CR12" s="89" t="s">
        <v>279</v>
      </c>
      <c r="CS12" s="39" t="str">
        <f>CCModuleCopy!$B$9</f>
        <v>HA_HeadImage_Shop_HA_500xV.jpg</v>
      </c>
      <c r="CT12" s="39" t="str">
        <f>CCModuleCopy!$C$9</f>
        <v>Save up to 50% on everything you need to upgrade your home and home care</v>
      </c>
      <c r="CU12" s="39" t="str">
        <f>CCModuleCopy!$D$9</f>
        <v>NULL</v>
      </c>
      <c r="CV12"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2" s="39" t="str">
        <f>CCModuleCopy!$L$9</f>
        <v>Shop all</v>
      </c>
      <c r="CX12" s="39" t="str">
        <f>CCModuleCopy!$M$9</f>
        <v>https://www.samsung.com/us/shop/all-deals/home-appliance-and-smart-home-sales/</v>
      </c>
      <c r="CY12"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2" s="39" t="str">
        <f>CCModuleCopy!$O$9</f>
        <v>NULL</v>
      </c>
      <c r="DA12" s="39" t="str">
        <f>CCModuleCopy!$P$9</f>
        <v>NULL</v>
      </c>
      <c r="DB12" s="39" t="str">
        <f>CCModuleCopy!$Q$9</f>
        <v>NULL</v>
      </c>
      <c r="DC12" s="89" t="s">
        <v>280</v>
      </c>
      <c r="DD12" s="39" t="str">
        <f>MiscBanners!$H$4</f>
        <v>Give-wonder-500xV.jpg</v>
      </c>
      <c r="DE12" s="39" t="str">
        <f>MiscBanners!$I$4</f>
        <v>The gift that keeps on giving</v>
      </c>
      <c r="DF12" s="39" t="str">
        <f>MiscBanners!$J$4</f>
        <v>NULL</v>
      </c>
      <c r="DG12" s="91" t="str">
        <f>MiscBanners!$K$4</f>
        <v>Discover even more exclusive offers on your favorite products and unlock the power of smart and savvy gifting.</v>
      </c>
      <c r="DH12" s="39" t="str">
        <f>MiscBanners!$L$4</f>
        <v>Shop now</v>
      </c>
      <c r="DI12" s="39" t="str">
        <f>MiscBanners!$M$4</f>
        <v>https://www.samsung.com/us/gift-ideas/</v>
      </c>
      <c r="DJ12"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2" s="39" t="str">
        <f>MiscBanners!$O$4</f>
        <v>NULL</v>
      </c>
      <c r="DL12" s="39" t="str">
        <f>MiscBanners!$P$4</f>
        <v>NULL</v>
      </c>
      <c r="DM12" s="39" t="str">
        <f>MiscBanners!$Q$4</f>
        <v>NULL</v>
      </c>
      <c r="DN12" s="89" t="s">
        <v>273</v>
      </c>
      <c r="DR12" s="91"/>
      <c r="DY12" s="89" t="s">
        <v>481</v>
      </c>
      <c r="DZ12" s="39" t="str">
        <f>TC!B4</f>
        <v>NULL</v>
      </c>
      <c r="EA12" s="39" t="str">
        <f>TC!C4</f>
        <v>NULL</v>
      </c>
      <c r="EB12" s="39" t="str">
        <f>TC!D4</f>
        <v>NULL</v>
      </c>
      <c r="EC12"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12" s="39" t="str">
        <f>TC!F4</f>
        <v>NULL</v>
      </c>
      <c r="EE12" s="39" t="str">
        <f>TC!G4</f>
        <v>https://www.samsung.com/us/</v>
      </c>
      <c r="EF12" s="39">
        <f>TC!H4</f>
        <v>0</v>
      </c>
      <c r="EG12" s="39" t="str">
        <f>TC!I4</f>
        <v>NULL</v>
      </c>
      <c r="EH12" s="39" t="str">
        <f>TC!J4</f>
        <v>NULL</v>
      </c>
      <c r="EI12" s="39" t="str">
        <f>TC!K4</f>
        <v>NULL</v>
      </c>
      <c r="EJ12" s="89" t="s">
        <v>439</v>
      </c>
      <c r="EK12" s="39" t="str">
        <f>TC!B5</f>
        <v>NULL</v>
      </c>
      <c r="EL12" s="39" t="str">
        <f>TC!C5</f>
        <v>NULL</v>
      </c>
      <c r="EM12" s="39" t="str">
        <f>TC!D5</f>
        <v>NULL</v>
      </c>
      <c r="EN12"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12" s="39" t="str">
        <f>TC!F5</f>
        <v>NULL</v>
      </c>
      <c r="EP12" s="39" t="str">
        <f>TC!G5</f>
        <v>https://www.samsung.com/us/</v>
      </c>
      <c r="EQ12" s="39">
        <f>TC!H5</f>
        <v>0</v>
      </c>
      <c r="ER12" s="39" t="str">
        <f>TC!I5</f>
        <v>NULL</v>
      </c>
      <c r="ES12" s="39" t="str">
        <f>TC!J5</f>
        <v>NULL</v>
      </c>
      <c r="ET12" s="39" t="str">
        <f>TC!K5</f>
        <v>NULL</v>
      </c>
      <c r="EU12" s="89" t="s">
        <v>441</v>
      </c>
      <c r="EV12" s="39" t="str">
        <f>TC!B7</f>
        <v>NULL</v>
      </c>
      <c r="EW12" s="39" t="str">
        <f>TC!C7</f>
        <v>NULL</v>
      </c>
      <c r="EX12" s="39" t="str">
        <f>TC!D7</f>
        <v>NULL</v>
      </c>
      <c r="EY12"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EZ12" s="39" t="str">
        <f>TC!F7</f>
        <v>NULL</v>
      </c>
      <c r="FA12" s="39">
        <f>TC!G7</f>
        <v>0</v>
      </c>
      <c r="FB12" s="39">
        <f>TC!H7</f>
        <v>0</v>
      </c>
      <c r="FC12" s="39" t="str">
        <f>TC!I7</f>
        <v>NULL</v>
      </c>
      <c r="FD12" s="39" t="str">
        <f>TC!J7</f>
        <v>NULL</v>
      </c>
      <c r="FE12" s="39" t="str">
        <f>TC!K7</f>
        <v>NULL</v>
      </c>
      <c r="FF12" s="89"/>
      <c r="FJ12" s="91"/>
    </row>
    <row r="13" spans="1:172" s="39" customFormat="1" ht="99.95" customHeight="1" x14ac:dyDescent="0.25">
      <c r="A13" s="39" t="s">
        <v>235</v>
      </c>
      <c r="B13" s="39" t="s">
        <v>240</v>
      </c>
      <c r="C13" s="39" t="s">
        <v>237</v>
      </c>
      <c r="D13" s="39" t="s">
        <v>237</v>
      </c>
      <c r="E13" s="39" t="s">
        <v>370</v>
      </c>
      <c r="G13" s="88" t="s">
        <v>540</v>
      </c>
      <c r="H13" s="88" t="s">
        <v>539</v>
      </c>
      <c r="I13" s="89" t="s">
        <v>381</v>
      </c>
      <c r="J13" s="39" t="s">
        <v>394</v>
      </c>
      <c r="K13" s="39" t="s">
        <v>394</v>
      </c>
      <c r="L13" s="39" t="s">
        <v>394</v>
      </c>
      <c r="M13" s="39" t="s">
        <v>394</v>
      </c>
      <c r="N13" s="39" t="s">
        <v>394</v>
      </c>
      <c r="O13" s="39" t="s">
        <v>394</v>
      </c>
      <c r="P13" s="39" t="s">
        <v>394</v>
      </c>
      <c r="Q13" s="39" t="s">
        <v>394</v>
      </c>
      <c r="R13" s="39" t="s">
        <v>394</v>
      </c>
      <c r="S13" s="89" t="s">
        <v>407</v>
      </c>
      <c r="T13" s="39" t="str">
        <f>'Dynamic Banners'!$L$5</f>
        <v>Cyber-monday-2.png</v>
      </c>
      <c r="U13" s="39" t="str">
        <f>'Dynamic Banners'!$M$5</f>
        <v xml:space="preserve">Cyber Monday is over. But, Cyber Week is just beginning. </v>
      </c>
      <c r="V13" s="39" t="s">
        <v>394</v>
      </c>
      <c r="W13" s="39" t="str">
        <f>'Dynamic Banners'!$N$5</f>
        <v xml:space="preserve">Shop amazing offers on showstopping products while supplies last. </v>
      </c>
      <c r="X13" s="39" t="s">
        <v>394</v>
      </c>
      <c r="Y13" s="39" t="str">
        <f>[1]MiscBanners!$B$4</f>
        <v>https://www.samsung.com/us/shop/all-deals/</v>
      </c>
      <c r="Z1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3" s="39" t="s">
        <v>394</v>
      </c>
      <c r="AB13" s="39" t="s">
        <v>394</v>
      </c>
      <c r="AC13" s="39" t="s">
        <v>394</v>
      </c>
      <c r="AD13" s="89" t="s">
        <v>408</v>
      </c>
      <c r="AE13" s="39" t="s">
        <v>394</v>
      </c>
      <c r="AF13" s="39" t="s">
        <v>394</v>
      </c>
      <c r="AG13" s="7" t="s">
        <v>559</v>
      </c>
      <c r="AH13" s="39" t="s">
        <v>561</v>
      </c>
      <c r="AI13" s="39" t="s">
        <v>394</v>
      </c>
      <c r="AJ13" s="39" t="str">
        <f>[1]MiscBanners!$B$4</f>
        <v>https://www.samsung.com/us/shop/all-deals/</v>
      </c>
      <c r="AK1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3" s="39" t="s">
        <v>394</v>
      </c>
      <c r="AM13" s="39" t="s">
        <v>394</v>
      </c>
      <c r="AN13" s="39" t="s">
        <v>394</v>
      </c>
      <c r="AO13" s="89" t="s">
        <v>265</v>
      </c>
      <c r="AP13" s="39" t="str">
        <f>CCModuleCopy!$B$7</f>
        <v>HE_HeadImage_Shop_TVs_500xV.jpg</v>
      </c>
      <c r="AQ13" s="39" t="str">
        <f>CCModuleCopy!$C$7</f>
        <v>Get up to $3000 off select 8K, 4K and Lifestyle TVs</v>
      </c>
      <c r="AR13" s="39" t="str">
        <f>CCModuleCopy!$D$7</f>
        <v>NULL</v>
      </c>
      <c r="AS13"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13" s="39" t="str">
        <f>CCModuleCopy!$L$7</f>
        <v>Shop all</v>
      </c>
      <c r="AU13" s="39" t="str">
        <f>CCModuleCopy!$M$7</f>
        <v>https://www.samsung.com/us/shop/all-deals/tv-and-home-theater-deals/</v>
      </c>
      <c r="AV13"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W13" s="39" t="str">
        <f>CCModuleCopy!$O$7</f>
        <v>NULL</v>
      </c>
      <c r="AX13" s="39" t="str">
        <f>CCModuleCopy!$P$7</f>
        <v>NULL</v>
      </c>
      <c r="AY13" s="39" t="str">
        <f>CCModuleCopy!$Q$7</f>
        <v>NULL</v>
      </c>
      <c r="AZ13" s="89" t="s">
        <v>371</v>
      </c>
      <c r="BA13" s="39" t="str">
        <f>CCModuleCopy!$B$5</f>
        <v>IM_HeadImage_Shop_Phones_500xV.jpg</v>
      </c>
      <c r="BB13" s="39" t="str">
        <f>CCModuleCopy!$C$5</f>
        <v>Save up to $1000 instantly on the latest and greatest Galaxy smartphones</v>
      </c>
      <c r="BC13" s="39" t="str">
        <f>CCModuleCopy!$D$5</f>
        <v>NULL</v>
      </c>
      <c r="BD13"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3" s="39" t="str">
        <f>CCModuleCopy!$L$5</f>
        <v>Shop all</v>
      </c>
      <c r="BF13" s="39" t="str">
        <f>CCModuleCopy!$M$5</f>
        <v>https://www.samsung.com/us/shop/all-deals/cell-phone-deals/</v>
      </c>
      <c r="BG13"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3" s="39" t="str">
        <f>CCModuleCopy!$O$5</f>
        <v>NULL</v>
      </c>
      <c r="BI13" s="39" t="str">
        <f>CCModuleCopy!$P$5</f>
        <v>NULL</v>
      </c>
      <c r="BJ13" s="39" t="str">
        <f>CCModuleCopy!$Q$5</f>
        <v>NULL</v>
      </c>
      <c r="BK13" s="89" t="s">
        <v>266</v>
      </c>
      <c r="BL13" s="39" t="str">
        <f>CCModuleCopy!$B$15</f>
        <v>Tablet-HeadImage-500xV.jpg</v>
      </c>
      <c r="BM13" s="39" t="str">
        <f>CCModuleCopy!$C$15</f>
        <v>Save up to $150 on select tablets</v>
      </c>
      <c r="BN13" s="39" t="str">
        <f>CCModuleCopy!$D$15</f>
        <v>NULL</v>
      </c>
      <c r="BO13" s="39" t="str">
        <f>CCModuleCopy!$E$15</f>
        <v xml:space="preserve">Empower how you create, learn, game and more with our powerful line of tablets. Shop offers on must-have products from the new Galaxy Tab S7+ to the Galaxy Tab S6 Lite. </v>
      </c>
      <c r="BP13" s="39" t="str">
        <f>CCModuleCopy!$L$15</f>
        <v>Shop all</v>
      </c>
      <c r="BQ13" s="39" t="str">
        <f>CCModuleCopy!$M$15</f>
        <v>https://www.samsung.com/us/shop/all-deals/tablets-laptops-computers-deals/</v>
      </c>
      <c r="BR13"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13" s="39" t="str">
        <f>CCModuleCopy!$O$15</f>
        <v>NULL</v>
      </c>
      <c r="BT13" s="39" t="str">
        <f>CCModuleCopy!$P$15</f>
        <v>NULL</v>
      </c>
      <c r="BU13" s="39" t="str">
        <f>CCModuleCopy!$Q$15</f>
        <v>NULL</v>
      </c>
      <c r="BV13" s="89" t="s">
        <v>367</v>
      </c>
      <c r="BW13" s="39" t="str">
        <f>CCModuleCopy!$B$11</f>
        <v>ME_HeadImage_Wearables_500xV.jpg</v>
      </c>
      <c r="BX13" s="39" t="str">
        <f>CCModuleCopy!$C$11</f>
        <v>Get up to $100 off select watches and earbuds</v>
      </c>
      <c r="BY13" s="39" t="str">
        <f>CCModuleCopy!$D$11</f>
        <v>NULL</v>
      </c>
      <c r="BZ13"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3" s="39" t="str">
        <f>CCModuleCopy!$L$11</f>
        <v>Shop all</v>
      </c>
      <c r="CB13" s="39" t="str">
        <f>CCModuleCopy!$M$11</f>
        <v>https://www.samsung.com/us/shop/all-deals/tablets-wearables-cell-phone-accessories-deals/</v>
      </c>
      <c r="CC13"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3" s="39" t="str">
        <f>CCModuleCopy!$O$11</f>
        <v>NULL</v>
      </c>
      <c r="CE13" s="39" t="str">
        <f>CCModuleCopy!$P$11</f>
        <v>NULL</v>
      </c>
      <c r="CF13" s="39" t="str">
        <f>CCModuleCopy!$Q$11</f>
        <v>NULL</v>
      </c>
      <c r="CG13" s="89" t="s">
        <v>368</v>
      </c>
      <c r="CH13" s="39" t="str">
        <f>CCModuleCopy!$B$13</f>
        <v>CE_HeadImage_Computing_500xV.jpg</v>
      </c>
      <c r="CI13" s="39" t="str">
        <f>CCModuleCopy!$C$13</f>
        <v>Get up to 60% off memory cards, SSD, monitors and more</v>
      </c>
      <c r="CJ13" s="39" t="str">
        <f>CCModuleCopy!$D$13</f>
        <v>NULL</v>
      </c>
      <c r="CK13" s="39" t="str">
        <f>CCModuleCopy!$E$13</f>
        <v xml:space="preserve">Expand the way you play, store and create and get up to 30% off monitors, up to 60% off memory cards, up to 35% off SSD and more. Work and game smarter, not harder with these must-have computing offers. </v>
      </c>
      <c r="CL13" s="39" t="str">
        <f>CCModuleCopy!$L$13</f>
        <v>Shop all</v>
      </c>
      <c r="CM13" s="39" t="str">
        <f>CCModuleCopy!$M$13</f>
        <v>https://www.samsung.com/us/shop/all-deals/laptop-and-computer-deals/</v>
      </c>
      <c r="CN13"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3" s="39" t="str">
        <f>CCModuleCopy!$O$13</f>
        <v>NULL</v>
      </c>
      <c r="CP13" s="39" t="str">
        <f>CCModuleCopy!$P$13</f>
        <v>NULL</v>
      </c>
      <c r="CQ13" s="39" t="str">
        <f>CCModuleCopy!$Q$13</f>
        <v>NULL</v>
      </c>
      <c r="CR13" s="89" t="s">
        <v>279</v>
      </c>
      <c r="CS13" s="39" t="str">
        <f>CCModuleCopy!$B$9</f>
        <v>HA_HeadImage_Shop_HA_500xV.jpg</v>
      </c>
      <c r="CT13" s="39" t="str">
        <f>CCModuleCopy!$C$9</f>
        <v>Save up to 50% on everything you need to upgrade your home and home care</v>
      </c>
      <c r="CU13" s="39" t="str">
        <f>CCModuleCopy!$D$9</f>
        <v>NULL</v>
      </c>
      <c r="CV13"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3" s="39" t="str">
        <f>CCModuleCopy!$L$9</f>
        <v>Shop all</v>
      </c>
      <c r="CX13" s="39" t="str">
        <f>CCModuleCopy!$M$9</f>
        <v>https://www.samsung.com/us/shop/all-deals/home-appliance-and-smart-home-sales/</v>
      </c>
      <c r="CY13"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3" s="39" t="str">
        <f>CCModuleCopy!$O$9</f>
        <v>NULL</v>
      </c>
      <c r="DA13" s="39" t="str">
        <f>CCModuleCopy!$P$9</f>
        <v>NULL</v>
      </c>
      <c r="DB13" s="39" t="str">
        <f>CCModuleCopy!$Q$9</f>
        <v>NULL</v>
      </c>
      <c r="DC13" s="89" t="s">
        <v>280</v>
      </c>
      <c r="DD13" s="39" t="str">
        <f>MiscBanners!$H$4</f>
        <v>Give-wonder-500xV.jpg</v>
      </c>
      <c r="DE13" s="39" t="str">
        <f>MiscBanners!$I$4</f>
        <v>The gift that keeps on giving</v>
      </c>
      <c r="DF13" s="39" t="str">
        <f>MiscBanners!$J$4</f>
        <v>NULL</v>
      </c>
      <c r="DG13" s="91" t="str">
        <f>MiscBanners!$K$4</f>
        <v>Discover even more exclusive offers on your favorite products and unlock the power of smart and savvy gifting.</v>
      </c>
      <c r="DH13" s="39" t="str">
        <f>MiscBanners!$L$4</f>
        <v>Shop now</v>
      </c>
      <c r="DI13" s="39" t="str">
        <f>MiscBanners!$M$4</f>
        <v>https://www.samsung.com/us/gift-ideas/</v>
      </c>
      <c r="DJ13"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3" s="39" t="str">
        <f>MiscBanners!$O$4</f>
        <v>NULL</v>
      </c>
      <c r="DL13" s="39" t="str">
        <f>MiscBanners!$P$4</f>
        <v>NULL</v>
      </c>
      <c r="DM13" s="39" t="str">
        <f>MiscBanners!$Q$4</f>
        <v>NULL</v>
      </c>
      <c r="DN13" s="89" t="s">
        <v>273</v>
      </c>
      <c r="DR13" s="91"/>
      <c r="DY13" s="89" t="s">
        <v>481</v>
      </c>
      <c r="DZ13" s="39" t="s">
        <v>394</v>
      </c>
      <c r="EA13" s="39" t="s">
        <v>394</v>
      </c>
      <c r="EB13" s="39" t="s">
        <v>394</v>
      </c>
      <c r="EC13" s="91" t="s">
        <v>482</v>
      </c>
      <c r="ED13" s="39" t="s">
        <v>394</v>
      </c>
      <c r="EE13" s="39" t="s">
        <v>476</v>
      </c>
      <c r="EF13" s="39">
        <v>0</v>
      </c>
      <c r="EG13" s="39" t="s">
        <v>394</v>
      </c>
      <c r="EH13" s="39" t="s">
        <v>394</v>
      </c>
      <c r="EI13" s="39" t="s">
        <v>394</v>
      </c>
      <c r="EJ13" s="89" t="s">
        <v>439</v>
      </c>
      <c r="EK13" s="39" t="s">
        <v>394</v>
      </c>
      <c r="EL13" s="39" t="s">
        <v>394</v>
      </c>
      <c r="EM13" s="39" t="s">
        <v>394</v>
      </c>
      <c r="EN13" s="91" t="s">
        <v>483</v>
      </c>
      <c r="EO13" s="39" t="s">
        <v>394</v>
      </c>
      <c r="EP13" s="39" t="s">
        <v>476</v>
      </c>
      <c r="EQ13" s="39">
        <v>0</v>
      </c>
      <c r="ER13" s="39" t="s">
        <v>394</v>
      </c>
      <c r="ES13" s="39" t="s">
        <v>394</v>
      </c>
      <c r="ET13" s="39" t="s">
        <v>394</v>
      </c>
      <c r="EU13" s="89" t="s">
        <v>441</v>
      </c>
      <c r="EV13" s="39" t="s">
        <v>394</v>
      </c>
      <c r="EW13" s="39" t="s">
        <v>394</v>
      </c>
      <c r="EX13" s="39" t="s">
        <v>394</v>
      </c>
      <c r="EY13" s="91" t="s">
        <v>485</v>
      </c>
      <c r="EZ13" s="39" t="s">
        <v>394</v>
      </c>
      <c r="FA13" s="39">
        <v>0</v>
      </c>
      <c r="FB13" s="39">
        <v>0</v>
      </c>
      <c r="FC13" s="39" t="s">
        <v>394</v>
      </c>
      <c r="FD13" s="39" t="s">
        <v>394</v>
      </c>
      <c r="FE13" s="39" t="s">
        <v>394</v>
      </c>
      <c r="FF13" s="89"/>
      <c r="FJ13" s="91"/>
    </row>
    <row r="14" spans="1:172" s="39" customFormat="1" ht="99.95" customHeight="1" x14ac:dyDescent="0.25">
      <c r="A14" s="39" t="s">
        <v>235</v>
      </c>
      <c r="B14" s="92" t="s">
        <v>241</v>
      </c>
      <c r="C14" s="39" t="s">
        <v>237</v>
      </c>
      <c r="D14" s="39" t="s">
        <v>237</v>
      </c>
      <c r="E14" s="39" t="s">
        <v>370</v>
      </c>
      <c r="G14" s="88" t="s">
        <v>540</v>
      </c>
      <c r="H14" s="88" t="s">
        <v>539</v>
      </c>
      <c r="I14" s="89" t="s">
        <v>381</v>
      </c>
      <c r="J14" s="39" t="s">
        <v>394</v>
      </c>
      <c r="K14" s="39" t="s">
        <v>394</v>
      </c>
      <c r="L14" s="39" t="s">
        <v>394</v>
      </c>
      <c r="M14" s="39" t="s">
        <v>394</v>
      </c>
      <c r="N14" s="39" t="s">
        <v>394</v>
      </c>
      <c r="O14" s="39" t="s">
        <v>394</v>
      </c>
      <c r="P14" s="39" t="s">
        <v>394</v>
      </c>
      <c r="Q14" s="39" t="s">
        <v>394</v>
      </c>
      <c r="R14" s="39" t="s">
        <v>394</v>
      </c>
      <c r="S14" s="89" t="s">
        <v>407</v>
      </c>
      <c r="T14" s="39" t="str">
        <f>'Dynamic Banners'!$L$5</f>
        <v>Cyber-monday-2.png</v>
      </c>
      <c r="U14" s="39" t="str">
        <f>'Dynamic Banners'!$M$5</f>
        <v xml:space="preserve">Cyber Monday is over. But, Cyber Week is just beginning. </v>
      </c>
      <c r="V14" s="39" t="s">
        <v>394</v>
      </c>
      <c r="W14" s="39" t="str">
        <f>'Dynamic Banners'!$N$5</f>
        <v xml:space="preserve">Shop amazing offers on showstopping products while supplies last. </v>
      </c>
      <c r="X14" s="39" t="s">
        <v>394</v>
      </c>
      <c r="Y14" s="39" t="str">
        <f>[1]MiscBanners!$B$4</f>
        <v>https://www.samsung.com/us/shop/all-deals/</v>
      </c>
      <c r="Z1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4" s="39" t="s">
        <v>394</v>
      </c>
      <c r="AB14" s="39" t="s">
        <v>394</v>
      </c>
      <c r="AC14" s="39" t="s">
        <v>394</v>
      </c>
      <c r="AD14" s="89" t="s">
        <v>408</v>
      </c>
      <c r="AE14" s="39" t="s">
        <v>394</v>
      </c>
      <c r="AF14" s="39" t="s">
        <v>394</v>
      </c>
      <c r="AG14" s="7" t="s">
        <v>559</v>
      </c>
      <c r="AH14" s="39" t="s">
        <v>561</v>
      </c>
      <c r="AI14" s="39" t="s">
        <v>394</v>
      </c>
      <c r="AJ14" s="39" t="str">
        <f>[1]MiscBanners!$B$4</f>
        <v>https://www.samsung.com/us/shop/all-deals/</v>
      </c>
      <c r="AK1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4" s="39" t="s">
        <v>394</v>
      </c>
      <c r="AM14" s="39" t="s">
        <v>394</v>
      </c>
      <c r="AN14" s="39" t="s">
        <v>394</v>
      </c>
      <c r="AO14" s="89" t="s">
        <v>266</v>
      </c>
      <c r="AP14" s="39" t="str">
        <f>CCModuleCopy!$B$15</f>
        <v>Tablet-HeadImage-500xV.jpg</v>
      </c>
      <c r="AQ14" s="39" t="str">
        <f>CCModuleCopy!$C$15</f>
        <v>Save up to $150 on select tablets</v>
      </c>
      <c r="AR14" s="39" t="str">
        <f>CCModuleCopy!$D$15</f>
        <v>NULL</v>
      </c>
      <c r="AS14" s="39" t="str">
        <f>CCModuleCopy!$E$15</f>
        <v xml:space="preserve">Empower how you create, learn, game and more with our powerful line of tablets. Shop offers on must-have products from the new Galaxy Tab S7+ to the Galaxy Tab S6 Lite. </v>
      </c>
      <c r="AT14" s="39" t="str">
        <f>CCModuleCopy!$L$15</f>
        <v>Shop all</v>
      </c>
      <c r="AU14" s="39" t="str">
        <f>CCModuleCopy!$M$15</f>
        <v>https://www.samsung.com/us/shop/all-deals/tablets-laptops-computers-deals/</v>
      </c>
      <c r="AV14"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W14" s="39" t="str">
        <f>CCModuleCopy!$O$15</f>
        <v>NULL</v>
      </c>
      <c r="AX14" s="39" t="str">
        <f>CCModuleCopy!$P$15</f>
        <v>NULL</v>
      </c>
      <c r="AY14" s="39" t="str">
        <f>CCModuleCopy!$Q$15</f>
        <v>NULL</v>
      </c>
      <c r="AZ14" s="89" t="s">
        <v>371</v>
      </c>
      <c r="BA14" s="39" t="str">
        <f>CCModuleCopy!$B$5</f>
        <v>IM_HeadImage_Shop_Phones_500xV.jpg</v>
      </c>
      <c r="BB14" s="39" t="str">
        <f>CCModuleCopy!$C$5</f>
        <v>Save up to $1000 instantly on the latest and greatest Galaxy smartphones</v>
      </c>
      <c r="BC14" s="39" t="str">
        <f>CCModuleCopy!$D$5</f>
        <v>NULL</v>
      </c>
      <c r="BD14"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4" s="39" t="str">
        <f>CCModuleCopy!$L$5</f>
        <v>Shop all</v>
      </c>
      <c r="BF14" s="39" t="str">
        <f>CCModuleCopy!$M$5</f>
        <v>https://www.samsung.com/us/shop/all-deals/cell-phone-deals/</v>
      </c>
      <c r="BG14"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4" s="39" t="str">
        <f>CCModuleCopy!$O$5</f>
        <v>NULL</v>
      </c>
      <c r="BI14" s="39" t="str">
        <f>CCModuleCopy!$P$5</f>
        <v>NULL</v>
      </c>
      <c r="BJ14" s="39" t="str">
        <f>CCModuleCopy!$Q$5</f>
        <v>NULL</v>
      </c>
      <c r="BK14" s="89" t="s">
        <v>265</v>
      </c>
      <c r="BL14" s="39" t="str">
        <f>CCModuleCopy!$B$7</f>
        <v>HE_HeadImage_Shop_TVs_500xV.jpg</v>
      </c>
      <c r="BM14" s="39" t="str">
        <f>CCModuleCopy!$C$7</f>
        <v>Get up to $3000 off select 8K, 4K and Lifestyle TVs</v>
      </c>
      <c r="BN14" s="39" t="str">
        <f>CCModuleCopy!$D$7</f>
        <v>NULL</v>
      </c>
      <c r="BO14"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4" s="39" t="str">
        <f>CCModuleCopy!$L$7</f>
        <v>Shop all</v>
      </c>
      <c r="BQ14" s="39" t="str">
        <f>CCModuleCopy!$M$7</f>
        <v>https://www.samsung.com/us/shop/all-deals/tv-and-home-theater-deals/</v>
      </c>
      <c r="BR14"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4" s="39" t="str">
        <f>CCModuleCopy!$O$7</f>
        <v>NULL</v>
      </c>
      <c r="BT14" s="39" t="str">
        <f>CCModuleCopy!$P$7</f>
        <v>NULL</v>
      </c>
      <c r="BU14" s="39" t="str">
        <f>CCModuleCopy!$Q$7</f>
        <v>NULL</v>
      </c>
      <c r="BV14" s="89" t="s">
        <v>367</v>
      </c>
      <c r="BW14" s="39" t="str">
        <f>CCModuleCopy!$B$11</f>
        <v>ME_HeadImage_Wearables_500xV.jpg</v>
      </c>
      <c r="BX14" s="39" t="str">
        <f>CCModuleCopy!$C$11</f>
        <v>Get up to $100 off select watches and earbuds</v>
      </c>
      <c r="BY14" s="39" t="str">
        <f>CCModuleCopy!$D$11</f>
        <v>NULL</v>
      </c>
      <c r="BZ14"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4" s="39" t="str">
        <f>CCModuleCopy!$L$11</f>
        <v>Shop all</v>
      </c>
      <c r="CB14" s="39" t="str">
        <f>CCModuleCopy!$M$11</f>
        <v>https://www.samsung.com/us/shop/all-deals/tablets-wearables-cell-phone-accessories-deals/</v>
      </c>
      <c r="CC14"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4" s="39" t="str">
        <f>CCModuleCopy!$O$11</f>
        <v>NULL</v>
      </c>
      <c r="CE14" s="39" t="str">
        <f>CCModuleCopy!$P$11</f>
        <v>NULL</v>
      </c>
      <c r="CF14" s="39" t="str">
        <f>CCModuleCopy!$Q$11</f>
        <v>NULL</v>
      </c>
      <c r="CG14" s="89" t="s">
        <v>368</v>
      </c>
      <c r="CH14" s="39" t="str">
        <f>CCModuleCopy!$B$13</f>
        <v>CE_HeadImage_Computing_500xV.jpg</v>
      </c>
      <c r="CI14" s="39" t="str">
        <f>CCModuleCopy!$C$13</f>
        <v>Get up to 60% off memory cards, SSD, monitors and more</v>
      </c>
      <c r="CJ14" s="39" t="str">
        <f>CCModuleCopy!$D$13</f>
        <v>NULL</v>
      </c>
      <c r="CK14" s="39" t="str">
        <f>CCModuleCopy!$E$13</f>
        <v xml:space="preserve">Expand the way you play, store and create and get up to 30% off monitors, up to 60% off memory cards, up to 35% off SSD and more. Work and game smarter, not harder with these must-have computing offers. </v>
      </c>
      <c r="CL14" s="39" t="str">
        <f>CCModuleCopy!$L$13</f>
        <v>Shop all</v>
      </c>
      <c r="CM14" s="39" t="str">
        <f>CCModuleCopy!$M$13</f>
        <v>https://www.samsung.com/us/shop/all-deals/laptop-and-computer-deals/</v>
      </c>
      <c r="CN14"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4" s="39" t="str">
        <f>CCModuleCopy!$O$13</f>
        <v>NULL</v>
      </c>
      <c r="CP14" s="39" t="str">
        <f>CCModuleCopy!$P$13</f>
        <v>NULL</v>
      </c>
      <c r="CQ14" s="39" t="str">
        <f>CCModuleCopy!$Q$13</f>
        <v>NULL</v>
      </c>
      <c r="CR14" s="89" t="s">
        <v>279</v>
      </c>
      <c r="CS14" s="39" t="str">
        <f>CCModuleCopy!$B$9</f>
        <v>HA_HeadImage_Shop_HA_500xV.jpg</v>
      </c>
      <c r="CT14" s="39" t="str">
        <f>CCModuleCopy!$C$9</f>
        <v>Save up to 50% on everything you need to upgrade your home and home care</v>
      </c>
      <c r="CU14" s="39" t="str">
        <f>CCModuleCopy!$D$9</f>
        <v>NULL</v>
      </c>
      <c r="CV14"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4" s="39" t="str">
        <f>CCModuleCopy!$L$9</f>
        <v>Shop all</v>
      </c>
      <c r="CX14" s="39" t="str">
        <f>CCModuleCopy!$M$9</f>
        <v>https://www.samsung.com/us/shop/all-deals/home-appliance-and-smart-home-sales/</v>
      </c>
      <c r="CY14"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4" s="39" t="str">
        <f>CCModuleCopy!$O$9</f>
        <v>NULL</v>
      </c>
      <c r="DA14" s="39" t="str">
        <f>CCModuleCopy!$P$9</f>
        <v>NULL</v>
      </c>
      <c r="DB14" s="39" t="str">
        <f>CCModuleCopy!$Q$9</f>
        <v>NULL</v>
      </c>
      <c r="DC14" s="89" t="s">
        <v>280</v>
      </c>
      <c r="DD14" s="39" t="str">
        <f>MiscBanners!$H$4</f>
        <v>Give-wonder-500xV.jpg</v>
      </c>
      <c r="DE14" s="39" t="str">
        <f>MiscBanners!$I$4</f>
        <v>The gift that keeps on giving</v>
      </c>
      <c r="DF14" s="39" t="str">
        <f>MiscBanners!$J$4</f>
        <v>NULL</v>
      </c>
      <c r="DG14" s="91" t="str">
        <f>MiscBanners!$K$4</f>
        <v>Discover even more exclusive offers on your favorite products and unlock the power of smart and savvy gifting.</v>
      </c>
      <c r="DH14" s="39" t="str">
        <f>MiscBanners!$L$4</f>
        <v>Shop now</v>
      </c>
      <c r="DI14" s="39" t="str">
        <f>MiscBanners!$M$4</f>
        <v>https://www.samsung.com/us/gift-ideas/</v>
      </c>
      <c r="DJ14"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4" s="39" t="str">
        <f>MiscBanners!$O$4</f>
        <v>NULL</v>
      </c>
      <c r="DL14" s="39" t="str">
        <f>MiscBanners!$P$4</f>
        <v>NULL</v>
      </c>
      <c r="DM14" s="39" t="str">
        <f>MiscBanners!$Q$4</f>
        <v>NULL</v>
      </c>
      <c r="DN14" s="89" t="s">
        <v>273</v>
      </c>
      <c r="DR14" s="91"/>
      <c r="DY14" s="89" t="s">
        <v>481</v>
      </c>
      <c r="DZ14" s="39" t="s">
        <v>394</v>
      </c>
      <c r="EA14" s="39" t="s">
        <v>394</v>
      </c>
      <c r="EB14" s="39" t="s">
        <v>394</v>
      </c>
      <c r="EC14" s="91" t="s">
        <v>482</v>
      </c>
      <c r="ED14" s="39" t="s">
        <v>394</v>
      </c>
      <c r="EE14" s="39" t="s">
        <v>476</v>
      </c>
      <c r="EF14" s="39">
        <v>0</v>
      </c>
      <c r="EG14" s="39" t="s">
        <v>394</v>
      </c>
      <c r="EH14" s="39" t="s">
        <v>394</v>
      </c>
      <c r="EI14" s="39" t="s">
        <v>394</v>
      </c>
      <c r="EJ14" s="89" t="s">
        <v>439</v>
      </c>
      <c r="EK14" s="39" t="s">
        <v>394</v>
      </c>
      <c r="EL14" s="39" t="s">
        <v>394</v>
      </c>
      <c r="EM14" s="39" t="s">
        <v>394</v>
      </c>
      <c r="EN14" s="91" t="s">
        <v>483</v>
      </c>
      <c r="EO14" s="39" t="s">
        <v>394</v>
      </c>
      <c r="EP14" s="39" t="s">
        <v>476</v>
      </c>
      <c r="EQ14" s="39">
        <v>0</v>
      </c>
      <c r="ER14" s="39" t="s">
        <v>394</v>
      </c>
      <c r="ES14" s="39" t="s">
        <v>394</v>
      </c>
      <c r="ET14" s="39" t="s">
        <v>394</v>
      </c>
      <c r="EU14" s="89" t="s">
        <v>441</v>
      </c>
      <c r="EV14" s="39" t="s">
        <v>394</v>
      </c>
      <c r="EW14" s="39" t="s">
        <v>394</v>
      </c>
      <c r="EX14" s="39" t="s">
        <v>394</v>
      </c>
      <c r="EY14" s="91" t="s">
        <v>485</v>
      </c>
      <c r="EZ14" s="39" t="s">
        <v>394</v>
      </c>
      <c r="FA14" s="39">
        <v>0</v>
      </c>
      <c r="FB14" s="39">
        <v>0</v>
      </c>
      <c r="FC14" s="39" t="s">
        <v>394</v>
      </c>
      <c r="FD14" s="39" t="s">
        <v>394</v>
      </c>
      <c r="FE14" s="39" t="s">
        <v>394</v>
      </c>
      <c r="FF14" s="89"/>
      <c r="FJ14" s="91"/>
    </row>
    <row r="15" spans="1:172" s="39" customFormat="1" ht="99.95" customHeight="1" x14ac:dyDescent="0.25">
      <c r="A15" s="39" t="s">
        <v>235</v>
      </c>
      <c r="B15" s="39" t="s">
        <v>264</v>
      </c>
      <c r="C15" s="39" t="s">
        <v>237</v>
      </c>
      <c r="D15" s="39" t="s">
        <v>237</v>
      </c>
      <c r="E15" s="39" t="s">
        <v>370</v>
      </c>
      <c r="G15" s="88" t="s">
        <v>540</v>
      </c>
      <c r="H15" s="88" t="s">
        <v>539</v>
      </c>
      <c r="I15" s="89" t="s">
        <v>381</v>
      </c>
      <c r="J15" s="39" t="s">
        <v>394</v>
      </c>
      <c r="K15" s="39" t="s">
        <v>394</v>
      </c>
      <c r="L15" s="39" t="s">
        <v>394</v>
      </c>
      <c r="M15" s="39" t="s">
        <v>394</v>
      </c>
      <c r="N15" s="39" t="s">
        <v>394</v>
      </c>
      <c r="O15" s="39" t="s">
        <v>394</v>
      </c>
      <c r="P15" s="39" t="s">
        <v>394</v>
      </c>
      <c r="Q15" s="39" t="s">
        <v>394</v>
      </c>
      <c r="R15" s="39" t="s">
        <v>394</v>
      </c>
      <c r="S15" s="89" t="s">
        <v>407</v>
      </c>
      <c r="T15" s="39" t="str">
        <f>'Dynamic Banners'!$L$5</f>
        <v>Cyber-monday-2.png</v>
      </c>
      <c r="U15" s="39" t="str">
        <f>'Dynamic Banners'!$M$5</f>
        <v xml:space="preserve">Cyber Monday is over. But, Cyber Week is just beginning. </v>
      </c>
      <c r="V15" s="39" t="s">
        <v>394</v>
      </c>
      <c r="W15" s="39" t="str">
        <f>'Dynamic Banners'!$N$5</f>
        <v xml:space="preserve">Shop amazing offers on showstopping products while supplies last. </v>
      </c>
      <c r="X15" s="39" t="s">
        <v>394</v>
      </c>
      <c r="Y15" s="39" t="str">
        <f>[1]MiscBanners!$B$4</f>
        <v>https://www.samsung.com/us/shop/all-deals/</v>
      </c>
      <c r="Z1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5" s="39" t="s">
        <v>394</v>
      </c>
      <c r="AB15" s="39" t="s">
        <v>394</v>
      </c>
      <c r="AC15" s="39" t="s">
        <v>394</v>
      </c>
      <c r="AD15" s="89" t="s">
        <v>408</v>
      </c>
      <c r="AE15" s="39" t="s">
        <v>394</v>
      </c>
      <c r="AF15" s="39" t="s">
        <v>394</v>
      </c>
      <c r="AG15" s="7" t="s">
        <v>559</v>
      </c>
      <c r="AH15" s="39" t="s">
        <v>561</v>
      </c>
      <c r="AI15" s="39" t="s">
        <v>394</v>
      </c>
      <c r="AJ15" s="39" t="str">
        <f>[1]MiscBanners!$B$4</f>
        <v>https://www.samsung.com/us/shop/all-deals/</v>
      </c>
      <c r="AK1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5" s="39" t="s">
        <v>394</v>
      </c>
      <c r="AM15" s="39" t="s">
        <v>394</v>
      </c>
      <c r="AN15" s="39" t="s">
        <v>394</v>
      </c>
      <c r="AO15" s="89" t="s">
        <v>367</v>
      </c>
      <c r="AP15" s="39" t="str">
        <f>CCModuleCopy!$B$11</f>
        <v>ME_HeadImage_Wearables_500xV.jpg</v>
      </c>
      <c r="AQ15" s="39" t="str">
        <f>CCModuleCopy!$C$11</f>
        <v>Get up to $100 off select watches and earbuds</v>
      </c>
      <c r="AR15" s="39" t="str">
        <f>CCModuleCopy!$D$11</f>
        <v>NULL</v>
      </c>
      <c r="AS15"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15" s="39" t="str">
        <f>CCModuleCopy!$L$11</f>
        <v>Shop all</v>
      </c>
      <c r="AU15" s="39" t="str">
        <f>CCModuleCopy!$M$11</f>
        <v>https://www.samsung.com/us/shop/all-deals/tablets-wearables-cell-phone-accessories-deals/</v>
      </c>
      <c r="AV15"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W15" s="39" t="str">
        <f>CCModuleCopy!$O$11</f>
        <v>NULL</v>
      </c>
      <c r="AX15" s="39" t="str">
        <f>CCModuleCopy!$P$11</f>
        <v>NULL</v>
      </c>
      <c r="AY15" s="39" t="str">
        <f>CCModuleCopy!$Q$11</f>
        <v>NULL</v>
      </c>
      <c r="AZ15" s="89" t="s">
        <v>371</v>
      </c>
      <c r="BA15" s="39" t="str">
        <f>CCModuleCopy!$B$5</f>
        <v>IM_HeadImage_Shop_Phones_500xV.jpg</v>
      </c>
      <c r="BB15" s="39" t="str">
        <f>CCModuleCopy!$C$5</f>
        <v>Save up to $1000 instantly on the latest and greatest Galaxy smartphones</v>
      </c>
      <c r="BC15" s="39" t="str">
        <f>CCModuleCopy!$D$5</f>
        <v>NULL</v>
      </c>
      <c r="BD15"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5" s="39" t="str">
        <f>CCModuleCopy!$L$5</f>
        <v>Shop all</v>
      </c>
      <c r="BF15" s="39" t="str">
        <f>CCModuleCopy!$M$5</f>
        <v>https://www.samsung.com/us/shop/all-deals/cell-phone-deals/</v>
      </c>
      <c r="BG15"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5" s="39" t="str">
        <f>CCModuleCopy!$O$5</f>
        <v>NULL</v>
      </c>
      <c r="BI15" s="39" t="str">
        <f>CCModuleCopy!$P$5</f>
        <v>NULL</v>
      </c>
      <c r="BJ15" s="39" t="str">
        <f>CCModuleCopy!$Q$5</f>
        <v>NULL</v>
      </c>
      <c r="BK15" s="89" t="s">
        <v>265</v>
      </c>
      <c r="BL15" s="39" t="str">
        <f>CCModuleCopy!$B$7</f>
        <v>HE_HeadImage_Shop_TVs_500xV.jpg</v>
      </c>
      <c r="BM15" s="39" t="str">
        <f>CCModuleCopy!$C$7</f>
        <v>Get up to $3000 off select 8K, 4K and Lifestyle TVs</v>
      </c>
      <c r="BN15" s="39" t="str">
        <f>CCModuleCopy!$D$7</f>
        <v>NULL</v>
      </c>
      <c r="BO15"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5" s="39" t="str">
        <f>CCModuleCopy!$L$7</f>
        <v>Shop all</v>
      </c>
      <c r="BQ15" s="39" t="str">
        <f>CCModuleCopy!$M$7</f>
        <v>https://www.samsung.com/us/shop/all-deals/tv-and-home-theater-deals/</v>
      </c>
      <c r="BR15"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5" s="39" t="str">
        <f>CCModuleCopy!$O$7</f>
        <v>NULL</v>
      </c>
      <c r="BT15" s="39" t="str">
        <f>CCModuleCopy!$P$7</f>
        <v>NULL</v>
      </c>
      <c r="BU15" s="39" t="str">
        <f>CCModuleCopy!$Q$7</f>
        <v>NULL</v>
      </c>
      <c r="BV15" s="89" t="s">
        <v>266</v>
      </c>
      <c r="BW15" s="39" t="str">
        <f>CCModuleCopy!$B$15</f>
        <v>Tablet-HeadImage-500xV.jpg</v>
      </c>
      <c r="BX15" s="39" t="str">
        <f>CCModuleCopy!$C$15</f>
        <v>Save up to $150 on select tablets</v>
      </c>
      <c r="BY15" s="39" t="str">
        <f>CCModuleCopy!$D$15</f>
        <v>NULL</v>
      </c>
      <c r="BZ15" s="39" t="str">
        <f>CCModuleCopy!$E$15</f>
        <v xml:space="preserve">Empower how you create, learn, game and more with our powerful line of tablets. Shop offers on must-have products from the new Galaxy Tab S7+ to the Galaxy Tab S6 Lite. </v>
      </c>
      <c r="CA15" s="39" t="str">
        <f>CCModuleCopy!$L$15</f>
        <v>Shop all</v>
      </c>
      <c r="CB15" s="39" t="str">
        <f>CCModuleCopy!$M$15</f>
        <v>https://www.samsung.com/us/shop/all-deals/tablets-laptops-computers-deals/</v>
      </c>
      <c r="CC15"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5" s="39" t="str">
        <f>CCModuleCopy!$O$15</f>
        <v>NULL</v>
      </c>
      <c r="CE15" s="39" t="str">
        <f>CCModuleCopy!$P$15</f>
        <v>NULL</v>
      </c>
      <c r="CF15" s="39" t="str">
        <f>CCModuleCopy!$Q$15</f>
        <v>NULL</v>
      </c>
      <c r="CG15" s="89" t="s">
        <v>368</v>
      </c>
      <c r="CH15" s="39" t="str">
        <f>CCModuleCopy!$B$13</f>
        <v>CE_HeadImage_Computing_500xV.jpg</v>
      </c>
      <c r="CI15" s="39" t="str">
        <f>CCModuleCopy!$C$13</f>
        <v>Get up to 60% off memory cards, SSD, monitors and more</v>
      </c>
      <c r="CJ15" s="39" t="str">
        <f>CCModuleCopy!$D$13</f>
        <v>NULL</v>
      </c>
      <c r="CK15" s="39" t="str">
        <f>CCModuleCopy!$E$13</f>
        <v xml:space="preserve">Expand the way you play, store and create and get up to 30% off monitors, up to 60% off memory cards, up to 35% off SSD and more. Work and game smarter, not harder with these must-have computing offers. </v>
      </c>
      <c r="CL15" s="39" t="str">
        <f>CCModuleCopy!$L$13</f>
        <v>Shop all</v>
      </c>
      <c r="CM15" s="39" t="str">
        <f>CCModuleCopy!$M$13</f>
        <v>https://www.samsung.com/us/shop/all-deals/laptop-and-computer-deals/</v>
      </c>
      <c r="CN15"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5" s="39" t="str">
        <f>CCModuleCopy!$O$13</f>
        <v>NULL</v>
      </c>
      <c r="CP15" s="39" t="str">
        <f>CCModuleCopy!$P$13</f>
        <v>NULL</v>
      </c>
      <c r="CQ15" s="39" t="str">
        <f>CCModuleCopy!$Q$13</f>
        <v>NULL</v>
      </c>
      <c r="CR15" s="89" t="s">
        <v>279</v>
      </c>
      <c r="CS15" s="39" t="str">
        <f>CCModuleCopy!$B$9</f>
        <v>HA_HeadImage_Shop_HA_500xV.jpg</v>
      </c>
      <c r="CT15" s="39" t="str">
        <f>CCModuleCopy!$C$9</f>
        <v>Save up to 50% on everything you need to upgrade your home and home care</v>
      </c>
      <c r="CU15" s="39" t="str">
        <f>CCModuleCopy!$D$9</f>
        <v>NULL</v>
      </c>
      <c r="CV15"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5" s="39" t="str">
        <f>CCModuleCopy!$L$9</f>
        <v>Shop all</v>
      </c>
      <c r="CX15" s="39" t="str">
        <f>CCModuleCopy!$M$9</f>
        <v>https://www.samsung.com/us/shop/all-deals/home-appliance-and-smart-home-sales/</v>
      </c>
      <c r="CY15"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5" s="39" t="str">
        <f>CCModuleCopy!$O$9</f>
        <v>NULL</v>
      </c>
      <c r="DA15" s="39" t="str">
        <f>CCModuleCopy!$P$9</f>
        <v>NULL</v>
      </c>
      <c r="DB15" s="39" t="str">
        <f>CCModuleCopy!$Q$9</f>
        <v>NULL</v>
      </c>
      <c r="DC15" s="89" t="s">
        <v>280</v>
      </c>
      <c r="DD15" s="39" t="str">
        <f>MiscBanners!$H$4</f>
        <v>Give-wonder-500xV.jpg</v>
      </c>
      <c r="DE15" s="39" t="str">
        <f>MiscBanners!$I$4</f>
        <v>The gift that keeps on giving</v>
      </c>
      <c r="DF15" s="39" t="str">
        <f>MiscBanners!$J$4</f>
        <v>NULL</v>
      </c>
      <c r="DG15" s="91" t="str">
        <f>MiscBanners!$K$4</f>
        <v>Discover even more exclusive offers on your favorite products and unlock the power of smart and savvy gifting.</v>
      </c>
      <c r="DH15" s="39" t="str">
        <f>MiscBanners!$L$4</f>
        <v>Shop now</v>
      </c>
      <c r="DI15" s="39" t="str">
        <f>MiscBanners!$M$4</f>
        <v>https://www.samsung.com/us/gift-ideas/</v>
      </c>
      <c r="DJ15"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5" s="39" t="str">
        <f>MiscBanners!$O$4</f>
        <v>NULL</v>
      </c>
      <c r="DL15" s="39" t="str">
        <f>MiscBanners!$P$4</f>
        <v>NULL</v>
      </c>
      <c r="DM15" s="39" t="str">
        <f>MiscBanners!$Q$4</f>
        <v>NULL</v>
      </c>
      <c r="DN15" s="89" t="s">
        <v>273</v>
      </c>
      <c r="DR15" s="91"/>
      <c r="DY15" s="89" t="s">
        <v>481</v>
      </c>
      <c r="DZ15" s="39" t="s">
        <v>394</v>
      </c>
      <c r="EA15" s="39" t="s">
        <v>394</v>
      </c>
      <c r="EB15" s="39" t="s">
        <v>394</v>
      </c>
      <c r="EC15" s="91" t="s">
        <v>482</v>
      </c>
      <c r="ED15" s="39" t="s">
        <v>394</v>
      </c>
      <c r="EE15" s="39" t="s">
        <v>476</v>
      </c>
      <c r="EF15" s="39">
        <v>0</v>
      </c>
      <c r="EG15" s="39" t="s">
        <v>394</v>
      </c>
      <c r="EH15" s="39" t="s">
        <v>394</v>
      </c>
      <c r="EI15" s="39" t="s">
        <v>394</v>
      </c>
      <c r="EJ15" s="89" t="s">
        <v>439</v>
      </c>
      <c r="EK15" s="39" t="s">
        <v>394</v>
      </c>
      <c r="EL15" s="39" t="s">
        <v>394</v>
      </c>
      <c r="EM15" s="39" t="s">
        <v>394</v>
      </c>
      <c r="EN15" s="91" t="s">
        <v>483</v>
      </c>
      <c r="EO15" s="39" t="s">
        <v>394</v>
      </c>
      <c r="EP15" s="39" t="s">
        <v>476</v>
      </c>
      <c r="EQ15" s="39">
        <v>0</v>
      </c>
      <c r="ER15" s="39" t="s">
        <v>394</v>
      </c>
      <c r="ES15" s="39" t="s">
        <v>394</v>
      </c>
      <c r="ET15" s="39" t="s">
        <v>394</v>
      </c>
      <c r="EU15" s="89" t="s">
        <v>441</v>
      </c>
      <c r="EV15" s="39" t="s">
        <v>394</v>
      </c>
      <c r="EW15" s="39" t="s">
        <v>394</v>
      </c>
      <c r="EX15" s="39" t="s">
        <v>394</v>
      </c>
      <c r="EY15" s="91" t="s">
        <v>485</v>
      </c>
      <c r="EZ15" s="39" t="s">
        <v>394</v>
      </c>
      <c r="FA15" s="39">
        <v>0</v>
      </c>
      <c r="FB15" s="39">
        <v>0</v>
      </c>
      <c r="FC15" s="39" t="s">
        <v>394</v>
      </c>
      <c r="FD15" s="39" t="s">
        <v>394</v>
      </c>
      <c r="FE15" s="39" t="s">
        <v>394</v>
      </c>
      <c r="FF15" s="89"/>
      <c r="FJ15" s="91"/>
    </row>
    <row r="16" spans="1:172" s="39" customFormat="1" ht="99.95" customHeight="1" x14ac:dyDescent="0.25">
      <c r="A16" s="39" t="s">
        <v>235</v>
      </c>
      <c r="B16" s="39" t="s">
        <v>361</v>
      </c>
      <c r="C16" s="39" t="s">
        <v>237</v>
      </c>
      <c r="D16" s="39" t="s">
        <v>237</v>
      </c>
      <c r="E16" s="39" t="s">
        <v>370</v>
      </c>
      <c r="G16" s="88" t="s">
        <v>540</v>
      </c>
      <c r="H16" s="88" t="s">
        <v>539</v>
      </c>
      <c r="I16" s="89" t="s">
        <v>381</v>
      </c>
      <c r="J16" s="39" t="s">
        <v>394</v>
      </c>
      <c r="K16" s="39" t="s">
        <v>394</v>
      </c>
      <c r="L16" s="39" t="s">
        <v>394</v>
      </c>
      <c r="M16" s="39" t="s">
        <v>394</v>
      </c>
      <c r="N16" s="39" t="s">
        <v>394</v>
      </c>
      <c r="O16" s="39" t="s">
        <v>394</v>
      </c>
      <c r="P16" s="39" t="s">
        <v>394</v>
      </c>
      <c r="Q16" s="39" t="s">
        <v>394</v>
      </c>
      <c r="R16" s="39" t="s">
        <v>394</v>
      </c>
      <c r="S16" s="89" t="s">
        <v>407</v>
      </c>
      <c r="T16" s="39" t="str">
        <f>'Dynamic Banners'!$L$5</f>
        <v>Cyber-monday-2.png</v>
      </c>
      <c r="U16" s="39" t="str">
        <f>'Dynamic Banners'!$M$5</f>
        <v xml:space="preserve">Cyber Monday is over. But, Cyber Week is just beginning. </v>
      </c>
      <c r="V16" s="39" t="s">
        <v>394</v>
      </c>
      <c r="W16" s="39" t="str">
        <f>'Dynamic Banners'!$N$5</f>
        <v xml:space="preserve">Shop amazing offers on showstopping products while supplies last. </v>
      </c>
      <c r="X16" s="39" t="s">
        <v>394</v>
      </c>
      <c r="Y16" s="39" t="str">
        <f>[1]MiscBanners!$B$4</f>
        <v>https://www.samsung.com/us/shop/all-deals/</v>
      </c>
      <c r="Z1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6" s="39" t="s">
        <v>394</v>
      </c>
      <c r="AB16" s="39" t="s">
        <v>394</v>
      </c>
      <c r="AC16" s="39" t="s">
        <v>394</v>
      </c>
      <c r="AD16" s="89" t="s">
        <v>408</v>
      </c>
      <c r="AE16" s="39" t="s">
        <v>394</v>
      </c>
      <c r="AF16" s="39" t="s">
        <v>394</v>
      </c>
      <c r="AG16" s="7" t="s">
        <v>559</v>
      </c>
      <c r="AH16" s="39" t="s">
        <v>561</v>
      </c>
      <c r="AI16" s="39" t="s">
        <v>394</v>
      </c>
      <c r="AJ16" s="39" t="str">
        <f>[1]MiscBanners!$B$4</f>
        <v>https://www.samsung.com/us/shop/all-deals/</v>
      </c>
      <c r="AK1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6" s="39" t="s">
        <v>394</v>
      </c>
      <c r="AM16" s="39" t="s">
        <v>394</v>
      </c>
      <c r="AN16" s="39" t="s">
        <v>394</v>
      </c>
      <c r="AO16" s="89" t="s">
        <v>368</v>
      </c>
      <c r="AP16" s="39" t="str">
        <f>CCModuleCopy!$B$13</f>
        <v>CE_HeadImage_Computing_500xV.jpg</v>
      </c>
      <c r="AQ16" s="39" t="str">
        <f>CCModuleCopy!$C$13</f>
        <v>Get up to 60% off memory cards, SSD, monitors and more</v>
      </c>
      <c r="AR16" s="39" t="str">
        <f>CCModuleCopy!$D$13</f>
        <v>NULL</v>
      </c>
      <c r="AS16" s="39" t="str">
        <f>CCModuleCopy!$E$13</f>
        <v xml:space="preserve">Expand the way you play, store and create and get up to 30% off monitors, up to 60% off memory cards, up to 35% off SSD and more. Work and game smarter, not harder with these must-have computing offers. </v>
      </c>
      <c r="AT16" s="39" t="str">
        <f>CCModuleCopy!$L$13</f>
        <v>Shop all</v>
      </c>
      <c r="AU16" s="39" t="str">
        <f>CCModuleCopy!$M$13</f>
        <v>https://www.samsung.com/us/shop/all-deals/laptop-and-computer-deals/</v>
      </c>
      <c r="AV16"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W16" s="39" t="str">
        <f>CCModuleCopy!$O$13</f>
        <v>NULL</v>
      </c>
      <c r="AX16" s="39" t="str">
        <f>CCModuleCopy!$P$13</f>
        <v>NULL</v>
      </c>
      <c r="AY16" s="39" t="str">
        <f>CCModuleCopy!$Q$13</f>
        <v>NULL</v>
      </c>
      <c r="AZ16" s="89" t="s">
        <v>371</v>
      </c>
      <c r="BA16" s="39" t="str">
        <f>CCModuleCopy!$B$5</f>
        <v>IM_HeadImage_Shop_Phones_500xV.jpg</v>
      </c>
      <c r="BB16" s="39" t="str">
        <f>CCModuleCopy!$C$5</f>
        <v>Save up to $1000 instantly on the latest and greatest Galaxy smartphones</v>
      </c>
      <c r="BC16" s="39" t="str">
        <f>CCModuleCopy!$D$5</f>
        <v>NULL</v>
      </c>
      <c r="BD16"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6" s="39" t="str">
        <f>CCModuleCopy!$L$5</f>
        <v>Shop all</v>
      </c>
      <c r="BF16" s="39" t="str">
        <f>CCModuleCopy!$M$5</f>
        <v>https://www.samsung.com/us/shop/all-deals/cell-phone-deals/</v>
      </c>
      <c r="BG16"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6" s="39" t="str">
        <f>CCModuleCopy!$O$5</f>
        <v>NULL</v>
      </c>
      <c r="BI16" s="39" t="str">
        <f>CCModuleCopy!$P$5</f>
        <v>NULL</v>
      </c>
      <c r="BJ16" s="39" t="str">
        <f>CCModuleCopy!$Q$5</f>
        <v>NULL</v>
      </c>
      <c r="BK16" s="89" t="s">
        <v>265</v>
      </c>
      <c r="BL16" s="39" t="str">
        <f>CCModuleCopy!$B$7</f>
        <v>HE_HeadImage_Shop_TVs_500xV.jpg</v>
      </c>
      <c r="BM16" s="39" t="str">
        <f>CCModuleCopy!$C$7</f>
        <v>Get up to $3000 off select 8K, 4K and Lifestyle TVs</v>
      </c>
      <c r="BN16" s="39" t="str">
        <f>CCModuleCopy!$D$7</f>
        <v>NULL</v>
      </c>
      <c r="BO1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6" s="39" t="str">
        <f>CCModuleCopy!$L$7</f>
        <v>Shop all</v>
      </c>
      <c r="BQ16" s="39" t="str">
        <f>CCModuleCopy!$M$7</f>
        <v>https://www.samsung.com/us/shop/all-deals/tv-and-home-theater-deals/</v>
      </c>
      <c r="BR16"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6" s="39" t="str">
        <f>CCModuleCopy!$O$7</f>
        <v>NULL</v>
      </c>
      <c r="BT16" s="39" t="str">
        <f>CCModuleCopy!$P$7</f>
        <v>NULL</v>
      </c>
      <c r="BU16" s="39" t="str">
        <f>CCModuleCopy!$Q$7</f>
        <v>NULL</v>
      </c>
      <c r="BV16" s="89" t="s">
        <v>266</v>
      </c>
      <c r="BW16" s="39" t="str">
        <f>CCModuleCopy!$B$15</f>
        <v>Tablet-HeadImage-500xV.jpg</v>
      </c>
      <c r="BX16" s="39" t="str">
        <f>CCModuleCopy!$C$15</f>
        <v>Save up to $150 on select tablets</v>
      </c>
      <c r="BY16" s="39" t="str">
        <f>CCModuleCopy!$D$15</f>
        <v>NULL</v>
      </c>
      <c r="BZ16" s="39" t="str">
        <f>CCModuleCopy!$E$15</f>
        <v xml:space="preserve">Empower how you create, learn, game and more with our powerful line of tablets. Shop offers on must-have products from the new Galaxy Tab S7+ to the Galaxy Tab S6 Lite. </v>
      </c>
      <c r="CA16" s="39" t="str">
        <f>CCModuleCopy!$L$15</f>
        <v>Shop all</v>
      </c>
      <c r="CB16" s="39" t="str">
        <f>CCModuleCopy!$M$15</f>
        <v>https://www.samsung.com/us/shop/all-deals/tablets-laptops-computers-deals/</v>
      </c>
      <c r="CC16"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6" s="39" t="str">
        <f>CCModuleCopy!$O$15</f>
        <v>NULL</v>
      </c>
      <c r="CE16" s="39" t="str">
        <f>CCModuleCopy!$P$15</f>
        <v>NULL</v>
      </c>
      <c r="CF16" s="39" t="str">
        <f>CCModuleCopy!$Q$15</f>
        <v>NULL</v>
      </c>
      <c r="CG16" s="89" t="s">
        <v>367</v>
      </c>
      <c r="CH16" s="39" t="str">
        <f>CCModuleCopy!$B$11</f>
        <v>ME_HeadImage_Wearables_500xV.jpg</v>
      </c>
      <c r="CI16" s="39" t="str">
        <f>CCModuleCopy!$C$11</f>
        <v>Get up to $100 off select watches and earbuds</v>
      </c>
      <c r="CJ16" s="39" t="str">
        <f>CCModuleCopy!$D$11</f>
        <v>NULL</v>
      </c>
      <c r="CK1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6" s="39" t="str">
        <f>CCModuleCopy!$L$11</f>
        <v>Shop all</v>
      </c>
      <c r="CM16" s="39" t="str">
        <f>CCModuleCopy!$M$11</f>
        <v>https://www.samsung.com/us/shop/all-deals/tablets-wearables-cell-phone-accessories-deals/</v>
      </c>
      <c r="CN16"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16" s="39" t="str">
        <f>CCModuleCopy!$O$11</f>
        <v>NULL</v>
      </c>
      <c r="CP16" s="39" t="str">
        <f>CCModuleCopy!$P$11</f>
        <v>NULL</v>
      </c>
      <c r="CQ16" s="39" t="str">
        <f>CCModuleCopy!$Q$11</f>
        <v>NULL</v>
      </c>
      <c r="CR16" s="89" t="s">
        <v>279</v>
      </c>
      <c r="CS16" s="39" t="str">
        <f>CCModuleCopy!$B$9</f>
        <v>HA_HeadImage_Shop_HA_500xV.jpg</v>
      </c>
      <c r="CT16" s="39" t="str">
        <f>CCModuleCopy!$C$9</f>
        <v>Save up to 50% on everything you need to upgrade your home and home care</v>
      </c>
      <c r="CU16" s="39" t="str">
        <f>CCModuleCopy!$D$9</f>
        <v>NULL</v>
      </c>
      <c r="CV1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6" s="39" t="str">
        <f>CCModuleCopy!$L$9</f>
        <v>Shop all</v>
      </c>
      <c r="CX16" s="39" t="str">
        <f>CCModuleCopy!$M$9</f>
        <v>https://www.samsung.com/us/shop/all-deals/home-appliance-and-smart-home-sales/</v>
      </c>
      <c r="CY16"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6" s="39" t="str">
        <f>CCModuleCopy!$O$9</f>
        <v>NULL</v>
      </c>
      <c r="DA16" s="39" t="str">
        <f>CCModuleCopy!$P$9</f>
        <v>NULL</v>
      </c>
      <c r="DB16" s="39" t="str">
        <f>CCModuleCopy!$Q$9</f>
        <v>NULL</v>
      </c>
      <c r="DC16" s="89" t="s">
        <v>280</v>
      </c>
      <c r="DD16" s="39" t="str">
        <f>MiscBanners!$H$4</f>
        <v>Give-wonder-500xV.jpg</v>
      </c>
      <c r="DE16" s="39" t="str">
        <f>MiscBanners!$I$4</f>
        <v>The gift that keeps on giving</v>
      </c>
      <c r="DF16" s="39" t="str">
        <f>MiscBanners!$J$4</f>
        <v>NULL</v>
      </c>
      <c r="DG16" s="91" t="str">
        <f>MiscBanners!$K$4</f>
        <v>Discover even more exclusive offers on your favorite products and unlock the power of smart and savvy gifting.</v>
      </c>
      <c r="DH16" s="39" t="str">
        <f>MiscBanners!$L$4</f>
        <v>Shop now</v>
      </c>
      <c r="DI16" s="39" t="str">
        <f>MiscBanners!$M$4</f>
        <v>https://www.samsung.com/us/gift-ideas/</v>
      </c>
      <c r="DJ16"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6" s="39" t="str">
        <f>MiscBanners!$O$4</f>
        <v>NULL</v>
      </c>
      <c r="DL16" s="39" t="str">
        <f>MiscBanners!$P$4</f>
        <v>NULL</v>
      </c>
      <c r="DM16" s="39" t="str">
        <f>MiscBanners!$Q$4</f>
        <v>NULL</v>
      </c>
      <c r="DN16" s="89" t="s">
        <v>273</v>
      </c>
      <c r="DR16" s="91"/>
      <c r="DY16" s="89" t="s">
        <v>481</v>
      </c>
      <c r="DZ16" s="39" t="s">
        <v>394</v>
      </c>
      <c r="EA16" s="39" t="s">
        <v>394</v>
      </c>
      <c r="EB16" s="39" t="s">
        <v>394</v>
      </c>
      <c r="EC16" s="91" t="s">
        <v>482</v>
      </c>
      <c r="ED16" s="39" t="s">
        <v>394</v>
      </c>
      <c r="EE16" s="39" t="s">
        <v>476</v>
      </c>
      <c r="EF16" s="39">
        <v>0</v>
      </c>
      <c r="EG16" s="39" t="s">
        <v>394</v>
      </c>
      <c r="EH16" s="39" t="s">
        <v>394</v>
      </c>
      <c r="EI16" s="39" t="s">
        <v>394</v>
      </c>
      <c r="EJ16" s="89" t="s">
        <v>439</v>
      </c>
      <c r="EK16" s="39" t="s">
        <v>394</v>
      </c>
      <c r="EL16" s="39" t="s">
        <v>394</v>
      </c>
      <c r="EM16" s="39" t="s">
        <v>394</v>
      </c>
      <c r="EN16" s="91" t="s">
        <v>483</v>
      </c>
      <c r="EO16" s="39" t="s">
        <v>394</v>
      </c>
      <c r="EP16" s="39" t="s">
        <v>476</v>
      </c>
      <c r="EQ16" s="39">
        <v>0</v>
      </c>
      <c r="ER16" s="39" t="s">
        <v>394</v>
      </c>
      <c r="ES16" s="39" t="s">
        <v>394</v>
      </c>
      <c r="ET16" s="39" t="s">
        <v>394</v>
      </c>
      <c r="EU16" s="89" t="s">
        <v>441</v>
      </c>
      <c r="EV16" s="39" t="s">
        <v>394</v>
      </c>
      <c r="EW16" s="39" t="s">
        <v>394</v>
      </c>
      <c r="EX16" s="39" t="s">
        <v>394</v>
      </c>
      <c r="EY16" s="91" t="s">
        <v>485</v>
      </c>
      <c r="EZ16" s="39" t="s">
        <v>394</v>
      </c>
      <c r="FA16" s="39">
        <v>0</v>
      </c>
      <c r="FB16" s="39">
        <v>0</v>
      </c>
      <c r="FC16" s="39" t="s">
        <v>394</v>
      </c>
      <c r="FD16" s="39" t="s">
        <v>394</v>
      </c>
      <c r="FE16" s="39" t="s">
        <v>394</v>
      </c>
      <c r="FF16" s="89"/>
      <c r="FJ16" s="91"/>
    </row>
    <row r="17" spans="1:172" s="39" customFormat="1" ht="99.95" customHeight="1" x14ac:dyDescent="0.25">
      <c r="A17" s="39" t="s">
        <v>235</v>
      </c>
      <c r="B17" s="39" t="s">
        <v>369</v>
      </c>
      <c r="C17" s="39" t="s">
        <v>237</v>
      </c>
      <c r="D17" s="39" t="s">
        <v>237</v>
      </c>
      <c r="E17" s="39" t="s">
        <v>370</v>
      </c>
      <c r="G17" s="88" t="s">
        <v>540</v>
      </c>
      <c r="H17" s="88" t="s">
        <v>539</v>
      </c>
      <c r="I17" s="89" t="s">
        <v>381</v>
      </c>
      <c r="J17" s="39" t="s">
        <v>394</v>
      </c>
      <c r="K17" s="39" t="s">
        <v>394</v>
      </c>
      <c r="L17" s="39" t="s">
        <v>394</v>
      </c>
      <c r="M17" s="39" t="s">
        <v>394</v>
      </c>
      <c r="N17" s="39" t="s">
        <v>394</v>
      </c>
      <c r="O17" s="39" t="s">
        <v>394</v>
      </c>
      <c r="P17" s="39" t="s">
        <v>394</v>
      </c>
      <c r="Q17" s="39" t="s">
        <v>394</v>
      </c>
      <c r="R17" s="39" t="s">
        <v>394</v>
      </c>
      <c r="S17" s="89" t="s">
        <v>407</v>
      </c>
      <c r="T17" s="39" t="str">
        <f>'Dynamic Banners'!$L$5</f>
        <v>Cyber-monday-2.png</v>
      </c>
      <c r="U17" s="39" t="str">
        <f>'Dynamic Banners'!$M$5</f>
        <v xml:space="preserve">Cyber Monday is over. But, Cyber Week is just beginning. </v>
      </c>
      <c r="V17" s="39" t="s">
        <v>394</v>
      </c>
      <c r="W17" s="39" t="str">
        <f>'Dynamic Banners'!$N$5</f>
        <v xml:space="preserve">Shop amazing offers on showstopping products while supplies last. </v>
      </c>
      <c r="X17" s="39" t="s">
        <v>394</v>
      </c>
      <c r="Y17" s="39" t="str">
        <f>[1]MiscBanners!$B$4</f>
        <v>https://www.samsung.com/us/shop/all-deals/</v>
      </c>
      <c r="Z1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7" s="39" t="s">
        <v>394</v>
      </c>
      <c r="AB17" s="39" t="s">
        <v>394</v>
      </c>
      <c r="AC17" s="39" t="s">
        <v>394</v>
      </c>
      <c r="AD17" s="89" t="s">
        <v>408</v>
      </c>
      <c r="AE17" s="39" t="s">
        <v>394</v>
      </c>
      <c r="AF17" s="39" t="s">
        <v>394</v>
      </c>
      <c r="AG17" s="7" t="s">
        <v>559</v>
      </c>
      <c r="AH17" s="39" t="s">
        <v>561</v>
      </c>
      <c r="AI17" s="39" t="s">
        <v>394</v>
      </c>
      <c r="AJ17" s="39" t="str">
        <f>[1]MiscBanners!$B$4</f>
        <v>https://www.samsung.com/us/shop/all-deals/</v>
      </c>
      <c r="AK1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7" s="39" t="s">
        <v>394</v>
      </c>
      <c r="AM17" s="39" t="s">
        <v>394</v>
      </c>
      <c r="AN17" s="39" t="s">
        <v>394</v>
      </c>
      <c r="AO17" s="89" t="s">
        <v>279</v>
      </c>
      <c r="AP17" s="39" t="str">
        <f>CCModuleCopy!$B$9</f>
        <v>HA_HeadImage_Shop_HA_500xV.jpg</v>
      </c>
      <c r="AQ17" s="39" t="str">
        <f>CCModuleCopy!$C$9</f>
        <v>Save up to 50% on everything you need to upgrade your home and home care</v>
      </c>
      <c r="AR17" s="39" t="str">
        <f>CCModuleCopy!$D$9</f>
        <v>NULL</v>
      </c>
      <c r="AS1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17" s="39" t="str">
        <f>CCModuleCopy!$L$9</f>
        <v>Shop all</v>
      </c>
      <c r="AU17" s="39" t="str">
        <f>CCModuleCopy!$M$9</f>
        <v>https://www.samsung.com/us/shop/all-deals/home-appliance-and-smart-home-sales/</v>
      </c>
      <c r="AV17"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AW17" s="39" t="str">
        <f>CCModuleCopy!$O$9</f>
        <v>NULL</v>
      </c>
      <c r="AX17" s="39" t="str">
        <f>CCModuleCopy!$P$9</f>
        <v>NULL</v>
      </c>
      <c r="AY17" s="39" t="str">
        <f>CCModuleCopy!$Q$9</f>
        <v>NULL</v>
      </c>
      <c r="AZ17" s="89" t="s">
        <v>371</v>
      </c>
      <c r="BA17" s="39" t="str">
        <f>CCModuleCopy!$B$5</f>
        <v>IM_HeadImage_Shop_Phones_500xV.jpg</v>
      </c>
      <c r="BB17" s="39" t="str">
        <f>CCModuleCopy!$C$5</f>
        <v>Save up to $1000 instantly on the latest and greatest Galaxy smartphones</v>
      </c>
      <c r="BC17" s="39" t="str">
        <f>CCModuleCopy!$D$5</f>
        <v>NULL</v>
      </c>
      <c r="BD17"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7" s="39" t="str">
        <f>CCModuleCopy!$L$5</f>
        <v>Shop all</v>
      </c>
      <c r="BF17" s="39" t="str">
        <f>CCModuleCopy!$M$5</f>
        <v>https://www.samsung.com/us/shop/all-deals/cell-phone-deals/</v>
      </c>
      <c r="BG17"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7" s="39" t="str">
        <f>CCModuleCopy!$O$5</f>
        <v>NULL</v>
      </c>
      <c r="BI17" s="39" t="str">
        <f>CCModuleCopy!$P$5</f>
        <v>NULL</v>
      </c>
      <c r="BJ17" s="39" t="str">
        <f>CCModuleCopy!$Q$5</f>
        <v>NULL</v>
      </c>
      <c r="BK17" s="89" t="s">
        <v>265</v>
      </c>
      <c r="BL17" s="39" t="str">
        <f>CCModuleCopy!$B$7</f>
        <v>HE_HeadImage_Shop_TVs_500xV.jpg</v>
      </c>
      <c r="BM17" s="39" t="str">
        <f>CCModuleCopy!$C$7</f>
        <v>Get up to $3000 off select 8K, 4K and Lifestyle TVs</v>
      </c>
      <c r="BN17" s="39" t="str">
        <f>CCModuleCopy!$D$7</f>
        <v>NULL</v>
      </c>
      <c r="BO1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7" s="39" t="str">
        <f>CCModuleCopy!$L$7</f>
        <v>Shop all</v>
      </c>
      <c r="BQ17" s="39" t="str">
        <f>CCModuleCopy!$M$7</f>
        <v>https://www.samsung.com/us/shop/all-deals/tv-and-home-theater-deals/</v>
      </c>
      <c r="BR17"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7" s="39" t="str">
        <f>CCModuleCopy!$O$7</f>
        <v>NULL</v>
      </c>
      <c r="BT17" s="39" t="str">
        <f>CCModuleCopy!$P$7</f>
        <v>NULL</v>
      </c>
      <c r="BU17" s="39" t="str">
        <f>CCModuleCopy!$Q$7</f>
        <v>NULL</v>
      </c>
      <c r="BV17" s="89" t="s">
        <v>266</v>
      </c>
      <c r="BW17" s="39" t="str">
        <f>CCModuleCopy!$B$15</f>
        <v>Tablet-HeadImage-500xV.jpg</v>
      </c>
      <c r="BX17" s="39" t="str">
        <f>CCModuleCopy!$C$15</f>
        <v>Save up to $150 on select tablets</v>
      </c>
      <c r="BY17" s="39" t="str">
        <f>CCModuleCopy!$D$15</f>
        <v>NULL</v>
      </c>
      <c r="BZ17" s="39" t="str">
        <f>CCModuleCopy!$E$15</f>
        <v xml:space="preserve">Empower how you create, learn, game and more with our powerful line of tablets. Shop offers on must-have products from the new Galaxy Tab S7+ to the Galaxy Tab S6 Lite. </v>
      </c>
      <c r="CA17" s="39" t="str">
        <f>CCModuleCopy!$L$15</f>
        <v>Shop all</v>
      </c>
      <c r="CB17" s="39" t="str">
        <f>CCModuleCopy!$M$15</f>
        <v>https://www.samsung.com/us/shop/all-deals/tablets-laptops-computers-deals/</v>
      </c>
      <c r="CC17"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7" s="39" t="str">
        <f>CCModuleCopy!$O$15</f>
        <v>NULL</v>
      </c>
      <c r="CE17" s="39" t="str">
        <f>CCModuleCopy!$P$15</f>
        <v>NULL</v>
      </c>
      <c r="CF17" s="39" t="str">
        <f>CCModuleCopy!$Q$15</f>
        <v>NULL</v>
      </c>
      <c r="CG17" s="89" t="s">
        <v>367</v>
      </c>
      <c r="CH17" s="39" t="str">
        <f>CCModuleCopy!$B$11</f>
        <v>ME_HeadImage_Wearables_500xV.jpg</v>
      </c>
      <c r="CI17" s="39" t="str">
        <f>CCModuleCopy!$C$11</f>
        <v>Get up to $100 off select watches and earbuds</v>
      </c>
      <c r="CJ17" s="39" t="str">
        <f>CCModuleCopy!$D$11</f>
        <v>NULL</v>
      </c>
      <c r="CK1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7" s="39" t="str">
        <f>CCModuleCopy!$L$11</f>
        <v>Shop all</v>
      </c>
      <c r="CM17" s="39" t="str">
        <f>CCModuleCopy!$M$11</f>
        <v>https://www.samsung.com/us/shop/all-deals/tablets-wearables-cell-phone-accessories-deals/</v>
      </c>
      <c r="CN17"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17" s="39" t="str">
        <f>CCModuleCopy!$O$11</f>
        <v>NULL</v>
      </c>
      <c r="CP17" s="39" t="str">
        <f>CCModuleCopy!$P$11</f>
        <v>NULL</v>
      </c>
      <c r="CQ17" s="39" t="str">
        <f>CCModuleCopy!$Q$11</f>
        <v>NULL</v>
      </c>
      <c r="CR17" s="89" t="s">
        <v>368</v>
      </c>
      <c r="CS17" s="39" t="str">
        <f>CCModuleCopy!$B$13</f>
        <v>CE_HeadImage_Computing_500xV.jpg</v>
      </c>
      <c r="CT17" s="39" t="str">
        <f>CCModuleCopy!$C$13</f>
        <v>Get up to 60% off memory cards, SSD, monitors and more</v>
      </c>
      <c r="CU17" s="39" t="str">
        <f>CCModuleCopy!$D$13</f>
        <v>NULL</v>
      </c>
      <c r="CV17" s="39" t="str">
        <f>CCModuleCopy!$E$13</f>
        <v xml:space="preserve">Expand the way you play, store and create and get up to 30% off monitors, up to 60% off memory cards, up to 35% off SSD and more. Work and game smarter, not harder with these must-have computing offers. </v>
      </c>
      <c r="CW17" s="39" t="str">
        <f>CCModuleCopy!$L$13</f>
        <v>Shop all</v>
      </c>
      <c r="CX17" s="39" t="str">
        <f>CCModuleCopy!$M$13</f>
        <v>https://www.samsung.com/us/shop/all-deals/laptop-and-computer-deals/</v>
      </c>
      <c r="CY17"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Z17" s="39" t="str">
        <f>CCModuleCopy!$O$13</f>
        <v>NULL</v>
      </c>
      <c r="DA17" s="39" t="str">
        <f>CCModuleCopy!$P$13</f>
        <v>NULL</v>
      </c>
      <c r="DB17" s="39" t="str">
        <f>CCModuleCopy!$Q$13</f>
        <v>NULL</v>
      </c>
      <c r="DC17" s="89" t="s">
        <v>280</v>
      </c>
      <c r="DD17" s="39" t="str">
        <f>MiscBanners!$H$4</f>
        <v>Give-wonder-500xV.jpg</v>
      </c>
      <c r="DE17" s="39" t="str">
        <f>MiscBanners!$I$4</f>
        <v>The gift that keeps on giving</v>
      </c>
      <c r="DF17" s="39" t="str">
        <f>MiscBanners!$J$4</f>
        <v>NULL</v>
      </c>
      <c r="DG17" s="91" t="str">
        <f>MiscBanners!$K$4</f>
        <v>Discover even more exclusive offers on your favorite products and unlock the power of smart and savvy gifting.</v>
      </c>
      <c r="DH17" s="39" t="str">
        <f>MiscBanners!$L$4</f>
        <v>Shop now</v>
      </c>
      <c r="DI17" s="39" t="str">
        <f>MiscBanners!$M$4</f>
        <v>https://www.samsung.com/us/gift-ideas/</v>
      </c>
      <c r="DJ17"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7" s="39" t="str">
        <f>MiscBanners!$O$4</f>
        <v>NULL</v>
      </c>
      <c r="DL17" s="39" t="str">
        <f>MiscBanners!$P$4</f>
        <v>NULL</v>
      </c>
      <c r="DM17" s="39" t="str">
        <f>MiscBanners!$Q$4</f>
        <v>NULL</v>
      </c>
      <c r="DN17" s="89" t="s">
        <v>273</v>
      </c>
      <c r="DR17" s="91"/>
      <c r="DY17" s="89" t="s">
        <v>481</v>
      </c>
      <c r="DZ17" s="39" t="s">
        <v>394</v>
      </c>
      <c r="EA17" s="39" t="s">
        <v>394</v>
      </c>
      <c r="EB17" s="39" t="s">
        <v>394</v>
      </c>
      <c r="EC17" s="91" t="s">
        <v>482</v>
      </c>
      <c r="ED17" s="39" t="s">
        <v>394</v>
      </c>
      <c r="EE17" s="39" t="s">
        <v>476</v>
      </c>
      <c r="EF17" s="39">
        <v>0</v>
      </c>
      <c r="EG17" s="39" t="s">
        <v>394</v>
      </c>
      <c r="EH17" s="39" t="s">
        <v>394</v>
      </c>
      <c r="EI17" s="39" t="s">
        <v>394</v>
      </c>
      <c r="EJ17" s="89" t="s">
        <v>439</v>
      </c>
      <c r="EK17" s="39" t="s">
        <v>394</v>
      </c>
      <c r="EL17" s="39" t="s">
        <v>394</v>
      </c>
      <c r="EM17" s="39" t="s">
        <v>394</v>
      </c>
      <c r="EN17" s="91" t="s">
        <v>483</v>
      </c>
      <c r="EO17" s="39" t="s">
        <v>394</v>
      </c>
      <c r="EP17" s="39" t="s">
        <v>476</v>
      </c>
      <c r="EQ17" s="39">
        <v>0</v>
      </c>
      <c r="ER17" s="39" t="s">
        <v>394</v>
      </c>
      <c r="ES17" s="39" t="s">
        <v>394</v>
      </c>
      <c r="ET17" s="39" t="s">
        <v>394</v>
      </c>
      <c r="EU17" s="89" t="s">
        <v>441</v>
      </c>
      <c r="EV17" s="39" t="s">
        <v>394</v>
      </c>
      <c r="EW17" s="39" t="s">
        <v>394</v>
      </c>
      <c r="EX17" s="39" t="s">
        <v>394</v>
      </c>
      <c r="EY17" s="91" t="s">
        <v>485</v>
      </c>
      <c r="EZ17" s="39" t="s">
        <v>394</v>
      </c>
      <c r="FA17" s="39">
        <v>0</v>
      </c>
      <c r="FB17" s="39">
        <v>0</v>
      </c>
      <c r="FC17" s="39" t="s">
        <v>394</v>
      </c>
      <c r="FD17" s="39" t="s">
        <v>394</v>
      </c>
      <c r="FE17" s="39" t="s">
        <v>394</v>
      </c>
      <c r="FF17" s="89"/>
      <c r="FJ17" s="91"/>
    </row>
    <row r="18" spans="1:172" s="39" customFormat="1" ht="99.95" customHeight="1" x14ac:dyDescent="0.25">
      <c r="A18" s="39" t="s">
        <v>235</v>
      </c>
      <c r="B18" s="39" t="s">
        <v>236</v>
      </c>
      <c r="C18" s="39" t="s">
        <v>237</v>
      </c>
      <c r="D18" s="39" t="s">
        <v>237</v>
      </c>
      <c r="E18" s="39" t="s">
        <v>382</v>
      </c>
      <c r="G18" s="88" t="s">
        <v>540</v>
      </c>
      <c r="H18" s="88" t="s">
        <v>539</v>
      </c>
      <c r="I18" s="89" t="s">
        <v>381</v>
      </c>
      <c r="J18" s="39" t="str">
        <f>[1]MiscBanners!$G$4</f>
        <v>Cross-Category_Black_Friday_Week_01.jpg</v>
      </c>
      <c r="K18" s="92" t="s">
        <v>392</v>
      </c>
      <c r="L18" s="92" t="s">
        <v>393</v>
      </c>
      <c r="M18" s="39" t="s">
        <v>394</v>
      </c>
      <c r="N18" s="39" t="s">
        <v>394</v>
      </c>
      <c r="O18" s="39" t="str">
        <f>[1]MiscBanners!$B$4</f>
        <v>https://www.samsung.com/us/shop/all-deals/</v>
      </c>
      <c r="P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18" s="39" t="s">
        <v>394</v>
      </c>
      <c r="R18" s="39" t="s">
        <v>394</v>
      </c>
      <c r="S18" s="89" t="s">
        <v>407</v>
      </c>
      <c r="T18" s="39" t="str">
        <f>'Dynamic Banners'!$L$5</f>
        <v>Cyber-monday-2.png</v>
      </c>
      <c r="U18" s="39" t="str">
        <f>'Dynamic Banners'!$M$5</f>
        <v xml:space="preserve">Cyber Monday is over. But, Cyber Week is just beginning. </v>
      </c>
      <c r="V18" s="39" t="s">
        <v>394</v>
      </c>
      <c r="W18" s="39" t="str">
        <f>'Dynamic Banners'!$N$5</f>
        <v xml:space="preserve">Shop amazing offers on showstopping products while supplies last. </v>
      </c>
      <c r="X18" s="39" t="s">
        <v>394</v>
      </c>
      <c r="Y18" s="39" t="str">
        <f>[1]MiscBanners!$B$4</f>
        <v>https://www.samsung.com/us/shop/all-deals/</v>
      </c>
      <c r="Z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8" s="39" t="s">
        <v>394</v>
      </c>
      <c r="AB18" s="39" t="s">
        <v>394</v>
      </c>
      <c r="AC18" s="39" t="s">
        <v>394</v>
      </c>
      <c r="AD18" s="89" t="s">
        <v>408</v>
      </c>
      <c r="AE18" s="39" t="s">
        <v>394</v>
      </c>
      <c r="AF18" s="39" t="s">
        <v>394</v>
      </c>
      <c r="AG18" s="7" t="s">
        <v>559</v>
      </c>
      <c r="AH18" s="39" t="s">
        <v>563</v>
      </c>
      <c r="AI18" s="39" t="s">
        <v>394</v>
      </c>
      <c r="AJ18" s="39" t="str">
        <f>[1]MiscBanners!$B$4</f>
        <v>https://www.samsung.com/us/shop/all-deals/</v>
      </c>
      <c r="AK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8" s="39" t="s">
        <v>394</v>
      </c>
      <c r="AM18" s="39" t="s">
        <v>394</v>
      </c>
      <c r="AN18" s="39" t="s">
        <v>394</v>
      </c>
      <c r="AO18" s="89" t="s">
        <v>267</v>
      </c>
      <c r="AP18" s="39" t="str">
        <f>CCModuleCopy!$B$3</f>
        <v>IM_HeadImage_Shop_Phones_500xV.jpg</v>
      </c>
      <c r="AQ18" s="39" t="str">
        <f>CCModuleCopy!$C$3</f>
        <v>Save up to $1000 instantly on the latest and greatest Galaxy smartphones</v>
      </c>
      <c r="AR18" s="39" t="str">
        <f>CCModuleCopy!$D$3</f>
        <v>NULL</v>
      </c>
      <c r="AS18"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AT18" s="39" t="str">
        <f>CCModuleCopy!$F$3</f>
        <v>Shop all</v>
      </c>
      <c r="AU18" s="39" t="str">
        <f>CCModuleCopy!$G$3</f>
        <v>https://www.samsung.com/us/shop/all-deals/cell-phone-deals/</v>
      </c>
      <c r="AV18"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W18" s="39" t="str">
        <f>CCModuleCopy!$I$3</f>
        <v>NULL</v>
      </c>
      <c r="AX18" s="39" t="str">
        <f>CCModuleCopy!$J$3</f>
        <v>NULL</v>
      </c>
      <c r="AY18" s="39" t="str">
        <f>CCModuleCopy!$K$3</f>
        <v>NULL</v>
      </c>
      <c r="AZ18" s="89" t="s">
        <v>265</v>
      </c>
      <c r="BA18" s="39" t="str">
        <f>CCModuleCopy!$B$7</f>
        <v>HE_HeadImage_Shop_TVs_500xV.jpg</v>
      </c>
      <c r="BB18" s="39" t="str">
        <f>CCModuleCopy!$C$7</f>
        <v>Get up to $3000 off select 8K, 4K and Lifestyle TVs</v>
      </c>
      <c r="BC18" s="39" t="str">
        <f>CCModuleCopy!$D$7</f>
        <v>NULL</v>
      </c>
      <c r="BD1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18" s="39" t="str">
        <f>CCModuleCopy!$F$7</f>
        <v>Shop all</v>
      </c>
      <c r="BF18" s="39" t="str">
        <f>CCModuleCopy!$G$7</f>
        <v>https://www.samsung.com/us/shop/all-deals/tv-and-home-theater-deals/</v>
      </c>
      <c r="BG18"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H18" s="39" t="str">
        <f>CCModuleCopy!$I$7</f>
        <v>NULL</v>
      </c>
      <c r="BI18" s="39" t="str">
        <f>CCModuleCopy!$J$7</f>
        <v>NULL</v>
      </c>
      <c r="BJ18" s="39" t="str">
        <f>CCModuleCopy!$K$7</f>
        <v>NULL</v>
      </c>
      <c r="BK18" s="89" t="s">
        <v>266</v>
      </c>
      <c r="BL18" s="39" t="str">
        <f>CCModuleCopy!$B$15</f>
        <v>Tablet-HeadImage-500xV.jpg</v>
      </c>
      <c r="BM18" s="39" t="str">
        <f>CCModuleCopy!$C$15</f>
        <v>Save up to $150 on select tablets</v>
      </c>
      <c r="BN18" s="39" t="str">
        <f>CCModuleCopy!$D$15</f>
        <v>NULL</v>
      </c>
      <c r="BO18" s="39" t="str">
        <f>CCModuleCopy!$E$15</f>
        <v xml:space="preserve">Empower how you create, learn, game and more with our powerful line of tablets. Shop offers on must-have products from the new Galaxy Tab S7+ to the Galaxy Tab S6 Lite. </v>
      </c>
      <c r="BP18" s="39" t="str">
        <f>CCModuleCopy!$F$15</f>
        <v>Shop all</v>
      </c>
      <c r="BQ18" s="39" t="str">
        <f>CCModuleCopy!$G$15</f>
        <v>https://www.samsung.com/us/shop/all-deals/tablets-laptops-computers-deals/</v>
      </c>
      <c r="BR18"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18" s="39" t="str">
        <f>CCModuleCopy!$I$15</f>
        <v>NULL</v>
      </c>
      <c r="BT18" s="39" t="str">
        <f>CCModuleCopy!$J$15</f>
        <v>NULL</v>
      </c>
      <c r="BU18" s="39" t="str">
        <f>CCModuleCopy!$K$15</f>
        <v>NULL</v>
      </c>
      <c r="BV18" s="89" t="s">
        <v>367</v>
      </c>
      <c r="BW18" s="39" t="str">
        <f>CCModuleCopy!$B$11</f>
        <v>ME_HeadImage_Wearables_500xV.jpg</v>
      </c>
      <c r="BX18" s="39" t="str">
        <f>CCModuleCopy!$C$11</f>
        <v>Get up to $100 off select watches and earbuds</v>
      </c>
      <c r="BY18" s="39" t="str">
        <f>CCModuleCopy!$D$11</f>
        <v>NULL</v>
      </c>
      <c r="BZ1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8" s="39" t="str">
        <f>CCModuleCopy!$F$11</f>
        <v>Shop all</v>
      </c>
      <c r="CB18" s="39" t="str">
        <f>CCModuleCopy!$G$11</f>
        <v>https://www.samsung.com/us/shop/all-deals/watches-audio-accessories-deals/</v>
      </c>
      <c r="CC18"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18" s="39" t="str">
        <f>CCModuleCopy!$I$11</f>
        <v>NULL</v>
      </c>
      <c r="CE18" s="39" t="str">
        <f>CCModuleCopy!$J$11</f>
        <v>NULL</v>
      </c>
      <c r="CF18" s="39" t="str">
        <f>CCModuleCopy!$K$11</f>
        <v>NULL</v>
      </c>
      <c r="CG18" s="89" t="s">
        <v>368</v>
      </c>
      <c r="CH18" s="39" t="str">
        <f>CCModuleCopy!$B$13</f>
        <v>CE_HeadImage_Computing_500xV.jpg</v>
      </c>
      <c r="CI18" s="39" t="str">
        <f>CCModuleCopy!$C$13</f>
        <v>Get up to 60% off memory cards, SSD, monitors and more</v>
      </c>
      <c r="CJ18" s="39" t="str">
        <f>CCModuleCopy!$D$13</f>
        <v>NULL</v>
      </c>
      <c r="CK18" s="39" t="str">
        <f>CCModuleCopy!$E$13</f>
        <v xml:space="preserve">Expand the way you play, store and create and get up to 30% off monitors, up to 60% off memory cards, up to 35% off SSD and more. Work and game smarter, not harder with these must-have computing offers. </v>
      </c>
      <c r="CL18" s="39" t="str">
        <f>CCModuleCopy!$F$13</f>
        <v>Shop all</v>
      </c>
      <c r="CM18" s="39" t="str">
        <f>CCModuleCopy!$G$13</f>
        <v>https://www.samsung.com/us/shop/all-deals/tablets-laptops-computers-deals/</v>
      </c>
      <c r="CN18"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18" s="39" t="str">
        <f>CCModuleCopy!$I$13</f>
        <v>NULL</v>
      </c>
      <c r="CP18" s="39" t="str">
        <f>CCModuleCopy!$J$13</f>
        <v>NULL</v>
      </c>
      <c r="CQ18" s="39" t="str">
        <f>CCModuleCopy!$K$13</f>
        <v>NULL</v>
      </c>
      <c r="CR18" s="89" t="s">
        <v>279</v>
      </c>
      <c r="CS18" s="39" t="str">
        <f>CCModuleCopy!$B$9</f>
        <v>HA_HeadImage_Shop_HA_500xV.jpg</v>
      </c>
      <c r="CT18" s="39" t="str">
        <f>CCModuleCopy!$C$9</f>
        <v>Save up to 50% on everything you need to upgrade your home and home care</v>
      </c>
      <c r="CU18" s="39" t="str">
        <f>CCModuleCopy!$D$9</f>
        <v>NULL</v>
      </c>
      <c r="CV1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8" s="39" t="str">
        <f>CCModuleCopy!$F$9</f>
        <v>Shop all</v>
      </c>
      <c r="CX18" s="39" t="str">
        <f>CCModuleCopy!$G$9</f>
        <v>https://www.samsung.com/us/shop/all-deals/home-appliance-and-smart-home-sales/</v>
      </c>
      <c r="CY18"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8" s="39" t="str">
        <f>CCModuleCopy!$I$9</f>
        <v>NULL</v>
      </c>
      <c r="DA18" s="39" t="str">
        <f>CCModuleCopy!$J$9</f>
        <v>NULL</v>
      </c>
      <c r="DB18" s="39" t="str">
        <f>CCModuleCopy!$K$9</f>
        <v>NULL</v>
      </c>
      <c r="DC18" s="89" t="s">
        <v>280</v>
      </c>
      <c r="DD18" s="39" t="str">
        <f>MiscBanners!$H$4</f>
        <v>Give-wonder-500xV.jpg</v>
      </c>
      <c r="DE18" s="39" t="str">
        <f>MiscBanners!$I$4</f>
        <v>The gift that keeps on giving</v>
      </c>
      <c r="DF18" s="39" t="str">
        <f>MiscBanners!$J$4</f>
        <v>NULL</v>
      </c>
      <c r="DG18" s="91" t="str">
        <f>MiscBanners!$K$4</f>
        <v>Discover even more exclusive offers on your favorite products and unlock the power of smart and savvy gifting.</v>
      </c>
      <c r="DH18" s="39" t="str">
        <f>MiscBanners!$L$4</f>
        <v>Shop now</v>
      </c>
      <c r="DI18" s="39" t="str">
        <f>MiscBanners!$M$4</f>
        <v>https://www.samsung.com/us/gift-ideas/</v>
      </c>
      <c r="DJ18"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8" s="39" t="str">
        <f>MiscBanners!$O$4</f>
        <v>NULL</v>
      </c>
      <c r="DL18" s="39" t="str">
        <f>MiscBanners!$P$4</f>
        <v>NULL</v>
      </c>
      <c r="DM18" s="39" t="str">
        <f>MiscBanners!$Q$4</f>
        <v>NULL</v>
      </c>
      <c r="DN18" s="89" t="s">
        <v>273</v>
      </c>
      <c r="DR18" s="91"/>
      <c r="DY18" s="89" t="s">
        <v>481</v>
      </c>
      <c r="DZ18" s="39" t="s">
        <v>394</v>
      </c>
      <c r="EA18" s="39" t="s">
        <v>394</v>
      </c>
      <c r="EB18" s="39" t="s">
        <v>394</v>
      </c>
      <c r="EC18" s="91" t="s">
        <v>482</v>
      </c>
      <c r="ED18" s="39" t="s">
        <v>394</v>
      </c>
      <c r="EE18" s="39" t="s">
        <v>476</v>
      </c>
      <c r="EF18" s="39">
        <v>0</v>
      </c>
      <c r="EG18" s="39" t="s">
        <v>394</v>
      </c>
      <c r="EH18" s="39" t="s">
        <v>394</v>
      </c>
      <c r="EI18" s="39" t="s">
        <v>394</v>
      </c>
      <c r="EJ18" s="89" t="s">
        <v>439</v>
      </c>
      <c r="EK18" s="39" t="s">
        <v>394</v>
      </c>
      <c r="EL18" s="39" t="s">
        <v>394</v>
      </c>
      <c r="EM18" s="39" t="s">
        <v>394</v>
      </c>
      <c r="EN18" s="91" t="s">
        <v>483</v>
      </c>
      <c r="EO18" s="39" t="s">
        <v>394</v>
      </c>
      <c r="EP18" s="39" t="s">
        <v>476</v>
      </c>
      <c r="EQ18" s="39">
        <v>0</v>
      </c>
      <c r="ER18" s="39" t="s">
        <v>394</v>
      </c>
      <c r="ES18" s="39" t="s">
        <v>394</v>
      </c>
      <c r="ET18" s="39" t="s">
        <v>394</v>
      </c>
      <c r="EU18" s="89" t="s">
        <v>441</v>
      </c>
      <c r="EV18" s="39" t="s">
        <v>394</v>
      </c>
      <c r="EW18" s="39" t="s">
        <v>394</v>
      </c>
      <c r="EX18" s="39" t="s">
        <v>394</v>
      </c>
      <c r="EY18" s="91" t="s">
        <v>484</v>
      </c>
      <c r="EZ18" s="39" t="s">
        <v>394</v>
      </c>
      <c r="FA18" s="39" t="s">
        <v>476</v>
      </c>
      <c r="FB18" s="39">
        <v>0</v>
      </c>
      <c r="FC18" s="39" t="s">
        <v>394</v>
      </c>
      <c r="FD18" s="39" t="s">
        <v>394</v>
      </c>
      <c r="FE18" s="39" t="s">
        <v>394</v>
      </c>
      <c r="FF18" s="89" t="s">
        <v>477</v>
      </c>
      <c r="FG18" s="39" t="s">
        <v>394</v>
      </c>
      <c r="FH18" s="39" t="s">
        <v>394</v>
      </c>
      <c r="FI18" s="39" t="s">
        <v>394</v>
      </c>
      <c r="FJ18" s="91" t="s">
        <v>485</v>
      </c>
      <c r="FK18" s="39" t="s">
        <v>394</v>
      </c>
      <c r="FL18" s="39">
        <v>0</v>
      </c>
      <c r="FM18" s="39">
        <v>0</v>
      </c>
      <c r="FN18" s="39" t="s">
        <v>394</v>
      </c>
      <c r="FO18" s="39" t="s">
        <v>394</v>
      </c>
      <c r="FP18" s="39" t="s">
        <v>394</v>
      </c>
    </row>
    <row r="19" spans="1:172" s="39" customFormat="1" ht="99.95" customHeight="1" x14ac:dyDescent="0.25">
      <c r="A19" s="39" t="s">
        <v>235</v>
      </c>
      <c r="B19" s="39" t="s">
        <v>240</v>
      </c>
      <c r="C19" s="39" t="s">
        <v>237</v>
      </c>
      <c r="D19" s="39" t="s">
        <v>237</v>
      </c>
      <c r="E19" s="39" t="s">
        <v>382</v>
      </c>
      <c r="G19" s="88" t="s">
        <v>540</v>
      </c>
      <c r="H19" s="88" t="s">
        <v>539</v>
      </c>
      <c r="I19" s="89" t="s">
        <v>381</v>
      </c>
      <c r="J19" s="39" t="str">
        <f>[1]MiscBanners!$G$4</f>
        <v>Cross-Category_Black_Friday_Week_01.jpg</v>
      </c>
      <c r="K19" s="92" t="s">
        <v>392</v>
      </c>
      <c r="L19" s="92" t="s">
        <v>393</v>
      </c>
      <c r="M19" s="39" t="s">
        <v>394</v>
      </c>
      <c r="N19" s="39" t="s">
        <v>394</v>
      </c>
      <c r="O19" s="39" t="str">
        <f>[1]MiscBanners!$B$4</f>
        <v>https://www.samsung.com/us/shop/all-deals/</v>
      </c>
      <c r="P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19" s="39" t="s">
        <v>394</v>
      </c>
      <c r="R19" s="39" t="s">
        <v>394</v>
      </c>
      <c r="S19" s="89" t="s">
        <v>407</v>
      </c>
      <c r="T19" s="39" t="str">
        <f>'Dynamic Banners'!$L$5</f>
        <v>Cyber-monday-2.png</v>
      </c>
      <c r="U19" s="39" t="str">
        <f>'Dynamic Banners'!$M$5</f>
        <v xml:space="preserve">Cyber Monday is over. But, Cyber Week is just beginning. </v>
      </c>
      <c r="V19" s="39" t="s">
        <v>394</v>
      </c>
      <c r="W19" s="39" t="str">
        <f>'Dynamic Banners'!$N$5</f>
        <v xml:space="preserve">Shop amazing offers on showstopping products while supplies last. </v>
      </c>
      <c r="X19" s="39" t="s">
        <v>394</v>
      </c>
      <c r="Y19" s="39" t="str">
        <f>[1]MiscBanners!$B$4</f>
        <v>https://www.samsung.com/us/shop/all-deals/</v>
      </c>
      <c r="Z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9" s="39" t="s">
        <v>394</v>
      </c>
      <c r="AB19" s="39" t="s">
        <v>394</v>
      </c>
      <c r="AC19" s="39" t="s">
        <v>394</v>
      </c>
      <c r="AD19" s="89" t="s">
        <v>408</v>
      </c>
      <c r="AE19" s="39" t="s">
        <v>394</v>
      </c>
      <c r="AF19" s="39" t="s">
        <v>394</v>
      </c>
      <c r="AG19" s="7" t="s">
        <v>559</v>
      </c>
      <c r="AH19" s="39" t="s">
        <v>561</v>
      </c>
      <c r="AI19" s="39" t="s">
        <v>394</v>
      </c>
      <c r="AJ19" s="39" t="str">
        <f>[1]MiscBanners!$B$4</f>
        <v>https://www.samsung.com/us/shop/all-deals/</v>
      </c>
      <c r="AK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9" s="39" t="s">
        <v>394</v>
      </c>
      <c r="AM19" s="39" t="s">
        <v>394</v>
      </c>
      <c r="AN19" s="39" t="s">
        <v>394</v>
      </c>
      <c r="AO19" s="89" t="s">
        <v>265</v>
      </c>
      <c r="AP19" s="39" t="str">
        <f>CCModuleCopy!$B$7</f>
        <v>HE_HeadImage_Shop_TVs_500xV.jpg</v>
      </c>
      <c r="AQ19" s="39" t="str">
        <f>CCModuleCopy!$C$7</f>
        <v>Get up to $3000 off select 8K, 4K and Lifestyle TVs</v>
      </c>
      <c r="AR19" s="39" t="str">
        <f>CCModuleCopy!$D$7</f>
        <v>NULL</v>
      </c>
      <c r="AS1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19" s="39" t="str">
        <f>CCModuleCopy!$F$7</f>
        <v>Shop all</v>
      </c>
      <c r="AU19" s="39" t="str">
        <f>CCModuleCopy!$G$7</f>
        <v>https://www.samsung.com/us/shop/all-deals/tv-and-home-theater-deals/</v>
      </c>
      <c r="AV19"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W19" s="39" t="str">
        <f>CCModuleCopy!$I$7</f>
        <v>NULL</v>
      </c>
      <c r="AX19" s="39" t="str">
        <f>CCModuleCopy!$J$7</f>
        <v>NULL</v>
      </c>
      <c r="AY19" s="39" t="str">
        <f>CCModuleCopy!$K$7</f>
        <v>NULL</v>
      </c>
      <c r="AZ19" s="89" t="s">
        <v>267</v>
      </c>
      <c r="BA19" s="39" t="str">
        <f>CCModuleCopy!$B$3</f>
        <v>IM_HeadImage_Shop_Phones_500xV.jpg</v>
      </c>
      <c r="BB19" s="39" t="str">
        <f>CCModuleCopy!$C$3</f>
        <v>Save up to $1000 instantly on the latest and greatest Galaxy smartphones</v>
      </c>
      <c r="BC19" s="39" t="str">
        <f>CCModuleCopy!$D$3</f>
        <v>NULL</v>
      </c>
      <c r="BD19"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9" s="39" t="str">
        <f>CCModuleCopy!$F$3</f>
        <v>Shop all</v>
      </c>
      <c r="BF19" s="39" t="str">
        <f>CCModuleCopy!$G$3</f>
        <v>https://www.samsung.com/us/shop/all-deals/cell-phone-deals/</v>
      </c>
      <c r="BG19"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9" s="39" t="str">
        <f>CCModuleCopy!$I$3</f>
        <v>NULL</v>
      </c>
      <c r="BI19" s="39" t="str">
        <f>CCModuleCopy!$J$3</f>
        <v>NULL</v>
      </c>
      <c r="BJ19" s="39" t="str">
        <f>CCModuleCopy!$K$3</f>
        <v>NULL</v>
      </c>
      <c r="BK19" s="89" t="s">
        <v>266</v>
      </c>
      <c r="BL19" s="39" t="str">
        <f>CCModuleCopy!$B$15</f>
        <v>Tablet-HeadImage-500xV.jpg</v>
      </c>
      <c r="BM19" s="39" t="str">
        <f>CCModuleCopy!$C$15</f>
        <v>Save up to $150 on select tablets</v>
      </c>
      <c r="BN19" s="39" t="str">
        <f>CCModuleCopy!$D$15</f>
        <v>NULL</v>
      </c>
      <c r="BO19" s="39" t="str">
        <f>CCModuleCopy!$E$15</f>
        <v xml:space="preserve">Empower how you create, learn, game and more with our powerful line of tablets. Shop offers on must-have products from the new Galaxy Tab S7+ to the Galaxy Tab S6 Lite. </v>
      </c>
      <c r="BP19" s="39" t="str">
        <f>CCModuleCopy!$F$15</f>
        <v>Shop all</v>
      </c>
      <c r="BQ19" s="39" t="str">
        <f>CCModuleCopy!$G$15</f>
        <v>https://www.samsung.com/us/shop/all-deals/tablets-laptops-computers-deals/</v>
      </c>
      <c r="BR19"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19" s="39" t="str">
        <f>CCModuleCopy!$I$15</f>
        <v>NULL</v>
      </c>
      <c r="BT19" s="39" t="str">
        <f>CCModuleCopy!$J$15</f>
        <v>NULL</v>
      </c>
      <c r="BU19" s="39" t="str">
        <f>CCModuleCopy!$K$15</f>
        <v>NULL</v>
      </c>
      <c r="BV19" s="89" t="s">
        <v>367</v>
      </c>
      <c r="BW19" s="39" t="str">
        <f>CCModuleCopy!$B$11</f>
        <v>ME_HeadImage_Wearables_500xV.jpg</v>
      </c>
      <c r="BX19" s="39" t="str">
        <f>CCModuleCopy!$C$11</f>
        <v>Get up to $100 off select watches and earbuds</v>
      </c>
      <c r="BY19" s="39" t="str">
        <f>CCModuleCopy!$D$11</f>
        <v>NULL</v>
      </c>
      <c r="BZ1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9" s="39" t="str">
        <f>CCModuleCopy!$F$11</f>
        <v>Shop all</v>
      </c>
      <c r="CB19" s="39" t="str">
        <f>CCModuleCopy!$G$11</f>
        <v>https://www.samsung.com/us/shop/all-deals/watches-audio-accessories-deals/</v>
      </c>
      <c r="CC19"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19" s="39" t="str">
        <f>CCModuleCopy!$I$11</f>
        <v>NULL</v>
      </c>
      <c r="CE19" s="39" t="str">
        <f>CCModuleCopy!$J$11</f>
        <v>NULL</v>
      </c>
      <c r="CF19" s="39" t="str">
        <f>CCModuleCopy!$K$11</f>
        <v>NULL</v>
      </c>
      <c r="CG19" s="89" t="s">
        <v>368</v>
      </c>
      <c r="CH19" s="39" t="str">
        <f>CCModuleCopy!$B$13</f>
        <v>CE_HeadImage_Computing_500xV.jpg</v>
      </c>
      <c r="CI19" s="39" t="str">
        <f>CCModuleCopy!$C$13</f>
        <v>Get up to 60% off memory cards, SSD, monitors and more</v>
      </c>
      <c r="CJ19" s="39" t="str">
        <f>CCModuleCopy!$D$13</f>
        <v>NULL</v>
      </c>
      <c r="CK19" s="39" t="str">
        <f>CCModuleCopy!$E$13</f>
        <v xml:space="preserve">Expand the way you play, store and create and get up to 30% off monitors, up to 60% off memory cards, up to 35% off SSD and more. Work and game smarter, not harder with these must-have computing offers. </v>
      </c>
      <c r="CL19" s="39" t="str">
        <f>CCModuleCopy!$F$13</f>
        <v>Shop all</v>
      </c>
      <c r="CM19" s="39" t="str">
        <f>CCModuleCopy!$G$13</f>
        <v>https://www.samsung.com/us/shop/all-deals/tablets-laptops-computers-deals/</v>
      </c>
      <c r="CN19"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19" s="39" t="str">
        <f>CCModuleCopy!$I$13</f>
        <v>NULL</v>
      </c>
      <c r="CP19" s="39" t="str">
        <f>CCModuleCopy!$J$13</f>
        <v>NULL</v>
      </c>
      <c r="CQ19" s="39" t="str">
        <f>CCModuleCopy!$K$13</f>
        <v>NULL</v>
      </c>
      <c r="CR19" s="89" t="s">
        <v>279</v>
      </c>
      <c r="CS19" s="39" t="str">
        <f>CCModuleCopy!$B$9</f>
        <v>HA_HeadImage_Shop_HA_500xV.jpg</v>
      </c>
      <c r="CT19" s="39" t="str">
        <f>CCModuleCopy!$C$9</f>
        <v>Save up to 50% on everything you need to upgrade your home and home care</v>
      </c>
      <c r="CU19" s="39" t="str">
        <f>CCModuleCopy!$D$9</f>
        <v>NULL</v>
      </c>
      <c r="CV1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9" s="39" t="str">
        <f>CCModuleCopy!$F$9</f>
        <v>Shop all</v>
      </c>
      <c r="CX19" s="39" t="str">
        <f>CCModuleCopy!$G$9</f>
        <v>https://www.samsung.com/us/shop/all-deals/home-appliance-and-smart-home-sales/</v>
      </c>
      <c r="CY19"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9" s="39" t="str">
        <f>CCModuleCopy!$I$9</f>
        <v>NULL</v>
      </c>
      <c r="DA19" s="39" t="str">
        <f>CCModuleCopy!$J$9</f>
        <v>NULL</v>
      </c>
      <c r="DB19" s="39" t="str">
        <f>CCModuleCopy!$K$9</f>
        <v>NULL</v>
      </c>
      <c r="DC19" s="89" t="s">
        <v>280</v>
      </c>
      <c r="DD19" s="39" t="str">
        <f>MiscBanners!$H$4</f>
        <v>Give-wonder-500xV.jpg</v>
      </c>
      <c r="DE19" s="39" t="str">
        <f>MiscBanners!$I$4</f>
        <v>The gift that keeps on giving</v>
      </c>
      <c r="DF19" s="39" t="str">
        <f>MiscBanners!$J$4</f>
        <v>NULL</v>
      </c>
      <c r="DG19" s="91" t="str">
        <f>MiscBanners!$K$4</f>
        <v>Discover even more exclusive offers on your favorite products and unlock the power of smart and savvy gifting.</v>
      </c>
      <c r="DH19" s="39" t="str">
        <f>MiscBanners!$L$4</f>
        <v>Shop now</v>
      </c>
      <c r="DI19" s="39" t="str">
        <f>MiscBanners!$M$4</f>
        <v>https://www.samsung.com/us/gift-ideas/</v>
      </c>
      <c r="DJ19"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9" s="39" t="str">
        <f>MiscBanners!$O$4</f>
        <v>NULL</v>
      </c>
      <c r="DL19" s="39" t="str">
        <f>MiscBanners!$P$4</f>
        <v>NULL</v>
      </c>
      <c r="DM19" s="39" t="str">
        <f>MiscBanners!$Q$4</f>
        <v>NULL</v>
      </c>
      <c r="DN19" s="89" t="s">
        <v>273</v>
      </c>
      <c r="DR19" s="91"/>
      <c r="DY19" s="89" t="s">
        <v>481</v>
      </c>
      <c r="DZ19" s="39" t="s">
        <v>394</v>
      </c>
      <c r="EA19" s="39" t="s">
        <v>394</v>
      </c>
      <c r="EB19" s="39" t="s">
        <v>394</v>
      </c>
      <c r="EC19" s="91" t="s">
        <v>482</v>
      </c>
      <c r="ED19" s="39" t="s">
        <v>394</v>
      </c>
      <c r="EE19" s="39" t="s">
        <v>476</v>
      </c>
      <c r="EF19" s="39">
        <v>0</v>
      </c>
      <c r="EG19" s="39" t="s">
        <v>394</v>
      </c>
      <c r="EH19" s="39" t="s">
        <v>394</v>
      </c>
      <c r="EI19" s="39" t="s">
        <v>394</v>
      </c>
      <c r="EJ19" s="89" t="s">
        <v>439</v>
      </c>
      <c r="EK19" s="39" t="s">
        <v>394</v>
      </c>
      <c r="EL19" s="39" t="s">
        <v>394</v>
      </c>
      <c r="EM19" s="39" t="s">
        <v>394</v>
      </c>
      <c r="EN19" s="91" t="s">
        <v>483</v>
      </c>
      <c r="EO19" s="39" t="s">
        <v>394</v>
      </c>
      <c r="EP19" s="39" t="s">
        <v>476</v>
      </c>
      <c r="EQ19" s="39">
        <v>0</v>
      </c>
      <c r="ER19" s="39" t="s">
        <v>394</v>
      </c>
      <c r="ES19" s="39" t="s">
        <v>394</v>
      </c>
      <c r="ET19" s="39" t="s">
        <v>394</v>
      </c>
      <c r="EU19" s="89" t="s">
        <v>441</v>
      </c>
      <c r="EV19" s="39" t="s">
        <v>394</v>
      </c>
      <c r="EW19" s="39" t="s">
        <v>394</v>
      </c>
      <c r="EX19" s="39" t="s">
        <v>394</v>
      </c>
      <c r="EY19" s="91" t="s">
        <v>484</v>
      </c>
      <c r="EZ19" s="39" t="s">
        <v>394</v>
      </c>
      <c r="FA19" s="39" t="s">
        <v>476</v>
      </c>
      <c r="FB19" s="39">
        <v>0</v>
      </c>
      <c r="FC19" s="39" t="s">
        <v>394</v>
      </c>
      <c r="FD19" s="39" t="s">
        <v>394</v>
      </c>
      <c r="FE19" s="39" t="s">
        <v>394</v>
      </c>
      <c r="FF19" s="89" t="s">
        <v>477</v>
      </c>
      <c r="FG19" s="39" t="s">
        <v>394</v>
      </c>
      <c r="FH19" s="39" t="s">
        <v>394</v>
      </c>
      <c r="FI19" s="39" t="s">
        <v>394</v>
      </c>
      <c r="FJ19" s="91" t="s">
        <v>485</v>
      </c>
      <c r="FK19" s="39" t="s">
        <v>394</v>
      </c>
      <c r="FL19" s="39">
        <v>0</v>
      </c>
      <c r="FM19" s="39">
        <v>0</v>
      </c>
      <c r="FN19" s="39" t="s">
        <v>394</v>
      </c>
      <c r="FO19" s="39" t="s">
        <v>394</v>
      </c>
      <c r="FP19" s="39" t="s">
        <v>394</v>
      </c>
    </row>
    <row r="20" spans="1:172" s="39" customFormat="1" ht="99.95" customHeight="1" x14ac:dyDescent="0.25">
      <c r="A20" s="39" t="s">
        <v>235</v>
      </c>
      <c r="B20" s="92" t="s">
        <v>241</v>
      </c>
      <c r="C20" s="39" t="s">
        <v>237</v>
      </c>
      <c r="D20" s="39" t="s">
        <v>237</v>
      </c>
      <c r="E20" s="39" t="s">
        <v>382</v>
      </c>
      <c r="G20" s="88" t="s">
        <v>540</v>
      </c>
      <c r="H20" s="88" t="s">
        <v>539</v>
      </c>
      <c r="I20" s="89" t="s">
        <v>381</v>
      </c>
      <c r="J20" s="39" t="str">
        <f>[1]MiscBanners!$G$4</f>
        <v>Cross-Category_Black_Friday_Week_01.jpg</v>
      </c>
      <c r="K20" s="92" t="s">
        <v>392</v>
      </c>
      <c r="L20" s="92" t="s">
        <v>393</v>
      </c>
      <c r="M20" s="39" t="s">
        <v>394</v>
      </c>
      <c r="N20" s="39" t="s">
        <v>394</v>
      </c>
      <c r="O20" s="39" t="str">
        <f>[1]MiscBanners!$B$4</f>
        <v>https://www.samsung.com/us/shop/all-deals/</v>
      </c>
      <c r="P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0" s="39" t="s">
        <v>394</v>
      </c>
      <c r="R20" s="39" t="s">
        <v>394</v>
      </c>
      <c r="S20" s="89" t="s">
        <v>407</v>
      </c>
      <c r="T20" s="39" t="str">
        <f>'Dynamic Banners'!$L$5</f>
        <v>Cyber-monday-2.png</v>
      </c>
      <c r="U20" s="39" t="str">
        <f>'Dynamic Banners'!$M$5</f>
        <v xml:space="preserve">Cyber Monday is over. But, Cyber Week is just beginning. </v>
      </c>
      <c r="V20" s="39" t="s">
        <v>394</v>
      </c>
      <c r="W20" s="39" t="str">
        <f>'Dynamic Banners'!$N$5</f>
        <v xml:space="preserve">Shop amazing offers on showstopping products while supplies last. </v>
      </c>
      <c r="X20" s="39" t="s">
        <v>394</v>
      </c>
      <c r="Y20" s="39" t="str">
        <f>[1]MiscBanners!$B$4</f>
        <v>https://www.samsung.com/us/shop/all-deals/</v>
      </c>
      <c r="Z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0" s="39" t="s">
        <v>394</v>
      </c>
      <c r="AB20" s="39" t="s">
        <v>394</v>
      </c>
      <c r="AC20" s="39" t="s">
        <v>394</v>
      </c>
      <c r="AD20" s="89" t="s">
        <v>408</v>
      </c>
      <c r="AE20" s="39" t="s">
        <v>394</v>
      </c>
      <c r="AF20" s="39" t="s">
        <v>394</v>
      </c>
      <c r="AG20" s="7" t="s">
        <v>559</v>
      </c>
      <c r="AH20" s="39" t="s">
        <v>561</v>
      </c>
      <c r="AI20" s="39" t="s">
        <v>394</v>
      </c>
      <c r="AJ20" s="39" t="str">
        <f>[1]MiscBanners!$B$4</f>
        <v>https://www.samsung.com/us/shop/all-deals/</v>
      </c>
      <c r="AK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0" s="39" t="s">
        <v>394</v>
      </c>
      <c r="AM20" s="39" t="s">
        <v>394</v>
      </c>
      <c r="AN20" s="39" t="s">
        <v>394</v>
      </c>
      <c r="AO20" s="89" t="s">
        <v>266</v>
      </c>
      <c r="AP20" s="39" t="str">
        <f>CCModuleCopy!$B$15</f>
        <v>Tablet-HeadImage-500xV.jpg</v>
      </c>
      <c r="AQ20" s="39" t="str">
        <f>CCModuleCopy!$C$15</f>
        <v>Save up to $150 on select tablets</v>
      </c>
      <c r="AR20" s="39" t="str">
        <f>CCModuleCopy!$D$15</f>
        <v>NULL</v>
      </c>
      <c r="AS20" s="39" t="str">
        <f>CCModuleCopy!$E$15</f>
        <v xml:space="preserve">Empower how you create, learn, game and more with our powerful line of tablets. Shop offers on must-have products from the new Galaxy Tab S7+ to the Galaxy Tab S6 Lite. </v>
      </c>
      <c r="AT20" s="39" t="str">
        <f>CCModuleCopy!$F$15</f>
        <v>Shop all</v>
      </c>
      <c r="AU20" s="39" t="str">
        <f>CCModuleCopy!$G$15</f>
        <v>https://www.samsung.com/us/shop/all-deals/tablets-laptops-computers-deals/</v>
      </c>
      <c r="AV20"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W20" s="39" t="str">
        <f>CCModuleCopy!$I$15</f>
        <v>NULL</v>
      </c>
      <c r="AX20" s="39" t="str">
        <f>CCModuleCopy!$J$15</f>
        <v>NULL</v>
      </c>
      <c r="AY20" s="39" t="str">
        <f>CCModuleCopy!$K$15</f>
        <v>NULL</v>
      </c>
      <c r="AZ20" s="89" t="s">
        <v>267</v>
      </c>
      <c r="BA20" s="39" t="str">
        <f>CCModuleCopy!$B$3</f>
        <v>IM_HeadImage_Shop_Phones_500xV.jpg</v>
      </c>
      <c r="BB20" s="39" t="str">
        <f>CCModuleCopy!$C$3</f>
        <v>Save up to $1000 instantly on the latest and greatest Galaxy smartphones</v>
      </c>
      <c r="BC20" s="39" t="str">
        <f>CCModuleCopy!$D$3</f>
        <v>NULL</v>
      </c>
      <c r="BD20"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0" s="39" t="str">
        <f>CCModuleCopy!$F$3</f>
        <v>Shop all</v>
      </c>
      <c r="BF20" s="39" t="str">
        <f>CCModuleCopy!$G$3</f>
        <v>https://www.samsung.com/us/shop/all-deals/cell-phone-deals/</v>
      </c>
      <c r="BG20"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0" s="39" t="str">
        <f>CCModuleCopy!$I$3</f>
        <v>NULL</v>
      </c>
      <c r="BI20" s="39" t="str">
        <f>CCModuleCopy!$J$3</f>
        <v>NULL</v>
      </c>
      <c r="BJ20" s="39" t="str">
        <f>CCModuleCopy!$K$3</f>
        <v>NULL</v>
      </c>
      <c r="BK20" s="89" t="s">
        <v>265</v>
      </c>
      <c r="BL20" s="39" t="str">
        <f>CCModuleCopy!$B$7</f>
        <v>HE_HeadImage_Shop_TVs_500xV.jpg</v>
      </c>
      <c r="BM20" s="39" t="str">
        <f>CCModuleCopy!$C$7</f>
        <v>Get up to $3000 off select 8K, 4K and Lifestyle TVs</v>
      </c>
      <c r="BN20" s="39" t="str">
        <f>CCModuleCopy!$D$7</f>
        <v>NULL</v>
      </c>
      <c r="BO20"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0" s="39" t="str">
        <f>CCModuleCopy!$F$7</f>
        <v>Shop all</v>
      </c>
      <c r="BQ20" s="39" t="str">
        <f>CCModuleCopy!$G$7</f>
        <v>https://www.samsung.com/us/shop/all-deals/tv-and-home-theater-deals/</v>
      </c>
      <c r="BR20"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0" s="39" t="str">
        <f>CCModuleCopy!$I$7</f>
        <v>NULL</v>
      </c>
      <c r="BT20" s="39" t="str">
        <f>CCModuleCopy!$J$7</f>
        <v>NULL</v>
      </c>
      <c r="BU20" s="39" t="str">
        <f>CCModuleCopy!$K$7</f>
        <v>NULL</v>
      </c>
      <c r="BV20" s="89" t="s">
        <v>367</v>
      </c>
      <c r="BW20" s="39" t="str">
        <f>CCModuleCopy!$B$11</f>
        <v>ME_HeadImage_Wearables_500xV.jpg</v>
      </c>
      <c r="BX20" s="39" t="str">
        <f>CCModuleCopy!$C$11</f>
        <v>Get up to $100 off select watches and earbuds</v>
      </c>
      <c r="BY20" s="39" t="str">
        <f>CCModuleCopy!$D$11</f>
        <v>NULL</v>
      </c>
      <c r="BZ20"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0" s="39" t="str">
        <f>CCModuleCopy!$F$11</f>
        <v>Shop all</v>
      </c>
      <c r="CB20" s="39" t="str">
        <f>CCModuleCopy!$G$11</f>
        <v>https://www.samsung.com/us/shop/all-deals/watches-audio-accessories-deals/</v>
      </c>
      <c r="CC20"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20" s="39" t="str">
        <f>CCModuleCopy!$I$11</f>
        <v>NULL</v>
      </c>
      <c r="CE20" s="39" t="str">
        <f>CCModuleCopy!$J$11</f>
        <v>NULL</v>
      </c>
      <c r="CF20" s="39" t="str">
        <f>CCModuleCopy!$K$11</f>
        <v>NULL</v>
      </c>
      <c r="CG20" s="89" t="s">
        <v>368</v>
      </c>
      <c r="CH20" s="39" t="str">
        <f>CCModuleCopy!$B$13</f>
        <v>CE_HeadImage_Computing_500xV.jpg</v>
      </c>
      <c r="CI20" s="39" t="str">
        <f>CCModuleCopy!$C$13</f>
        <v>Get up to 60% off memory cards, SSD, monitors and more</v>
      </c>
      <c r="CJ20" s="39" t="str">
        <f>CCModuleCopy!$D$13</f>
        <v>NULL</v>
      </c>
      <c r="CK20" s="39" t="str">
        <f>CCModuleCopy!$E$13</f>
        <v xml:space="preserve">Expand the way you play, store and create and get up to 30% off monitors, up to 60% off memory cards, up to 35% off SSD and more. Work and game smarter, not harder with these must-have computing offers. </v>
      </c>
      <c r="CL20" s="39" t="str">
        <f>CCModuleCopy!$F$13</f>
        <v>Shop all</v>
      </c>
      <c r="CM20" s="39" t="str">
        <f>CCModuleCopy!$G$13</f>
        <v>https://www.samsung.com/us/shop/all-deals/tablets-laptops-computers-deals/</v>
      </c>
      <c r="CN20"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20" s="39" t="str">
        <f>CCModuleCopy!$I$13</f>
        <v>NULL</v>
      </c>
      <c r="CP20" s="39" t="str">
        <f>CCModuleCopy!$J$13</f>
        <v>NULL</v>
      </c>
      <c r="CQ20" s="39" t="str">
        <f>CCModuleCopy!$K$13</f>
        <v>NULL</v>
      </c>
      <c r="CR20" s="89" t="s">
        <v>279</v>
      </c>
      <c r="CS20" s="39" t="str">
        <f>CCModuleCopy!$B$9</f>
        <v>HA_HeadImage_Shop_HA_500xV.jpg</v>
      </c>
      <c r="CT20" s="39" t="str">
        <f>CCModuleCopy!$C$9</f>
        <v>Save up to 50% on everything you need to upgrade your home and home care</v>
      </c>
      <c r="CU20" s="39" t="str">
        <f>CCModuleCopy!$D$9</f>
        <v>NULL</v>
      </c>
      <c r="CV20"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0" s="39" t="str">
        <f>CCModuleCopy!$F$9</f>
        <v>Shop all</v>
      </c>
      <c r="CX20" s="39" t="str">
        <f>CCModuleCopy!$G$9</f>
        <v>https://www.samsung.com/us/shop/all-deals/home-appliance-and-smart-home-sales/</v>
      </c>
      <c r="CY20"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0" s="39" t="str">
        <f>CCModuleCopy!$I$9</f>
        <v>NULL</v>
      </c>
      <c r="DA20" s="39" t="str">
        <f>CCModuleCopy!$J$9</f>
        <v>NULL</v>
      </c>
      <c r="DB20" s="39" t="str">
        <f>CCModuleCopy!$K$9</f>
        <v>NULL</v>
      </c>
      <c r="DC20" s="89" t="s">
        <v>280</v>
      </c>
      <c r="DD20" s="39" t="str">
        <f>MiscBanners!$H$4</f>
        <v>Give-wonder-500xV.jpg</v>
      </c>
      <c r="DE20" s="39" t="str">
        <f>MiscBanners!$I$4</f>
        <v>The gift that keeps on giving</v>
      </c>
      <c r="DF20" s="39" t="str">
        <f>MiscBanners!$J$4</f>
        <v>NULL</v>
      </c>
      <c r="DG20" s="91" t="str">
        <f>MiscBanners!$K$4</f>
        <v>Discover even more exclusive offers on your favorite products and unlock the power of smart and savvy gifting.</v>
      </c>
      <c r="DH20" s="39" t="str">
        <f>MiscBanners!$L$4</f>
        <v>Shop now</v>
      </c>
      <c r="DI20" s="39" t="str">
        <f>MiscBanners!$M$4</f>
        <v>https://www.samsung.com/us/gift-ideas/</v>
      </c>
      <c r="DJ20"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0" s="39" t="str">
        <f>MiscBanners!$O$4</f>
        <v>NULL</v>
      </c>
      <c r="DL20" s="39" t="str">
        <f>MiscBanners!$P$4</f>
        <v>NULL</v>
      </c>
      <c r="DM20" s="39" t="str">
        <f>MiscBanners!$Q$4</f>
        <v>NULL</v>
      </c>
      <c r="DN20" s="89" t="s">
        <v>273</v>
      </c>
      <c r="DR20" s="91"/>
      <c r="DY20" s="89" t="s">
        <v>481</v>
      </c>
      <c r="DZ20" s="39" t="s">
        <v>394</v>
      </c>
      <c r="EA20" s="39" t="s">
        <v>394</v>
      </c>
      <c r="EB20" s="39" t="s">
        <v>394</v>
      </c>
      <c r="EC20" s="91" t="s">
        <v>482</v>
      </c>
      <c r="ED20" s="39" t="s">
        <v>394</v>
      </c>
      <c r="EE20" s="39" t="s">
        <v>476</v>
      </c>
      <c r="EF20" s="39">
        <v>0</v>
      </c>
      <c r="EG20" s="39" t="s">
        <v>394</v>
      </c>
      <c r="EH20" s="39" t="s">
        <v>394</v>
      </c>
      <c r="EI20" s="39" t="s">
        <v>394</v>
      </c>
      <c r="EJ20" s="89" t="s">
        <v>439</v>
      </c>
      <c r="EK20" s="39" t="s">
        <v>394</v>
      </c>
      <c r="EL20" s="39" t="s">
        <v>394</v>
      </c>
      <c r="EM20" s="39" t="s">
        <v>394</v>
      </c>
      <c r="EN20" s="91" t="s">
        <v>483</v>
      </c>
      <c r="EO20" s="39" t="s">
        <v>394</v>
      </c>
      <c r="EP20" s="39" t="s">
        <v>476</v>
      </c>
      <c r="EQ20" s="39">
        <v>0</v>
      </c>
      <c r="ER20" s="39" t="s">
        <v>394</v>
      </c>
      <c r="ES20" s="39" t="s">
        <v>394</v>
      </c>
      <c r="ET20" s="39" t="s">
        <v>394</v>
      </c>
      <c r="EU20" s="89" t="s">
        <v>441</v>
      </c>
      <c r="EV20" s="39" t="s">
        <v>394</v>
      </c>
      <c r="EW20" s="39" t="s">
        <v>394</v>
      </c>
      <c r="EX20" s="39" t="s">
        <v>394</v>
      </c>
      <c r="EY20" s="91" t="s">
        <v>484</v>
      </c>
      <c r="EZ20" s="39" t="s">
        <v>394</v>
      </c>
      <c r="FA20" s="39" t="s">
        <v>476</v>
      </c>
      <c r="FB20" s="39">
        <v>0</v>
      </c>
      <c r="FC20" s="39" t="s">
        <v>394</v>
      </c>
      <c r="FD20" s="39" t="s">
        <v>394</v>
      </c>
      <c r="FE20" s="39" t="s">
        <v>394</v>
      </c>
      <c r="FF20" s="89" t="s">
        <v>477</v>
      </c>
      <c r="FG20" s="39" t="s">
        <v>394</v>
      </c>
      <c r="FH20" s="39" t="s">
        <v>394</v>
      </c>
      <c r="FI20" s="39" t="s">
        <v>394</v>
      </c>
      <c r="FJ20" s="91" t="s">
        <v>485</v>
      </c>
      <c r="FK20" s="39" t="s">
        <v>394</v>
      </c>
      <c r="FL20" s="39">
        <v>0</v>
      </c>
      <c r="FM20" s="39">
        <v>0</v>
      </c>
      <c r="FN20" s="39" t="s">
        <v>394</v>
      </c>
      <c r="FO20" s="39" t="s">
        <v>394</v>
      </c>
      <c r="FP20" s="39" t="s">
        <v>394</v>
      </c>
    </row>
    <row r="21" spans="1:172" s="39" customFormat="1" ht="99.95" customHeight="1" x14ac:dyDescent="0.25">
      <c r="A21" s="39" t="s">
        <v>235</v>
      </c>
      <c r="B21" s="39" t="s">
        <v>264</v>
      </c>
      <c r="C21" s="39" t="s">
        <v>237</v>
      </c>
      <c r="D21" s="39" t="s">
        <v>237</v>
      </c>
      <c r="E21" s="39" t="s">
        <v>382</v>
      </c>
      <c r="G21" s="88" t="s">
        <v>540</v>
      </c>
      <c r="H21" s="88" t="s">
        <v>539</v>
      </c>
      <c r="I21" s="89" t="s">
        <v>381</v>
      </c>
      <c r="J21" s="39" t="str">
        <f>[1]MiscBanners!$G$4</f>
        <v>Cross-Category_Black_Friday_Week_01.jpg</v>
      </c>
      <c r="K21" s="92" t="s">
        <v>392</v>
      </c>
      <c r="L21" s="92" t="s">
        <v>393</v>
      </c>
      <c r="M21" s="39" t="s">
        <v>394</v>
      </c>
      <c r="N21" s="39" t="s">
        <v>394</v>
      </c>
      <c r="O21" s="39" t="str">
        <f>[1]MiscBanners!$B$4</f>
        <v>https://www.samsung.com/us/shop/all-deals/</v>
      </c>
      <c r="P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1" s="39" t="s">
        <v>394</v>
      </c>
      <c r="R21" s="39" t="s">
        <v>394</v>
      </c>
      <c r="S21" s="89" t="s">
        <v>407</v>
      </c>
      <c r="T21" s="39" t="str">
        <f>'Dynamic Banners'!$L$5</f>
        <v>Cyber-monday-2.png</v>
      </c>
      <c r="U21" s="39" t="str">
        <f>'Dynamic Banners'!$M$5</f>
        <v xml:space="preserve">Cyber Monday is over. But, Cyber Week is just beginning. </v>
      </c>
      <c r="V21" s="39" t="s">
        <v>394</v>
      </c>
      <c r="W21" s="39" t="str">
        <f>'Dynamic Banners'!$N$5</f>
        <v xml:space="preserve">Shop amazing offers on showstopping products while supplies last. </v>
      </c>
      <c r="X21" s="39" t="s">
        <v>394</v>
      </c>
      <c r="Y21" s="39" t="str">
        <f>[1]MiscBanners!$B$4</f>
        <v>https://www.samsung.com/us/shop/all-deals/</v>
      </c>
      <c r="Z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1" s="39" t="s">
        <v>394</v>
      </c>
      <c r="AB21" s="39" t="s">
        <v>394</v>
      </c>
      <c r="AC21" s="39" t="s">
        <v>394</v>
      </c>
      <c r="AD21" s="89" t="s">
        <v>408</v>
      </c>
      <c r="AE21" s="39" t="s">
        <v>394</v>
      </c>
      <c r="AF21" s="39" t="s">
        <v>394</v>
      </c>
      <c r="AG21" s="7" t="s">
        <v>559</v>
      </c>
      <c r="AH21" s="39" t="s">
        <v>561</v>
      </c>
      <c r="AI21" s="39" t="s">
        <v>394</v>
      </c>
      <c r="AJ21" s="39" t="str">
        <f>[1]MiscBanners!$B$4</f>
        <v>https://www.samsung.com/us/shop/all-deals/</v>
      </c>
      <c r="AK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1" s="39" t="s">
        <v>394</v>
      </c>
      <c r="AM21" s="39" t="s">
        <v>394</v>
      </c>
      <c r="AN21" s="39" t="s">
        <v>394</v>
      </c>
      <c r="AO21" s="89" t="s">
        <v>367</v>
      </c>
      <c r="AP21" s="39" t="str">
        <f>CCModuleCopy!$B$11</f>
        <v>ME_HeadImage_Wearables_500xV.jpg</v>
      </c>
      <c r="AQ21" s="39" t="str">
        <f>CCModuleCopy!$C$11</f>
        <v>Get up to $100 off select watches and earbuds</v>
      </c>
      <c r="AR21" s="39" t="str">
        <f>CCModuleCopy!$D$11</f>
        <v>NULL</v>
      </c>
      <c r="AS21"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21" s="39" t="str">
        <f>CCModuleCopy!$F$11</f>
        <v>Shop all</v>
      </c>
      <c r="AU21" s="39" t="str">
        <f>CCModuleCopy!$G$11</f>
        <v>https://www.samsung.com/us/shop/all-deals/watches-audio-accessories-deals/</v>
      </c>
      <c r="AV21"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W21" s="39" t="str">
        <f>CCModuleCopy!$I$11</f>
        <v>NULL</v>
      </c>
      <c r="AX21" s="39" t="str">
        <f>CCModuleCopy!$J$11</f>
        <v>NULL</v>
      </c>
      <c r="AY21" s="39" t="str">
        <f>CCModuleCopy!$K$11</f>
        <v>NULL</v>
      </c>
      <c r="AZ21" s="89" t="s">
        <v>267</v>
      </c>
      <c r="BA21" s="39" t="str">
        <f>CCModuleCopy!$B$3</f>
        <v>IM_HeadImage_Shop_Phones_500xV.jpg</v>
      </c>
      <c r="BB21" s="39" t="str">
        <f>CCModuleCopy!$C$3</f>
        <v>Save up to $1000 instantly on the latest and greatest Galaxy smartphones</v>
      </c>
      <c r="BC21" s="39" t="str">
        <f>CCModuleCopy!$D$3</f>
        <v>NULL</v>
      </c>
      <c r="BD21"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1" s="39" t="str">
        <f>CCModuleCopy!$F$3</f>
        <v>Shop all</v>
      </c>
      <c r="BF21" s="39" t="str">
        <f>CCModuleCopy!$G$3</f>
        <v>https://www.samsung.com/us/shop/all-deals/cell-phone-deals/</v>
      </c>
      <c r="BG21"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1" s="39" t="str">
        <f>CCModuleCopy!$I$3</f>
        <v>NULL</v>
      </c>
      <c r="BI21" s="39" t="str">
        <f>CCModuleCopy!$J$3</f>
        <v>NULL</v>
      </c>
      <c r="BJ21" s="39" t="str">
        <f>CCModuleCopy!$K$3</f>
        <v>NULL</v>
      </c>
      <c r="BK21" s="89" t="s">
        <v>265</v>
      </c>
      <c r="BL21" s="39" t="str">
        <f>CCModuleCopy!$B$7</f>
        <v>HE_HeadImage_Shop_TVs_500xV.jpg</v>
      </c>
      <c r="BM21" s="39" t="str">
        <f>CCModuleCopy!$C$7</f>
        <v>Get up to $3000 off select 8K, 4K and Lifestyle TVs</v>
      </c>
      <c r="BN21" s="39" t="str">
        <f>CCModuleCopy!$D$7</f>
        <v>NULL</v>
      </c>
      <c r="BO21"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1" s="39" t="str">
        <f>CCModuleCopy!$F$7</f>
        <v>Shop all</v>
      </c>
      <c r="BQ21" s="39" t="str">
        <f>CCModuleCopy!$G$7</f>
        <v>https://www.samsung.com/us/shop/all-deals/tv-and-home-theater-deals/</v>
      </c>
      <c r="BR21"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1" s="39" t="str">
        <f>CCModuleCopy!$I$7</f>
        <v>NULL</v>
      </c>
      <c r="BT21" s="39" t="str">
        <f>CCModuleCopy!$J$7</f>
        <v>NULL</v>
      </c>
      <c r="BU21" s="39" t="str">
        <f>CCModuleCopy!$K$7</f>
        <v>NULL</v>
      </c>
      <c r="BV21" s="89" t="s">
        <v>266</v>
      </c>
      <c r="BW21" s="39" t="str">
        <f>CCModuleCopy!$B$15</f>
        <v>Tablet-HeadImage-500xV.jpg</v>
      </c>
      <c r="BX21" s="39" t="str">
        <f>CCModuleCopy!$C$15</f>
        <v>Save up to $150 on select tablets</v>
      </c>
      <c r="BY21" s="39" t="str">
        <f>CCModuleCopy!$D$15</f>
        <v>NULL</v>
      </c>
      <c r="BZ21" s="39" t="str">
        <f>CCModuleCopy!$E$15</f>
        <v xml:space="preserve">Empower how you create, learn, game and more with our powerful line of tablets. Shop offers on must-have products from the new Galaxy Tab S7+ to the Galaxy Tab S6 Lite. </v>
      </c>
      <c r="CA21" s="39" t="str">
        <f>CCModuleCopy!$F$15</f>
        <v>Shop all</v>
      </c>
      <c r="CB21" s="39" t="str">
        <f>CCModuleCopy!$G$15</f>
        <v>https://www.samsung.com/us/shop/all-deals/tablets-laptops-computers-deals/</v>
      </c>
      <c r="CC21"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1" s="39" t="str">
        <f>CCModuleCopy!$I$15</f>
        <v>NULL</v>
      </c>
      <c r="CE21" s="39" t="str">
        <f>CCModuleCopy!$J$15</f>
        <v>NULL</v>
      </c>
      <c r="CF21" s="39" t="str">
        <f>CCModuleCopy!$K$15</f>
        <v>NULL</v>
      </c>
      <c r="CG21" s="89" t="s">
        <v>368</v>
      </c>
      <c r="CH21" s="39" t="str">
        <f>CCModuleCopy!$B$13</f>
        <v>CE_HeadImage_Computing_500xV.jpg</v>
      </c>
      <c r="CI21" s="39" t="str">
        <f>CCModuleCopy!$C$13</f>
        <v>Get up to 60% off memory cards, SSD, monitors and more</v>
      </c>
      <c r="CJ21" s="39" t="str">
        <f>CCModuleCopy!$D$13</f>
        <v>NULL</v>
      </c>
      <c r="CK21" s="39" t="str">
        <f>CCModuleCopy!$E$13</f>
        <v xml:space="preserve">Expand the way you play, store and create and get up to 30% off monitors, up to 60% off memory cards, up to 35% off SSD and more. Work and game smarter, not harder with these must-have computing offers. </v>
      </c>
      <c r="CL21" s="39" t="str">
        <f>CCModuleCopy!$F$13</f>
        <v>Shop all</v>
      </c>
      <c r="CM21" s="39" t="str">
        <f>CCModuleCopy!$G$13</f>
        <v>https://www.samsung.com/us/shop/all-deals/tablets-laptops-computers-deals/</v>
      </c>
      <c r="CN21"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21" s="39" t="str">
        <f>CCModuleCopy!$I$13</f>
        <v>NULL</v>
      </c>
      <c r="CP21" s="39" t="str">
        <f>CCModuleCopy!$J$13</f>
        <v>NULL</v>
      </c>
      <c r="CQ21" s="39" t="str">
        <f>CCModuleCopy!$K$13</f>
        <v>NULL</v>
      </c>
      <c r="CR21" s="89" t="s">
        <v>279</v>
      </c>
      <c r="CS21" s="39" t="str">
        <f>CCModuleCopy!$B$9</f>
        <v>HA_HeadImage_Shop_HA_500xV.jpg</v>
      </c>
      <c r="CT21" s="39" t="str">
        <f>CCModuleCopy!$C$9</f>
        <v>Save up to 50% on everything you need to upgrade your home and home care</v>
      </c>
      <c r="CU21" s="39" t="str">
        <f>CCModuleCopy!$D$9</f>
        <v>NULL</v>
      </c>
      <c r="CV21"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1" s="39" t="str">
        <f>CCModuleCopy!$F$9</f>
        <v>Shop all</v>
      </c>
      <c r="CX21" s="39" t="str">
        <f>CCModuleCopy!$G$9</f>
        <v>https://www.samsung.com/us/shop/all-deals/home-appliance-and-smart-home-sales/</v>
      </c>
      <c r="CY21"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1" s="39" t="str">
        <f>CCModuleCopy!$I$9</f>
        <v>NULL</v>
      </c>
      <c r="DA21" s="39" t="str">
        <f>CCModuleCopy!$J$9</f>
        <v>NULL</v>
      </c>
      <c r="DB21" s="39" t="str">
        <f>CCModuleCopy!$K$9</f>
        <v>NULL</v>
      </c>
      <c r="DC21" s="89" t="s">
        <v>280</v>
      </c>
      <c r="DD21" s="39" t="str">
        <f>MiscBanners!$H$4</f>
        <v>Give-wonder-500xV.jpg</v>
      </c>
      <c r="DE21" s="39" t="str">
        <f>MiscBanners!$I$4</f>
        <v>The gift that keeps on giving</v>
      </c>
      <c r="DF21" s="39" t="str">
        <f>MiscBanners!$J$4</f>
        <v>NULL</v>
      </c>
      <c r="DG21" s="91" t="str">
        <f>MiscBanners!$K$4</f>
        <v>Discover even more exclusive offers on your favorite products and unlock the power of smart and savvy gifting.</v>
      </c>
      <c r="DH21" s="39" t="str">
        <f>MiscBanners!$L$4</f>
        <v>Shop now</v>
      </c>
      <c r="DI21" s="39" t="str">
        <f>MiscBanners!$M$4</f>
        <v>https://www.samsung.com/us/gift-ideas/</v>
      </c>
      <c r="DJ21"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1" s="39" t="str">
        <f>MiscBanners!$O$4</f>
        <v>NULL</v>
      </c>
      <c r="DL21" s="39" t="str">
        <f>MiscBanners!$P$4</f>
        <v>NULL</v>
      </c>
      <c r="DM21" s="39" t="str">
        <f>MiscBanners!$Q$4</f>
        <v>NULL</v>
      </c>
      <c r="DN21" s="89" t="s">
        <v>273</v>
      </c>
      <c r="DR21" s="91"/>
      <c r="DY21" s="89" t="s">
        <v>481</v>
      </c>
      <c r="DZ21" s="39" t="s">
        <v>394</v>
      </c>
      <c r="EA21" s="39" t="s">
        <v>394</v>
      </c>
      <c r="EB21" s="39" t="s">
        <v>394</v>
      </c>
      <c r="EC21" s="91" t="s">
        <v>482</v>
      </c>
      <c r="ED21" s="39" t="s">
        <v>394</v>
      </c>
      <c r="EE21" s="39" t="s">
        <v>476</v>
      </c>
      <c r="EF21" s="39">
        <v>0</v>
      </c>
      <c r="EG21" s="39" t="s">
        <v>394</v>
      </c>
      <c r="EH21" s="39" t="s">
        <v>394</v>
      </c>
      <c r="EI21" s="39" t="s">
        <v>394</v>
      </c>
      <c r="EJ21" s="89" t="s">
        <v>439</v>
      </c>
      <c r="EK21" s="39" t="s">
        <v>394</v>
      </c>
      <c r="EL21" s="39" t="s">
        <v>394</v>
      </c>
      <c r="EM21" s="39" t="s">
        <v>394</v>
      </c>
      <c r="EN21" s="91" t="s">
        <v>483</v>
      </c>
      <c r="EO21" s="39" t="s">
        <v>394</v>
      </c>
      <c r="EP21" s="39" t="s">
        <v>476</v>
      </c>
      <c r="EQ21" s="39">
        <v>0</v>
      </c>
      <c r="ER21" s="39" t="s">
        <v>394</v>
      </c>
      <c r="ES21" s="39" t="s">
        <v>394</v>
      </c>
      <c r="ET21" s="39" t="s">
        <v>394</v>
      </c>
      <c r="EU21" s="89" t="s">
        <v>441</v>
      </c>
      <c r="EV21" s="39" t="s">
        <v>394</v>
      </c>
      <c r="EW21" s="39" t="s">
        <v>394</v>
      </c>
      <c r="EX21" s="39" t="s">
        <v>394</v>
      </c>
      <c r="EY21" s="91" t="s">
        <v>484</v>
      </c>
      <c r="EZ21" s="39" t="s">
        <v>394</v>
      </c>
      <c r="FA21" s="39" t="s">
        <v>476</v>
      </c>
      <c r="FB21" s="39">
        <v>0</v>
      </c>
      <c r="FC21" s="39" t="s">
        <v>394</v>
      </c>
      <c r="FD21" s="39" t="s">
        <v>394</v>
      </c>
      <c r="FE21" s="39" t="s">
        <v>394</v>
      </c>
      <c r="FF21" s="89" t="s">
        <v>477</v>
      </c>
      <c r="FG21" s="39" t="s">
        <v>394</v>
      </c>
      <c r="FH21" s="39" t="s">
        <v>394</v>
      </c>
      <c r="FI21" s="39" t="s">
        <v>394</v>
      </c>
      <c r="FJ21" s="91" t="s">
        <v>485</v>
      </c>
      <c r="FK21" s="39" t="s">
        <v>394</v>
      </c>
      <c r="FL21" s="39">
        <v>0</v>
      </c>
      <c r="FM21" s="39">
        <v>0</v>
      </c>
      <c r="FN21" s="39" t="s">
        <v>394</v>
      </c>
      <c r="FO21" s="39" t="s">
        <v>394</v>
      </c>
      <c r="FP21" s="39" t="s">
        <v>394</v>
      </c>
    </row>
    <row r="22" spans="1:172" s="39" customFormat="1" ht="99.95" customHeight="1" x14ac:dyDescent="0.25">
      <c r="A22" s="39" t="s">
        <v>235</v>
      </c>
      <c r="B22" s="39" t="s">
        <v>361</v>
      </c>
      <c r="C22" s="39" t="s">
        <v>237</v>
      </c>
      <c r="D22" s="39" t="s">
        <v>237</v>
      </c>
      <c r="E22" s="39" t="s">
        <v>382</v>
      </c>
      <c r="G22" s="88" t="s">
        <v>540</v>
      </c>
      <c r="H22" s="88" t="s">
        <v>539</v>
      </c>
      <c r="I22" s="89" t="s">
        <v>381</v>
      </c>
      <c r="J22" s="39" t="str">
        <f>[1]MiscBanners!$G$4</f>
        <v>Cross-Category_Black_Friday_Week_01.jpg</v>
      </c>
      <c r="K22" s="92" t="s">
        <v>392</v>
      </c>
      <c r="L22" s="92" t="s">
        <v>393</v>
      </c>
      <c r="M22" s="39" t="s">
        <v>394</v>
      </c>
      <c r="N22" s="39" t="s">
        <v>394</v>
      </c>
      <c r="O22" s="39" t="str">
        <f>[1]MiscBanners!$B$4</f>
        <v>https://www.samsung.com/us/shop/all-deals/</v>
      </c>
      <c r="P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2" s="39" t="s">
        <v>394</v>
      </c>
      <c r="R22" s="39" t="s">
        <v>394</v>
      </c>
      <c r="S22" s="89" t="s">
        <v>407</v>
      </c>
      <c r="T22" s="39" t="str">
        <f>'Dynamic Banners'!$L$5</f>
        <v>Cyber-monday-2.png</v>
      </c>
      <c r="U22" s="39" t="str">
        <f>'Dynamic Banners'!$M$5</f>
        <v xml:space="preserve">Cyber Monday is over. But, Cyber Week is just beginning. </v>
      </c>
      <c r="V22" s="39" t="s">
        <v>394</v>
      </c>
      <c r="W22" s="39" t="str">
        <f>'Dynamic Banners'!$N$5</f>
        <v xml:space="preserve">Shop amazing offers on showstopping products while supplies last. </v>
      </c>
      <c r="X22" s="39" t="s">
        <v>394</v>
      </c>
      <c r="Y22" s="39" t="str">
        <f>[1]MiscBanners!$B$4</f>
        <v>https://www.samsung.com/us/shop/all-deals/</v>
      </c>
      <c r="Z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2" s="39" t="s">
        <v>394</v>
      </c>
      <c r="AB22" s="39" t="s">
        <v>394</v>
      </c>
      <c r="AC22" s="39" t="s">
        <v>394</v>
      </c>
      <c r="AD22" s="89" t="s">
        <v>408</v>
      </c>
      <c r="AE22" s="39" t="s">
        <v>394</v>
      </c>
      <c r="AF22" s="39" t="s">
        <v>394</v>
      </c>
      <c r="AG22" s="7" t="s">
        <v>559</v>
      </c>
      <c r="AH22" s="39" t="s">
        <v>561</v>
      </c>
      <c r="AI22" s="39" t="s">
        <v>394</v>
      </c>
      <c r="AJ22" s="39" t="str">
        <f>[1]MiscBanners!$B$4</f>
        <v>https://www.samsung.com/us/shop/all-deals/</v>
      </c>
      <c r="AK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2" s="39" t="s">
        <v>394</v>
      </c>
      <c r="AM22" s="39" t="s">
        <v>394</v>
      </c>
      <c r="AN22" s="39" t="s">
        <v>394</v>
      </c>
      <c r="AO22" s="89" t="s">
        <v>368</v>
      </c>
      <c r="AP22" s="39" t="str">
        <f>CCModuleCopy!$B$13</f>
        <v>CE_HeadImage_Computing_500xV.jpg</v>
      </c>
      <c r="AQ22" s="39" t="str">
        <f>CCModuleCopy!$C$13</f>
        <v>Get up to 60% off memory cards, SSD, monitors and more</v>
      </c>
      <c r="AR22" s="39" t="str">
        <f>CCModuleCopy!$D$13</f>
        <v>NULL</v>
      </c>
      <c r="AS22" s="39" t="str">
        <f>CCModuleCopy!$E$13</f>
        <v xml:space="preserve">Expand the way you play, store and create and get up to 30% off monitors, up to 60% off memory cards, up to 35% off SSD and more. Work and game smarter, not harder with these must-have computing offers. </v>
      </c>
      <c r="AT22" s="39" t="str">
        <f>CCModuleCopy!$F$13</f>
        <v>Shop all</v>
      </c>
      <c r="AU22" s="39" t="str">
        <f>CCModuleCopy!$G$13</f>
        <v>https://www.samsung.com/us/shop/all-deals/tablets-laptops-computers-deals/</v>
      </c>
      <c r="AV22"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W22" s="39" t="str">
        <f>CCModuleCopy!$I$13</f>
        <v>NULL</v>
      </c>
      <c r="AX22" s="39" t="str">
        <f>CCModuleCopy!$J$13</f>
        <v>NULL</v>
      </c>
      <c r="AY22" s="39" t="str">
        <f>CCModuleCopy!$K$13</f>
        <v>NULL</v>
      </c>
      <c r="AZ22" s="89" t="s">
        <v>267</v>
      </c>
      <c r="BA22" s="39" t="str">
        <f>CCModuleCopy!$B$3</f>
        <v>IM_HeadImage_Shop_Phones_500xV.jpg</v>
      </c>
      <c r="BB22" s="39" t="str">
        <f>CCModuleCopy!$C$3</f>
        <v>Save up to $1000 instantly on the latest and greatest Galaxy smartphones</v>
      </c>
      <c r="BC22" s="39" t="str">
        <f>CCModuleCopy!$D$3</f>
        <v>NULL</v>
      </c>
      <c r="BD22"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2" s="39" t="str">
        <f>CCModuleCopy!$F$3</f>
        <v>Shop all</v>
      </c>
      <c r="BF22" s="39" t="str">
        <f>CCModuleCopy!$G$3</f>
        <v>https://www.samsung.com/us/shop/all-deals/cell-phone-deals/</v>
      </c>
      <c r="BG22"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2" s="39" t="str">
        <f>CCModuleCopy!$I$3</f>
        <v>NULL</v>
      </c>
      <c r="BI22" s="39" t="str">
        <f>CCModuleCopy!$J$3</f>
        <v>NULL</v>
      </c>
      <c r="BJ22" s="39" t="str">
        <f>CCModuleCopy!$K$3</f>
        <v>NULL</v>
      </c>
      <c r="BK22" s="89" t="s">
        <v>265</v>
      </c>
      <c r="BL22" s="39" t="str">
        <f>CCModuleCopy!$B$7</f>
        <v>HE_HeadImage_Shop_TVs_500xV.jpg</v>
      </c>
      <c r="BM22" s="39" t="str">
        <f>CCModuleCopy!$C$7</f>
        <v>Get up to $3000 off select 8K, 4K and Lifestyle TVs</v>
      </c>
      <c r="BN22" s="39" t="str">
        <f>CCModuleCopy!$D$7</f>
        <v>NULL</v>
      </c>
      <c r="BO22"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2" s="39" t="str">
        <f>CCModuleCopy!$F$7</f>
        <v>Shop all</v>
      </c>
      <c r="BQ22" s="39" t="str">
        <f>CCModuleCopy!$G$7</f>
        <v>https://www.samsung.com/us/shop/all-deals/tv-and-home-theater-deals/</v>
      </c>
      <c r="BR22"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2" s="39" t="str">
        <f>CCModuleCopy!$I$7</f>
        <v>NULL</v>
      </c>
      <c r="BT22" s="39" t="str">
        <f>CCModuleCopy!$J$7</f>
        <v>NULL</v>
      </c>
      <c r="BU22" s="39" t="str">
        <f>CCModuleCopy!$K$7</f>
        <v>NULL</v>
      </c>
      <c r="BV22" s="89" t="s">
        <v>266</v>
      </c>
      <c r="BW22" s="39" t="str">
        <f>CCModuleCopy!$B$15</f>
        <v>Tablet-HeadImage-500xV.jpg</v>
      </c>
      <c r="BX22" s="39" t="str">
        <f>CCModuleCopy!$C$15</f>
        <v>Save up to $150 on select tablets</v>
      </c>
      <c r="BY22" s="39" t="str">
        <f>CCModuleCopy!$D$15</f>
        <v>NULL</v>
      </c>
      <c r="BZ22" s="39" t="str">
        <f>CCModuleCopy!$E$15</f>
        <v xml:space="preserve">Empower how you create, learn, game and more with our powerful line of tablets. Shop offers on must-have products from the new Galaxy Tab S7+ to the Galaxy Tab S6 Lite. </v>
      </c>
      <c r="CA22" s="39" t="str">
        <f>CCModuleCopy!$F$15</f>
        <v>Shop all</v>
      </c>
      <c r="CB22" s="39" t="str">
        <f>CCModuleCopy!$G$15</f>
        <v>https://www.samsung.com/us/shop/all-deals/tablets-laptops-computers-deals/</v>
      </c>
      <c r="CC22"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2" s="39" t="str">
        <f>CCModuleCopy!$I$15</f>
        <v>NULL</v>
      </c>
      <c r="CE22" s="39" t="str">
        <f>CCModuleCopy!$J$15</f>
        <v>NULL</v>
      </c>
      <c r="CF22" s="39" t="str">
        <f>CCModuleCopy!$K$15</f>
        <v>NULL</v>
      </c>
      <c r="CG22" s="89" t="s">
        <v>367</v>
      </c>
      <c r="CH22" s="39" t="str">
        <f>CCModuleCopy!$B$11</f>
        <v>ME_HeadImage_Wearables_500xV.jpg</v>
      </c>
      <c r="CI22" s="39" t="str">
        <f>CCModuleCopy!$C$11</f>
        <v>Get up to $100 off select watches and earbuds</v>
      </c>
      <c r="CJ22" s="39" t="str">
        <f>CCModuleCopy!$D$11</f>
        <v>NULL</v>
      </c>
      <c r="CK22"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2" s="39" t="str">
        <f>CCModuleCopy!$F$11</f>
        <v>Shop all</v>
      </c>
      <c r="CM22" s="39" t="str">
        <f>CCModuleCopy!$G$11</f>
        <v>https://www.samsung.com/us/shop/all-deals/watches-audio-accessories-deals/</v>
      </c>
      <c r="CN22"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22" s="39" t="str">
        <f>CCModuleCopy!$I$11</f>
        <v>NULL</v>
      </c>
      <c r="CP22" s="39" t="str">
        <f>CCModuleCopy!$J$11</f>
        <v>NULL</v>
      </c>
      <c r="CQ22" s="39" t="str">
        <f>CCModuleCopy!$K$11</f>
        <v>NULL</v>
      </c>
      <c r="CR22" s="89" t="s">
        <v>279</v>
      </c>
      <c r="CS22" s="39" t="str">
        <f>CCModuleCopy!$B$9</f>
        <v>HA_HeadImage_Shop_HA_500xV.jpg</v>
      </c>
      <c r="CT22" s="39" t="str">
        <f>CCModuleCopy!$C$9</f>
        <v>Save up to 50% on everything you need to upgrade your home and home care</v>
      </c>
      <c r="CU22" s="39" t="str">
        <f>CCModuleCopy!$D$9</f>
        <v>NULL</v>
      </c>
      <c r="CV22"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2" s="39" t="str">
        <f>CCModuleCopy!$F$9</f>
        <v>Shop all</v>
      </c>
      <c r="CX22" s="39" t="str">
        <f>CCModuleCopy!$G$9</f>
        <v>https://www.samsung.com/us/shop/all-deals/home-appliance-and-smart-home-sales/</v>
      </c>
      <c r="CY22"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2" s="39" t="str">
        <f>CCModuleCopy!$I$9</f>
        <v>NULL</v>
      </c>
      <c r="DA22" s="39" t="str">
        <f>CCModuleCopy!$J$9</f>
        <v>NULL</v>
      </c>
      <c r="DB22" s="39" t="str">
        <f>CCModuleCopy!$K$9</f>
        <v>NULL</v>
      </c>
      <c r="DC22" s="89" t="s">
        <v>280</v>
      </c>
      <c r="DD22" s="39" t="str">
        <f>MiscBanners!$H$4</f>
        <v>Give-wonder-500xV.jpg</v>
      </c>
      <c r="DE22" s="39" t="str">
        <f>MiscBanners!$I$4</f>
        <v>The gift that keeps on giving</v>
      </c>
      <c r="DF22" s="39" t="str">
        <f>MiscBanners!$J$4</f>
        <v>NULL</v>
      </c>
      <c r="DG22" s="91" t="str">
        <f>MiscBanners!$K$4</f>
        <v>Discover even more exclusive offers on your favorite products and unlock the power of smart and savvy gifting.</v>
      </c>
      <c r="DH22" s="39" t="str">
        <f>MiscBanners!$L$4</f>
        <v>Shop now</v>
      </c>
      <c r="DI22" s="39" t="str">
        <f>MiscBanners!$M$4</f>
        <v>https://www.samsung.com/us/gift-ideas/</v>
      </c>
      <c r="DJ22"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2" s="39" t="str">
        <f>MiscBanners!$O$4</f>
        <v>NULL</v>
      </c>
      <c r="DL22" s="39" t="str">
        <f>MiscBanners!$P$4</f>
        <v>NULL</v>
      </c>
      <c r="DM22" s="39" t="str">
        <f>MiscBanners!$Q$4</f>
        <v>NULL</v>
      </c>
      <c r="DN22" s="89" t="s">
        <v>273</v>
      </c>
      <c r="DR22" s="91"/>
      <c r="DY22" s="89" t="s">
        <v>481</v>
      </c>
      <c r="DZ22" s="39" t="s">
        <v>394</v>
      </c>
      <c r="EA22" s="39" t="s">
        <v>394</v>
      </c>
      <c r="EB22" s="39" t="s">
        <v>394</v>
      </c>
      <c r="EC22" s="91" t="s">
        <v>482</v>
      </c>
      <c r="ED22" s="39" t="s">
        <v>394</v>
      </c>
      <c r="EE22" s="39" t="s">
        <v>476</v>
      </c>
      <c r="EF22" s="39">
        <v>0</v>
      </c>
      <c r="EG22" s="39" t="s">
        <v>394</v>
      </c>
      <c r="EH22" s="39" t="s">
        <v>394</v>
      </c>
      <c r="EI22" s="39" t="s">
        <v>394</v>
      </c>
      <c r="EJ22" s="89" t="s">
        <v>439</v>
      </c>
      <c r="EK22" s="39" t="s">
        <v>394</v>
      </c>
      <c r="EL22" s="39" t="s">
        <v>394</v>
      </c>
      <c r="EM22" s="39" t="s">
        <v>394</v>
      </c>
      <c r="EN22" s="91" t="s">
        <v>483</v>
      </c>
      <c r="EO22" s="39" t="s">
        <v>394</v>
      </c>
      <c r="EP22" s="39" t="s">
        <v>476</v>
      </c>
      <c r="EQ22" s="39">
        <v>0</v>
      </c>
      <c r="ER22" s="39" t="s">
        <v>394</v>
      </c>
      <c r="ES22" s="39" t="s">
        <v>394</v>
      </c>
      <c r="ET22" s="39" t="s">
        <v>394</v>
      </c>
      <c r="EU22" s="89" t="s">
        <v>441</v>
      </c>
      <c r="EV22" s="39" t="s">
        <v>394</v>
      </c>
      <c r="EW22" s="39" t="s">
        <v>394</v>
      </c>
      <c r="EX22" s="39" t="s">
        <v>394</v>
      </c>
      <c r="EY22" s="91" t="s">
        <v>484</v>
      </c>
      <c r="EZ22" s="39" t="s">
        <v>394</v>
      </c>
      <c r="FA22" s="39" t="s">
        <v>476</v>
      </c>
      <c r="FB22" s="39">
        <v>0</v>
      </c>
      <c r="FC22" s="39" t="s">
        <v>394</v>
      </c>
      <c r="FD22" s="39" t="s">
        <v>394</v>
      </c>
      <c r="FE22" s="39" t="s">
        <v>394</v>
      </c>
      <c r="FF22" s="89" t="s">
        <v>477</v>
      </c>
      <c r="FG22" s="39" t="s">
        <v>394</v>
      </c>
      <c r="FH22" s="39" t="s">
        <v>394</v>
      </c>
      <c r="FI22" s="39" t="s">
        <v>394</v>
      </c>
      <c r="FJ22" s="91" t="s">
        <v>485</v>
      </c>
      <c r="FK22" s="39" t="s">
        <v>394</v>
      </c>
      <c r="FL22" s="39">
        <v>0</v>
      </c>
      <c r="FM22" s="39">
        <v>0</v>
      </c>
      <c r="FN22" s="39" t="s">
        <v>394</v>
      </c>
      <c r="FO22" s="39" t="s">
        <v>394</v>
      </c>
      <c r="FP22" s="39" t="s">
        <v>394</v>
      </c>
    </row>
    <row r="23" spans="1:172" s="39" customFormat="1" ht="99.95" customHeight="1" x14ac:dyDescent="0.25">
      <c r="A23" s="39" t="s">
        <v>235</v>
      </c>
      <c r="B23" s="39" t="s">
        <v>369</v>
      </c>
      <c r="C23" s="39" t="s">
        <v>237</v>
      </c>
      <c r="D23" s="39" t="s">
        <v>237</v>
      </c>
      <c r="E23" s="39" t="s">
        <v>382</v>
      </c>
      <c r="G23" s="88" t="s">
        <v>540</v>
      </c>
      <c r="H23" s="88" t="s">
        <v>539</v>
      </c>
      <c r="I23" s="89" t="s">
        <v>381</v>
      </c>
      <c r="J23" s="39" t="str">
        <f>[1]MiscBanners!$G$4</f>
        <v>Cross-Category_Black_Friday_Week_01.jpg</v>
      </c>
      <c r="K23" s="92" t="s">
        <v>392</v>
      </c>
      <c r="L23" s="92" t="s">
        <v>393</v>
      </c>
      <c r="M23" s="39" t="s">
        <v>394</v>
      </c>
      <c r="N23" s="39" t="s">
        <v>394</v>
      </c>
      <c r="O23" s="39" t="str">
        <f>[1]MiscBanners!$B$4</f>
        <v>https://www.samsung.com/us/shop/all-deals/</v>
      </c>
      <c r="P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3" s="39" t="s">
        <v>394</v>
      </c>
      <c r="R23" s="39" t="s">
        <v>394</v>
      </c>
      <c r="S23" s="89" t="s">
        <v>407</v>
      </c>
      <c r="T23" s="39" t="str">
        <f>'Dynamic Banners'!$L$5</f>
        <v>Cyber-monday-2.png</v>
      </c>
      <c r="U23" s="39" t="str">
        <f>'Dynamic Banners'!$M$5</f>
        <v xml:space="preserve">Cyber Monday is over. But, Cyber Week is just beginning. </v>
      </c>
      <c r="V23" s="39" t="s">
        <v>394</v>
      </c>
      <c r="W23" s="39" t="str">
        <f>'Dynamic Banners'!$N$5</f>
        <v xml:space="preserve">Shop amazing offers on showstopping products while supplies last. </v>
      </c>
      <c r="X23" s="39" t="s">
        <v>394</v>
      </c>
      <c r="Y23" s="39" t="str">
        <f>[1]MiscBanners!$B$4</f>
        <v>https://www.samsung.com/us/shop/all-deals/</v>
      </c>
      <c r="Z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3" s="39" t="s">
        <v>394</v>
      </c>
      <c r="AB23" s="39" t="s">
        <v>394</v>
      </c>
      <c r="AC23" s="39" t="s">
        <v>394</v>
      </c>
      <c r="AD23" s="89" t="s">
        <v>408</v>
      </c>
      <c r="AE23" s="39" t="s">
        <v>394</v>
      </c>
      <c r="AF23" s="39" t="s">
        <v>394</v>
      </c>
      <c r="AG23" s="7" t="s">
        <v>559</v>
      </c>
      <c r="AH23" s="39" t="s">
        <v>561</v>
      </c>
      <c r="AI23" s="39" t="s">
        <v>394</v>
      </c>
      <c r="AJ23" s="39" t="str">
        <f>[1]MiscBanners!$B$4</f>
        <v>https://www.samsung.com/us/shop/all-deals/</v>
      </c>
      <c r="AK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3" s="39" t="s">
        <v>394</v>
      </c>
      <c r="AM23" s="39" t="s">
        <v>394</v>
      </c>
      <c r="AN23" s="39" t="s">
        <v>394</v>
      </c>
      <c r="AO23" s="89" t="s">
        <v>279</v>
      </c>
      <c r="AP23" s="39" t="str">
        <f>CCModuleCopy!$B$9</f>
        <v>HA_HeadImage_Shop_HA_500xV.jpg</v>
      </c>
      <c r="AQ23" s="39" t="str">
        <f>CCModuleCopy!$C$9</f>
        <v>Save up to 50% on everything you need to upgrade your home and home care</v>
      </c>
      <c r="AR23" s="39" t="str">
        <f>CCModuleCopy!$D$9</f>
        <v>NULL</v>
      </c>
      <c r="AS23"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23" s="39" t="str">
        <f>CCModuleCopy!$F$9</f>
        <v>Shop all</v>
      </c>
      <c r="AU23" s="39" t="str">
        <f>CCModuleCopy!$G$9</f>
        <v>https://www.samsung.com/us/shop/all-deals/home-appliance-and-smart-home-sales/</v>
      </c>
      <c r="AV23"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AW23" s="39" t="str">
        <f>CCModuleCopy!$I$9</f>
        <v>NULL</v>
      </c>
      <c r="AX23" s="39" t="str">
        <f>CCModuleCopy!$J$9</f>
        <v>NULL</v>
      </c>
      <c r="AY23" s="39" t="str">
        <f>CCModuleCopy!$K$9</f>
        <v>NULL</v>
      </c>
      <c r="AZ23" s="89" t="s">
        <v>267</v>
      </c>
      <c r="BA23" s="39" t="str">
        <f>CCModuleCopy!$B$3</f>
        <v>IM_HeadImage_Shop_Phones_500xV.jpg</v>
      </c>
      <c r="BB23" s="39" t="str">
        <f>CCModuleCopy!$C$3</f>
        <v>Save up to $1000 instantly on the latest and greatest Galaxy smartphones</v>
      </c>
      <c r="BC23" s="39" t="str">
        <f>CCModuleCopy!$D$3</f>
        <v>NULL</v>
      </c>
      <c r="BD23"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3" s="39" t="str">
        <f>CCModuleCopy!$F$3</f>
        <v>Shop all</v>
      </c>
      <c r="BF23" s="39" t="str">
        <f>CCModuleCopy!$G$3</f>
        <v>https://www.samsung.com/us/shop/all-deals/cell-phone-deals/</v>
      </c>
      <c r="BG23"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3" s="39" t="str">
        <f>CCModuleCopy!$I$3</f>
        <v>NULL</v>
      </c>
      <c r="BI23" s="39" t="str">
        <f>CCModuleCopy!$J$3</f>
        <v>NULL</v>
      </c>
      <c r="BJ23" s="39" t="str">
        <f>CCModuleCopy!$K$3</f>
        <v>NULL</v>
      </c>
      <c r="BK23" s="89" t="s">
        <v>265</v>
      </c>
      <c r="BL23" s="39" t="str">
        <f>CCModuleCopy!$B$7</f>
        <v>HE_HeadImage_Shop_TVs_500xV.jpg</v>
      </c>
      <c r="BM23" s="39" t="str">
        <f>CCModuleCopy!$C$7</f>
        <v>Get up to $3000 off select 8K, 4K and Lifestyle TVs</v>
      </c>
      <c r="BN23" s="39" t="str">
        <f>CCModuleCopy!$D$7</f>
        <v>NULL</v>
      </c>
      <c r="BO23"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3" s="39" t="str">
        <f>CCModuleCopy!$F$7</f>
        <v>Shop all</v>
      </c>
      <c r="BQ23" s="39" t="str">
        <f>CCModuleCopy!$G$7</f>
        <v>https://www.samsung.com/us/shop/all-deals/tv-and-home-theater-deals/</v>
      </c>
      <c r="BR23"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3" s="39" t="str">
        <f>CCModuleCopy!$I$7</f>
        <v>NULL</v>
      </c>
      <c r="BT23" s="39" t="str">
        <f>CCModuleCopy!$J$7</f>
        <v>NULL</v>
      </c>
      <c r="BU23" s="39" t="str">
        <f>CCModuleCopy!$K$7</f>
        <v>NULL</v>
      </c>
      <c r="BV23" s="89" t="s">
        <v>266</v>
      </c>
      <c r="BW23" s="39" t="str">
        <f>CCModuleCopy!$B$15</f>
        <v>Tablet-HeadImage-500xV.jpg</v>
      </c>
      <c r="BX23" s="39" t="str">
        <f>CCModuleCopy!$C$15</f>
        <v>Save up to $150 on select tablets</v>
      </c>
      <c r="BY23" s="39" t="str">
        <f>CCModuleCopy!$D$15</f>
        <v>NULL</v>
      </c>
      <c r="BZ23" s="39" t="str">
        <f>CCModuleCopy!$E$15</f>
        <v xml:space="preserve">Empower how you create, learn, game and more with our powerful line of tablets. Shop offers on must-have products from the new Galaxy Tab S7+ to the Galaxy Tab S6 Lite. </v>
      </c>
      <c r="CA23" s="39" t="str">
        <f>CCModuleCopy!$F$15</f>
        <v>Shop all</v>
      </c>
      <c r="CB23" s="39" t="str">
        <f>CCModuleCopy!$G$15</f>
        <v>https://www.samsung.com/us/shop/all-deals/tablets-laptops-computers-deals/</v>
      </c>
      <c r="CC23"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3" s="39" t="str">
        <f>CCModuleCopy!$I$15</f>
        <v>NULL</v>
      </c>
      <c r="CE23" s="39" t="str">
        <f>CCModuleCopy!$J$15</f>
        <v>NULL</v>
      </c>
      <c r="CF23" s="39" t="str">
        <f>CCModuleCopy!$K$15</f>
        <v>NULL</v>
      </c>
      <c r="CG23" s="89" t="s">
        <v>367</v>
      </c>
      <c r="CH23" s="39" t="str">
        <f>CCModuleCopy!$B$11</f>
        <v>ME_HeadImage_Wearables_500xV.jpg</v>
      </c>
      <c r="CI23" s="39" t="str">
        <f>CCModuleCopy!$C$11</f>
        <v>Get up to $100 off select watches and earbuds</v>
      </c>
      <c r="CJ23" s="39" t="str">
        <f>CCModuleCopy!$D$11</f>
        <v>NULL</v>
      </c>
      <c r="CK23"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3" s="39" t="str">
        <f>CCModuleCopy!$F$11</f>
        <v>Shop all</v>
      </c>
      <c r="CM23" s="39" t="str">
        <f>CCModuleCopy!$G$11</f>
        <v>https://www.samsung.com/us/shop/all-deals/watches-audio-accessories-deals/</v>
      </c>
      <c r="CN23"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23" s="39" t="str">
        <f>CCModuleCopy!$I$11</f>
        <v>NULL</v>
      </c>
      <c r="CP23" s="39" t="str">
        <f>CCModuleCopy!$J$11</f>
        <v>NULL</v>
      </c>
      <c r="CQ23" s="39" t="str">
        <f>CCModuleCopy!$K$11</f>
        <v>NULL</v>
      </c>
      <c r="CR23" s="89" t="s">
        <v>368</v>
      </c>
      <c r="CS23" s="39" t="str">
        <f>CCModuleCopy!$B$13</f>
        <v>CE_HeadImage_Computing_500xV.jpg</v>
      </c>
      <c r="CT23" s="39" t="str">
        <f>CCModuleCopy!$C$13</f>
        <v>Get up to 60% off memory cards, SSD, monitors and more</v>
      </c>
      <c r="CU23" s="39" t="str">
        <f>CCModuleCopy!$D$13</f>
        <v>NULL</v>
      </c>
      <c r="CV23" s="39" t="str">
        <f>CCModuleCopy!$E$13</f>
        <v xml:space="preserve">Expand the way you play, store and create and get up to 30% off monitors, up to 60% off memory cards, up to 35% off SSD and more. Work and game smarter, not harder with these must-have computing offers. </v>
      </c>
      <c r="CW23" s="39" t="str">
        <f>CCModuleCopy!$F$13</f>
        <v>Shop all</v>
      </c>
      <c r="CX23" s="39" t="str">
        <f>CCModuleCopy!$G$13</f>
        <v>https://www.samsung.com/us/shop/all-deals/tablets-laptops-computers-deals/</v>
      </c>
      <c r="CY23"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Z23" s="39" t="str">
        <f>CCModuleCopy!$I$13</f>
        <v>NULL</v>
      </c>
      <c r="DA23" s="39" t="str">
        <f>CCModuleCopy!$J$13</f>
        <v>NULL</v>
      </c>
      <c r="DB23" s="39" t="str">
        <f>CCModuleCopy!$K$13</f>
        <v>NULL</v>
      </c>
      <c r="DC23" s="89" t="s">
        <v>280</v>
      </c>
      <c r="DD23" s="39" t="str">
        <f>MiscBanners!$H$4</f>
        <v>Give-wonder-500xV.jpg</v>
      </c>
      <c r="DE23" s="39" t="str">
        <f>MiscBanners!$I$4</f>
        <v>The gift that keeps on giving</v>
      </c>
      <c r="DF23" s="39" t="str">
        <f>MiscBanners!$J$4</f>
        <v>NULL</v>
      </c>
      <c r="DG23" s="91" t="str">
        <f>MiscBanners!$K$4</f>
        <v>Discover even more exclusive offers on your favorite products and unlock the power of smart and savvy gifting.</v>
      </c>
      <c r="DH23" s="39" t="str">
        <f>MiscBanners!$L$4</f>
        <v>Shop now</v>
      </c>
      <c r="DI23" s="39" t="str">
        <f>MiscBanners!$M$4</f>
        <v>https://www.samsung.com/us/gift-ideas/</v>
      </c>
      <c r="DJ23"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3" s="39" t="str">
        <f>MiscBanners!$O$4</f>
        <v>NULL</v>
      </c>
      <c r="DL23" s="39" t="str">
        <f>MiscBanners!$P$4</f>
        <v>NULL</v>
      </c>
      <c r="DM23" s="39" t="str">
        <f>MiscBanners!$Q$4</f>
        <v>NULL</v>
      </c>
      <c r="DN23" s="89" t="s">
        <v>273</v>
      </c>
      <c r="DR23" s="91"/>
      <c r="DY23" s="89" t="s">
        <v>481</v>
      </c>
      <c r="DZ23" s="39" t="s">
        <v>394</v>
      </c>
      <c r="EA23" s="39" t="s">
        <v>394</v>
      </c>
      <c r="EB23" s="39" t="s">
        <v>394</v>
      </c>
      <c r="EC23" s="91" t="s">
        <v>482</v>
      </c>
      <c r="ED23" s="39" t="s">
        <v>394</v>
      </c>
      <c r="EE23" s="39" t="s">
        <v>476</v>
      </c>
      <c r="EF23" s="39">
        <v>0</v>
      </c>
      <c r="EG23" s="39" t="s">
        <v>394</v>
      </c>
      <c r="EH23" s="39" t="s">
        <v>394</v>
      </c>
      <c r="EI23" s="39" t="s">
        <v>394</v>
      </c>
      <c r="EJ23" s="89" t="s">
        <v>439</v>
      </c>
      <c r="EK23" s="39" t="s">
        <v>394</v>
      </c>
      <c r="EL23" s="39" t="s">
        <v>394</v>
      </c>
      <c r="EM23" s="39" t="s">
        <v>394</v>
      </c>
      <c r="EN23" s="91" t="s">
        <v>483</v>
      </c>
      <c r="EO23" s="39" t="s">
        <v>394</v>
      </c>
      <c r="EP23" s="39" t="s">
        <v>476</v>
      </c>
      <c r="EQ23" s="39">
        <v>0</v>
      </c>
      <c r="ER23" s="39" t="s">
        <v>394</v>
      </c>
      <c r="ES23" s="39" t="s">
        <v>394</v>
      </c>
      <c r="ET23" s="39" t="s">
        <v>394</v>
      </c>
      <c r="EU23" s="89" t="s">
        <v>441</v>
      </c>
      <c r="EV23" s="39" t="s">
        <v>394</v>
      </c>
      <c r="EW23" s="39" t="s">
        <v>394</v>
      </c>
      <c r="EX23" s="39" t="s">
        <v>394</v>
      </c>
      <c r="EY23" s="91" t="s">
        <v>484</v>
      </c>
      <c r="EZ23" s="39" t="s">
        <v>394</v>
      </c>
      <c r="FA23" s="39" t="s">
        <v>476</v>
      </c>
      <c r="FB23" s="39">
        <v>0</v>
      </c>
      <c r="FC23" s="39" t="s">
        <v>394</v>
      </c>
      <c r="FD23" s="39" t="s">
        <v>394</v>
      </c>
      <c r="FE23" s="39" t="s">
        <v>394</v>
      </c>
      <c r="FF23" s="89" t="s">
        <v>477</v>
      </c>
      <c r="FG23" s="39" t="s">
        <v>394</v>
      </c>
      <c r="FH23" s="39" t="s">
        <v>394</v>
      </c>
      <c r="FI23" s="39" t="s">
        <v>394</v>
      </c>
      <c r="FJ23" s="91" t="s">
        <v>485</v>
      </c>
      <c r="FK23" s="39" t="s">
        <v>394</v>
      </c>
      <c r="FL23" s="39">
        <v>0</v>
      </c>
      <c r="FM23" s="39">
        <v>0</v>
      </c>
      <c r="FN23" s="39" t="s">
        <v>394</v>
      </c>
      <c r="FO23" s="39" t="s">
        <v>394</v>
      </c>
      <c r="FP23" s="39" t="s">
        <v>394</v>
      </c>
    </row>
    <row r="24" spans="1:172" s="39" customFormat="1" ht="99.95" customHeight="1" x14ac:dyDescent="0.25">
      <c r="A24" s="39" t="s">
        <v>235</v>
      </c>
      <c r="B24" s="39" t="s">
        <v>236</v>
      </c>
      <c r="C24" s="39" t="s">
        <v>237</v>
      </c>
      <c r="D24" s="39" t="s">
        <v>237</v>
      </c>
      <c r="E24" s="39" t="s">
        <v>383</v>
      </c>
      <c r="G24" s="88" t="s">
        <v>540</v>
      </c>
      <c r="H24" s="88" t="s">
        <v>539</v>
      </c>
      <c r="I24" s="89" t="s">
        <v>381</v>
      </c>
      <c r="J24" s="39" t="str">
        <f>[1]MiscBanners!$G$4</f>
        <v>Cross-Category_Black_Friday_Week_01.jpg</v>
      </c>
      <c r="K24" s="92" t="s">
        <v>392</v>
      </c>
      <c r="L24" s="92" t="s">
        <v>393</v>
      </c>
      <c r="M24" s="39" t="s">
        <v>394</v>
      </c>
      <c r="N24" s="39" t="s">
        <v>394</v>
      </c>
      <c r="O24" s="39" t="str">
        <f>[1]MiscBanners!$B$4</f>
        <v>https://www.samsung.com/us/shop/all-deals/</v>
      </c>
      <c r="P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4" s="39" t="s">
        <v>394</v>
      </c>
      <c r="R24" s="39" t="s">
        <v>394</v>
      </c>
      <c r="S24" s="89" t="s">
        <v>407</v>
      </c>
      <c r="T24" s="39" t="str">
        <f>'Dynamic Banners'!$L$5</f>
        <v>Cyber-monday-2.png</v>
      </c>
      <c r="U24" s="39" t="str">
        <f>'Dynamic Banners'!$M$5</f>
        <v xml:space="preserve">Cyber Monday is over. But, Cyber Week is just beginning. </v>
      </c>
      <c r="V24" s="39" t="s">
        <v>394</v>
      </c>
      <c r="W24" s="39" t="str">
        <f>'Dynamic Banners'!$N$5</f>
        <v xml:space="preserve">Shop amazing offers on showstopping products while supplies last. </v>
      </c>
      <c r="X24" s="39" t="s">
        <v>394</v>
      </c>
      <c r="Y24" s="39" t="str">
        <f>[1]MiscBanners!$B$4</f>
        <v>https://www.samsung.com/us/shop/all-deals/</v>
      </c>
      <c r="Z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4" s="39" t="s">
        <v>394</v>
      </c>
      <c r="AB24" s="39" t="s">
        <v>394</v>
      </c>
      <c r="AC24" s="39" t="s">
        <v>394</v>
      </c>
      <c r="AD24" s="89" t="s">
        <v>408</v>
      </c>
      <c r="AE24" s="39" t="s">
        <v>394</v>
      </c>
      <c r="AF24" s="39" t="s">
        <v>394</v>
      </c>
      <c r="AG24" s="7" t="s">
        <v>559</v>
      </c>
      <c r="AH24" s="39" t="s">
        <v>562</v>
      </c>
      <c r="AI24" s="39" t="s">
        <v>394</v>
      </c>
      <c r="AJ24" s="39" t="str">
        <f>[1]MiscBanners!$B$4</f>
        <v>https://www.samsung.com/us/shop/all-deals/</v>
      </c>
      <c r="AK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4" s="39" t="s">
        <v>394</v>
      </c>
      <c r="AM24" s="39" t="s">
        <v>394</v>
      </c>
      <c r="AN24" s="39" t="s">
        <v>394</v>
      </c>
      <c r="AO24" s="89" t="s">
        <v>371</v>
      </c>
      <c r="AP24" s="39" t="str">
        <f>CCModuleCopy!$B$5</f>
        <v>IM_HeadImage_Shop_Phones_500xV.jpg</v>
      </c>
      <c r="AQ24" s="39" t="str">
        <f>CCModuleCopy!$C$5</f>
        <v>Save up to $1000 instantly on the latest and greatest Galaxy smartphones</v>
      </c>
      <c r="AR24" s="39" t="str">
        <f>CCModuleCopy!$D$5</f>
        <v>NULL</v>
      </c>
      <c r="AS24"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AT24" s="39" t="str">
        <f>CCModuleCopy!$L$5</f>
        <v>Shop all</v>
      </c>
      <c r="AU24" s="39" t="str">
        <f>CCModuleCopy!$M$5</f>
        <v>https://www.samsung.com/us/shop/all-deals/cell-phone-deals/</v>
      </c>
      <c r="AV24"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W24" s="39" t="str">
        <f>CCModuleCopy!$O$5</f>
        <v>NULL</v>
      </c>
      <c r="AX24" s="39" t="str">
        <f>CCModuleCopy!$P$5</f>
        <v>NULL</v>
      </c>
      <c r="AY24" s="39" t="str">
        <f>CCModuleCopy!$Q$5</f>
        <v>NULL</v>
      </c>
      <c r="AZ24" s="89" t="s">
        <v>265</v>
      </c>
      <c r="BA24" s="39" t="str">
        <f>CCModuleCopy!$B$7</f>
        <v>HE_HeadImage_Shop_TVs_500xV.jpg</v>
      </c>
      <c r="BB24" s="39" t="str">
        <f>CCModuleCopy!$C$7</f>
        <v>Get up to $3000 off select 8K, 4K and Lifestyle TVs</v>
      </c>
      <c r="BC24" s="39" t="str">
        <f>CCModuleCopy!$D$7</f>
        <v>NULL</v>
      </c>
      <c r="BD24"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24" s="39" t="str">
        <f>CCModuleCopy!$L$7</f>
        <v>Shop all</v>
      </c>
      <c r="BF24" s="39" t="str">
        <f>CCModuleCopy!$M$7</f>
        <v>https://www.samsung.com/us/shop/all-deals/tv-and-home-theater-deals/</v>
      </c>
      <c r="BG24"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H24" s="39" t="str">
        <f>CCModuleCopy!$O$7</f>
        <v>NULL</v>
      </c>
      <c r="BI24" s="39" t="str">
        <f>CCModuleCopy!$P$7</f>
        <v>NULL</v>
      </c>
      <c r="BJ24" s="39" t="str">
        <f>CCModuleCopy!$Q$7</f>
        <v>NULL</v>
      </c>
      <c r="BK24" s="89" t="s">
        <v>266</v>
      </c>
      <c r="BL24" s="39" t="str">
        <f>CCModuleCopy!$B$15</f>
        <v>Tablet-HeadImage-500xV.jpg</v>
      </c>
      <c r="BM24" s="39" t="str">
        <f>CCModuleCopy!$C$15</f>
        <v>Save up to $150 on select tablets</v>
      </c>
      <c r="BN24" s="39" t="str">
        <f>CCModuleCopy!$D$15</f>
        <v>NULL</v>
      </c>
      <c r="BO24" s="39" t="str">
        <f>CCModuleCopy!$E$15</f>
        <v xml:space="preserve">Empower how you create, learn, game and more with our powerful line of tablets. Shop offers on must-have products from the new Galaxy Tab S7+ to the Galaxy Tab S6 Lite. </v>
      </c>
      <c r="BP24" s="39" t="str">
        <f>CCModuleCopy!$L$15</f>
        <v>Shop all</v>
      </c>
      <c r="BQ24" s="39" t="str">
        <f>CCModuleCopy!$M$15</f>
        <v>https://www.samsung.com/us/shop/all-deals/tablets-laptops-computers-deals/</v>
      </c>
      <c r="BR24"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24" s="39" t="str">
        <f>CCModuleCopy!$O$15</f>
        <v>NULL</v>
      </c>
      <c r="BT24" s="39" t="str">
        <f>CCModuleCopy!$P$15</f>
        <v>NULL</v>
      </c>
      <c r="BU24" s="39" t="str">
        <f>CCModuleCopy!$Q$15</f>
        <v>NULL</v>
      </c>
      <c r="BV24" s="89" t="s">
        <v>367</v>
      </c>
      <c r="BW24" s="39" t="str">
        <f>CCModuleCopy!$B$11</f>
        <v>ME_HeadImage_Wearables_500xV.jpg</v>
      </c>
      <c r="BX24" s="39" t="str">
        <f>CCModuleCopy!$C$11</f>
        <v>Get up to $100 off select watches and earbuds</v>
      </c>
      <c r="BY24" s="39" t="str">
        <f>CCModuleCopy!$D$11</f>
        <v>NULL</v>
      </c>
      <c r="BZ24"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4" s="39" t="str">
        <f>CCModuleCopy!$L$11</f>
        <v>Shop all</v>
      </c>
      <c r="CB24" s="39" t="str">
        <f>CCModuleCopy!$M$11</f>
        <v>https://www.samsung.com/us/shop/all-deals/tablets-wearables-cell-phone-accessories-deals/</v>
      </c>
      <c r="CC24"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4" s="39" t="str">
        <f>CCModuleCopy!$O$11</f>
        <v>NULL</v>
      </c>
      <c r="CE24" s="39" t="str">
        <f>CCModuleCopy!$P$11</f>
        <v>NULL</v>
      </c>
      <c r="CF24" s="39" t="str">
        <f>CCModuleCopy!$Q$11</f>
        <v>NULL</v>
      </c>
      <c r="CG24" s="89" t="s">
        <v>368</v>
      </c>
      <c r="CH24" s="39" t="str">
        <f>CCModuleCopy!$B$13</f>
        <v>CE_HeadImage_Computing_500xV.jpg</v>
      </c>
      <c r="CI24" s="39" t="str">
        <f>CCModuleCopy!$C$13</f>
        <v>Get up to 60% off memory cards, SSD, monitors and more</v>
      </c>
      <c r="CJ24" s="39" t="str">
        <f>CCModuleCopy!$D$13</f>
        <v>NULL</v>
      </c>
      <c r="CK24" s="39" t="str">
        <f>CCModuleCopy!$E$13</f>
        <v xml:space="preserve">Expand the way you play, store and create and get up to 30% off monitors, up to 60% off memory cards, up to 35% off SSD and more. Work and game smarter, not harder with these must-have computing offers. </v>
      </c>
      <c r="CL24" s="39" t="str">
        <f>CCModuleCopy!$L$13</f>
        <v>Shop all</v>
      </c>
      <c r="CM24" s="39" t="str">
        <f>CCModuleCopy!$M$13</f>
        <v>https://www.samsung.com/us/shop/all-deals/laptop-and-computer-deals/</v>
      </c>
      <c r="CN24"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4" s="39" t="str">
        <f>CCModuleCopy!$O$13</f>
        <v>NULL</v>
      </c>
      <c r="CP24" s="39" t="str">
        <f>CCModuleCopy!$P$13</f>
        <v>NULL</v>
      </c>
      <c r="CQ24" s="39" t="str">
        <f>CCModuleCopy!$Q$13</f>
        <v>NULL</v>
      </c>
      <c r="CR24" s="89" t="s">
        <v>279</v>
      </c>
      <c r="CS24" s="39" t="str">
        <f>CCModuleCopy!$B$9</f>
        <v>HA_HeadImage_Shop_HA_500xV.jpg</v>
      </c>
      <c r="CT24" s="39" t="str">
        <f>CCModuleCopy!$C$9</f>
        <v>Save up to 50% on everything you need to upgrade your home and home care</v>
      </c>
      <c r="CU24" s="39" t="str">
        <f>CCModuleCopy!$D$9</f>
        <v>NULL</v>
      </c>
      <c r="CV24"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4" s="39" t="str">
        <f>CCModuleCopy!$L$9</f>
        <v>Shop all</v>
      </c>
      <c r="CX24" s="39" t="str">
        <f>CCModuleCopy!$M$9</f>
        <v>https://www.samsung.com/us/shop/all-deals/home-appliance-and-smart-home-sales/</v>
      </c>
      <c r="CY24"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4" s="39" t="str">
        <f>CCModuleCopy!$O$9</f>
        <v>NULL</v>
      </c>
      <c r="DA24" s="39" t="str">
        <f>CCModuleCopy!$P$9</f>
        <v>NULL</v>
      </c>
      <c r="DB24" s="39" t="str">
        <f>CCModuleCopy!$Q$9</f>
        <v>NULL</v>
      </c>
      <c r="DC24" s="89" t="s">
        <v>280</v>
      </c>
      <c r="DD24" s="39" t="str">
        <f>MiscBanners!$H$4</f>
        <v>Give-wonder-500xV.jpg</v>
      </c>
      <c r="DE24" s="39" t="str">
        <f>MiscBanners!$I$4</f>
        <v>The gift that keeps on giving</v>
      </c>
      <c r="DF24" s="39" t="str">
        <f>MiscBanners!$J$4</f>
        <v>NULL</v>
      </c>
      <c r="DG24" s="91" t="str">
        <f>MiscBanners!$K$4</f>
        <v>Discover even more exclusive offers on your favorite products and unlock the power of smart and savvy gifting.</v>
      </c>
      <c r="DH24" s="39" t="str">
        <f>MiscBanners!$L$4</f>
        <v>Shop now</v>
      </c>
      <c r="DI24" s="39" t="str">
        <f>MiscBanners!$M$4</f>
        <v>https://www.samsung.com/us/gift-ideas/</v>
      </c>
      <c r="DJ24"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4" s="39" t="str">
        <f>MiscBanners!$O$4</f>
        <v>NULL</v>
      </c>
      <c r="DL24" s="39" t="str">
        <f>MiscBanners!$P$4</f>
        <v>NULL</v>
      </c>
      <c r="DM24" s="39" t="str">
        <f>MiscBanners!$Q$4</f>
        <v>NULL</v>
      </c>
      <c r="DN24" s="89" t="s">
        <v>273</v>
      </c>
      <c r="DR24" s="91"/>
      <c r="DY24" s="89" t="s">
        <v>481</v>
      </c>
      <c r="DZ24" s="39" t="s">
        <v>394</v>
      </c>
      <c r="EA24" s="39" t="s">
        <v>394</v>
      </c>
      <c r="EB24" s="39" t="s">
        <v>394</v>
      </c>
      <c r="EC24" s="91" t="s">
        <v>482</v>
      </c>
      <c r="ED24" s="39" t="s">
        <v>394</v>
      </c>
      <c r="EE24" s="39" t="s">
        <v>476</v>
      </c>
      <c r="EF24" s="39">
        <v>0</v>
      </c>
      <c r="EG24" s="39" t="s">
        <v>394</v>
      </c>
      <c r="EH24" s="39" t="s">
        <v>394</v>
      </c>
      <c r="EI24" s="39" t="s">
        <v>394</v>
      </c>
      <c r="EJ24" s="89" t="s">
        <v>439</v>
      </c>
      <c r="EK24" s="39" t="s">
        <v>394</v>
      </c>
      <c r="EL24" s="39" t="s">
        <v>394</v>
      </c>
      <c r="EM24" s="39" t="s">
        <v>394</v>
      </c>
      <c r="EN24" s="91" t="s">
        <v>483</v>
      </c>
      <c r="EO24" s="39" t="s">
        <v>394</v>
      </c>
      <c r="EP24" s="39" t="s">
        <v>476</v>
      </c>
      <c r="EQ24" s="39">
        <v>0</v>
      </c>
      <c r="ER24" s="39" t="s">
        <v>394</v>
      </c>
      <c r="ES24" s="39" t="s">
        <v>394</v>
      </c>
      <c r="ET24" s="39" t="s">
        <v>394</v>
      </c>
      <c r="EU24" s="89" t="s">
        <v>441</v>
      </c>
      <c r="EV24" s="39" t="s">
        <v>394</v>
      </c>
      <c r="EW24" s="39" t="s">
        <v>394</v>
      </c>
      <c r="EX24" s="39" t="s">
        <v>394</v>
      </c>
      <c r="EY24" s="91" t="s">
        <v>485</v>
      </c>
      <c r="EZ24" s="39" t="s">
        <v>394</v>
      </c>
      <c r="FA24" s="39">
        <v>0</v>
      </c>
      <c r="FB24" s="39">
        <v>0</v>
      </c>
      <c r="FC24" s="39" t="s">
        <v>394</v>
      </c>
      <c r="FD24" s="39" t="s">
        <v>394</v>
      </c>
      <c r="FE24" s="39" t="s">
        <v>394</v>
      </c>
      <c r="FF24" s="89"/>
      <c r="FJ24" s="91"/>
    </row>
    <row r="25" spans="1:172" s="39" customFormat="1" ht="99.95" customHeight="1" x14ac:dyDescent="0.25">
      <c r="A25" s="39" t="s">
        <v>235</v>
      </c>
      <c r="B25" s="39" t="s">
        <v>240</v>
      </c>
      <c r="C25" s="39" t="s">
        <v>237</v>
      </c>
      <c r="D25" s="39" t="s">
        <v>237</v>
      </c>
      <c r="E25" s="39" t="s">
        <v>383</v>
      </c>
      <c r="G25" s="88" t="s">
        <v>540</v>
      </c>
      <c r="H25" s="88" t="s">
        <v>539</v>
      </c>
      <c r="I25" s="89" t="s">
        <v>381</v>
      </c>
      <c r="J25" s="39" t="str">
        <f>[1]MiscBanners!$G$4</f>
        <v>Cross-Category_Black_Friday_Week_01.jpg</v>
      </c>
      <c r="K25" s="92" t="s">
        <v>392</v>
      </c>
      <c r="L25" s="92" t="s">
        <v>393</v>
      </c>
      <c r="M25" s="39" t="s">
        <v>394</v>
      </c>
      <c r="N25" s="39" t="s">
        <v>394</v>
      </c>
      <c r="O25" s="39" t="str">
        <f>[1]MiscBanners!$B$4</f>
        <v>https://www.samsung.com/us/shop/all-deals/</v>
      </c>
      <c r="P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5" s="39" t="s">
        <v>394</v>
      </c>
      <c r="R25" s="39" t="s">
        <v>394</v>
      </c>
      <c r="S25" s="89" t="s">
        <v>407</v>
      </c>
      <c r="T25" s="39" t="str">
        <f>'Dynamic Banners'!$L$5</f>
        <v>Cyber-monday-2.png</v>
      </c>
      <c r="U25" s="39" t="str">
        <f>'Dynamic Banners'!$M$5</f>
        <v xml:space="preserve">Cyber Monday is over. But, Cyber Week is just beginning. </v>
      </c>
      <c r="V25" s="39" t="s">
        <v>394</v>
      </c>
      <c r="W25" s="39" t="str">
        <f>'Dynamic Banners'!$N$5</f>
        <v xml:space="preserve">Shop amazing offers on showstopping products while supplies last. </v>
      </c>
      <c r="X25" s="39" t="s">
        <v>394</v>
      </c>
      <c r="Y25" s="39" t="str">
        <f>[1]MiscBanners!$B$4</f>
        <v>https://www.samsung.com/us/shop/all-deals/</v>
      </c>
      <c r="Z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5" s="39" t="s">
        <v>394</v>
      </c>
      <c r="AB25" s="39" t="s">
        <v>394</v>
      </c>
      <c r="AC25" s="39" t="s">
        <v>394</v>
      </c>
      <c r="AD25" s="89" t="s">
        <v>408</v>
      </c>
      <c r="AE25" s="39" t="s">
        <v>394</v>
      </c>
      <c r="AF25" s="39" t="s">
        <v>394</v>
      </c>
      <c r="AG25" s="7" t="s">
        <v>559</v>
      </c>
      <c r="AH25" s="39" t="s">
        <v>561</v>
      </c>
      <c r="AI25" s="39" t="s">
        <v>394</v>
      </c>
      <c r="AJ25" s="39" t="str">
        <f>[1]MiscBanners!$B$4</f>
        <v>https://www.samsung.com/us/shop/all-deals/</v>
      </c>
      <c r="AK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5" s="39" t="s">
        <v>394</v>
      </c>
      <c r="AM25" s="39" t="s">
        <v>394</v>
      </c>
      <c r="AN25" s="39" t="s">
        <v>394</v>
      </c>
      <c r="AO25" s="89" t="s">
        <v>265</v>
      </c>
      <c r="AP25" s="39" t="str">
        <f>CCModuleCopy!$B$7</f>
        <v>HE_HeadImage_Shop_TVs_500xV.jpg</v>
      </c>
      <c r="AQ25" s="39" t="str">
        <f>CCModuleCopy!$C$7</f>
        <v>Get up to $3000 off select 8K, 4K and Lifestyle TVs</v>
      </c>
      <c r="AR25" s="39" t="str">
        <f>CCModuleCopy!$D$7</f>
        <v>NULL</v>
      </c>
      <c r="AS25"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25" s="39" t="str">
        <f>CCModuleCopy!$L$7</f>
        <v>Shop all</v>
      </c>
      <c r="AU25" s="39" t="str">
        <f>CCModuleCopy!$M$7</f>
        <v>https://www.samsung.com/us/shop/all-deals/tv-and-home-theater-deals/</v>
      </c>
      <c r="AV25"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W25" s="39" t="str">
        <f>CCModuleCopy!$O$7</f>
        <v>NULL</v>
      </c>
      <c r="AX25" s="39" t="str">
        <f>CCModuleCopy!$P$7</f>
        <v>NULL</v>
      </c>
      <c r="AY25" s="39" t="str">
        <f>CCModuleCopy!$Q$7</f>
        <v>NULL</v>
      </c>
      <c r="AZ25" s="89" t="s">
        <v>371</v>
      </c>
      <c r="BA25" s="39" t="str">
        <f>CCModuleCopy!$B$5</f>
        <v>IM_HeadImage_Shop_Phones_500xV.jpg</v>
      </c>
      <c r="BB25" s="39" t="str">
        <f>CCModuleCopy!$C$5</f>
        <v>Save up to $1000 instantly on the latest and greatest Galaxy smartphones</v>
      </c>
      <c r="BC25" s="39" t="str">
        <f>CCModuleCopy!$D$5</f>
        <v>NULL</v>
      </c>
      <c r="BD25"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5" s="39" t="str">
        <f>CCModuleCopy!$L$5</f>
        <v>Shop all</v>
      </c>
      <c r="BF25" s="39" t="str">
        <f>CCModuleCopy!$M$5</f>
        <v>https://www.samsung.com/us/shop/all-deals/cell-phone-deals/</v>
      </c>
      <c r="BG25"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5" s="39" t="str">
        <f>CCModuleCopy!$O$5</f>
        <v>NULL</v>
      </c>
      <c r="BI25" s="39" t="str">
        <f>CCModuleCopy!$P$5</f>
        <v>NULL</v>
      </c>
      <c r="BJ25" s="39" t="str">
        <f>CCModuleCopy!$Q$5</f>
        <v>NULL</v>
      </c>
      <c r="BK25" s="89" t="s">
        <v>266</v>
      </c>
      <c r="BL25" s="39" t="str">
        <f>CCModuleCopy!$B$15</f>
        <v>Tablet-HeadImage-500xV.jpg</v>
      </c>
      <c r="BM25" s="39" t="str">
        <f>CCModuleCopy!$C$15</f>
        <v>Save up to $150 on select tablets</v>
      </c>
      <c r="BN25" s="39" t="str">
        <f>CCModuleCopy!$D$15</f>
        <v>NULL</v>
      </c>
      <c r="BO25" s="39" t="str">
        <f>CCModuleCopy!$E$15</f>
        <v xml:space="preserve">Empower how you create, learn, game and more with our powerful line of tablets. Shop offers on must-have products from the new Galaxy Tab S7+ to the Galaxy Tab S6 Lite. </v>
      </c>
      <c r="BP25" s="39" t="str">
        <f>CCModuleCopy!$L$15</f>
        <v>Shop all</v>
      </c>
      <c r="BQ25" s="39" t="str">
        <f>CCModuleCopy!$M$15</f>
        <v>https://www.samsung.com/us/shop/all-deals/tablets-laptops-computers-deals/</v>
      </c>
      <c r="BR25"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25" s="39" t="str">
        <f>CCModuleCopy!$O$15</f>
        <v>NULL</v>
      </c>
      <c r="BT25" s="39" t="str">
        <f>CCModuleCopy!$P$15</f>
        <v>NULL</v>
      </c>
      <c r="BU25" s="39" t="str">
        <f>CCModuleCopy!$Q$15</f>
        <v>NULL</v>
      </c>
      <c r="BV25" s="89" t="s">
        <v>367</v>
      </c>
      <c r="BW25" s="39" t="str">
        <f>CCModuleCopy!$B$11</f>
        <v>ME_HeadImage_Wearables_500xV.jpg</v>
      </c>
      <c r="BX25" s="39" t="str">
        <f>CCModuleCopy!$C$11</f>
        <v>Get up to $100 off select watches and earbuds</v>
      </c>
      <c r="BY25" s="39" t="str">
        <f>CCModuleCopy!$D$11</f>
        <v>NULL</v>
      </c>
      <c r="BZ25"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5" s="39" t="str">
        <f>CCModuleCopy!$L$11</f>
        <v>Shop all</v>
      </c>
      <c r="CB25" s="39" t="str">
        <f>CCModuleCopy!$M$11</f>
        <v>https://www.samsung.com/us/shop/all-deals/tablets-wearables-cell-phone-accessories-deals/</v>
      </c>
      <c r="CC25"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5" s="39" t="str">
        <f>CCModuleCopy!$O$11</f>
        <v>NULL</v>
      </c>
      <c r="CE25" s="39" t="str">
        <f>CCModuleCopy!$P$11</f>
        <v>NULL</v>
      </c>
      <c r="CF25" s="39" t="str">
        <f>CCModuleCopy!$Q$11</f>
        <v>NULL</v>
      </c>
      <c r="CG25" s="89" t="s">
        <v>368</v>
      </c>
      <c r="CH25" s="39" t="str">
        <f>CCModuleCopy!$B$13</f>
        <v>CE_HeadImage_Computing_500xV.jpg</v>
      </c>
      <c r="CI25" s="39" t="str">
        <f>CCModuleCopy!$C$13</f>
        <v>Get up to 60% off memory cards, SSD, monitors and more</v>
      </c>
      <c r="CJ25" s="39" t="str">
        <f>CCModuleCopy!$D$13</f>
        <v>NULL</v>
      </c>
      <c r="CK25" s="39" t="str">
        <f>CCModuleCopy!$E$13</f>
        <v xml:space="preserve">Expand the way you play, store and create and get up to 30% off monitors, up to 60% off memory cards, up to 35% off SSD and more. Work and game smarter, not harder with these must-have computing offers. </v>
      </c>
      <c r="CL25" s="39" t="str">
        <f>CCModuleCopy!$L$13</f>
        <v>Shop all</v>
      </c>
      <c r="CM25" s="39" t="str">
        <f>CCModuleCopy!$M$13</f>
        <v>https://www.samsung.com/us/shop/all-deals/laptop-and-computer-deals/</v>
      </c>
      <c r="CN25"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5" s="39" t="str">
        <f>CCModuleCopy!$O$13</f>
        <v>NULL</v>
      </c>
      <c r="CP25" s="39" t="str">
        <f>CCModuleCopy!$P$13</f>
        <v>NULL</v>
      </c>
      <c r="CQ25" s="39" t="str">
        <f>CCModuleCopy!$Q$13</f>
        <v>NULL</v>
      </c>
      <c r="CR25" s="89" t="s">
        <v>279</v>
      </c>
      <c r="CS25" s="39" t="str">
        <f>CCModuleCopy!$B$9</f>
        <v>HA_HeadImage_Shop_HA_500xV.jpg</v>
      </c>
      <c r="CT25" s="39" t="str">
        <f>CCModuleCopy!$C$9</f>
        <v>Save up to 50% on everything you need to upgrade your home and home care</v>
      </c>
      <c r="CU25" s="39" t="str">
        <f>CCModuleCopy!$D$9</f>
        <v>NULL</v>
      </c>
      <c r="CV25"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5" s="39" t="str">
        <f>CCModuleCopy!$L$9</f>
        <v>Shop all</v>
      </c>
      <c r="CX25" s="39" t="str">
        <f>CCModuleCopy!$M$9</f>
        <v>https://www.samsung.com/us/shop/all-deals/home-appliance-and-smart-home-sales/</v>
      </c>
      <c r="CY25"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5" s="39" t="str">
        <f>CCModuleCopy!$O$9</f>
        <v>NULL</v>
      </c>
      <c r="DA25" s="39" t="str">
        <f>CCModuleCopy!$P$9</f>
        <v>NULL</v>
      </c>
      <c r="DB25" s="39" t="str">
        <f>CCModuleCopy!$Q$9</f>
        <v>NULL</v>
      </c>
      <c r="DC25" s="89" t="s">
        <v>280</v>
      </c>
      <c r="DD25" s="39" t="str">
        <f>MiscBanners!$H$4</f>
        <v>Give-wonder-500xV.jpg</v>
      </c>
      <c r="DE25" s="39" t="str">
        <f>MiscBanners!$I$4</f>
        <v>The gift that keeps on giving</v>
      </c>
      <c r="DF25" s="39" t="str">
        <f>MiscBanners!$J$4</f>
        <v>NULL</v>
      </c>
      <c r="DG25" s="91" t="str">
        <f>MiscBanners!$K$4</f>
        <v>Discover even more exclusive offers on your favorite products and unlock the power of smart and savvy gifting.</v>
      </c>
      <c r="DH25" s="39" t="str">
        <f>MiscBanners!$L$4</f>
        <v>Shop now</v>
      </c>
      <c r="DI25" s="39" t="str">
        <f>MiscBanners!$M$4</f>
        <v>https://www.samsung.com/us/gift-ideas/</v>
      </c>
      <c r="DJ25"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5" s="39" t="str">
        <f>MiscBanners!$O$4</f>
        <v>NULL</v>
      </c>
      <c r="DL25" s="39" t="str">
        <f>MiscBanners!$P$4</f>
        <v>NULL</v>
      </c>
      <c r="DM25" s="39" t="str">
        <f>MiscBanners!$Q$4</f>
        <v>NULL</v>
      </c>
      <c r="DN25" s="89" t="s">
        <v>273</v>
      </c>
      <c r="DR25" s="91"/>
      <c r="DY25" s="89" t="s">
        <v>481</v>
      </c>
      <c r="DZ25" s="39" t="s">
        <v>394</v>
      </c>
      <c r="EA25" s="39" t="s">
        <v>394</v>
      </c>
      <c r="EB25" s="39" t="s">
        <v>394</v>
      </c>
      <c r="EC25" s="91" t="s">
        <v>482</v>
      </c>
      <c r="ED25" s="39" t="s">
        <v>394</v>
      </c>
      <c r="EE25" s="39" t="s">
        <v>476</v>
      </c>
      <c r="EF25" s="39">
        <v>0</v>
      </c>
      <c r="EG25" s="39" t="s">
        <v>394</v>
      </c>
      <c r="EH25" s="39" t="s">
        <v>394</v>
      </c>
      <c r="EI25" s="39" t="s">
        <v>394</v>
      </c>
      <c r="EJ25" s="89" t="s">
        <v>439</v>
      </c>
      <c r="EK25" s="39" t="s">
        <v>394</v>
      </c>
      <c r="EL25" s="39" t="s">
        <v>394</v>
      </c>
      <c r="EM25" s="39" t="s">
        <v>394</v>
      </c>
      <c r="EN25" s="91" t="s">
        <v>483</v>
      </c>
      <c r="EO25" s="39" t="s">
        <v>394</v>
      </c>
      <c r="EP25" s="39" t="s">
        <v>476</v>
      </c>
      <c r="EQ25" s="39">
        <v>0</v>
      </c>
      <c r="ER25" s="39" t="s">
        <v>394</v>
      </c>
      <c r="ES25" s="39" t="s">
        <v>394</v>
      </c>
      <c r="ET25" s="39" t="s">
        <v>394</v>
      </c>
      <c r="EU25" s="89" t="s">
        <v>441</v>
      </c>
      <c r="EV25" s="39" t="s">
        <v>394</v>
      </c>
      <c r="EW25" s="39" t="s">
        <v>394</v>
      </c>
      <c r="EX25" s="39" t="s">
        <v>394</v>
      </c>
      <c r="EY25" s="91" t="s">
        <v>485</v>
      </c>
      <c r="EZ25" s="39" t="s">
        <v>394</v>
      </c>
      <c r="FA25" s="39">
        <v>0</v>
      </c>
      <c r="FB25" s="39">
        <v>0</v>
      </c>
      <c r="FC25" s="39" t="s">
        <v>394</v>
      </c>
      <c r="FD25" s="39" t="s">
        <v>394</v>
      </c>
      <c r="FE25" s="39" t="s">
        <v>394</v>
      </c>
      <c r="FF25" s="89"/>
      <c r="FJ25" s="91"/>
    </row>
    <row r="26" spans="1:172" s="39" customFormat="1" ht="99.95" customHeight="1" x14ac:dyDescent="0.25">
      <c r="A26" s="39" t="s">
        <v>235</v>
      </c>
      <c r="B26" s="92" t="s">
        <v>241</v>
      </c>
      <c r="C26" s="39" t="s">
        <v>237</v>
      </c>
      <c r="D26" s="39" t="s">
        <v>237</v>
      </c>
      <c r="E26" s="39" t="s">
        <v>383</v>
      </c>
      <c r="G26" s="88" t="s">
        <v>540</v>
      </c>
      <c r="H26" s="88" t="s">
        <v>539</v>
      </c>
      <c r="I26" s="89" t="s">
        <v>381</v>
      </c>
      <c r="J26" s="39" t="str">
        <f>[1]MiscBanners!$G$4</f>
        <v>Cross-Category_Black_Friday_Week_01.jpg</v>
      </c>
      <c r="K26" s="92" t="s">
        <v>392</v>
      </c>
      <c r="L26" s="92" t="s">
        <v>393</v>
      </c>
      <c r="M26" s="39" t="s">
        <v>394</v>
      </c>
      <c r="N26" s="39" t="s">
        <v>394</v>
      </c>
      <c r="O26" s="39" t="str">
        <f>[1]MiscBanners!$B$4</f>
        <v>https://www.samsung.com/us/shop/all-deals/</v>
      </c>
      <c r="P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6" s="39" t="s">
        <v>394</v>
      </c>
      <c r="R26" s="39" t="s">
        <v>394</v>
      </c>
      <c r="S26" s="89" t="s">
        <v>407</v>
      </c>
      <c r="T26" s="39" t="str">
        <f>'Dynamic Banners'!$L$5</f>
        <v>Cyber-monday-2.png</v>
      </c>
      <c r="U26" s="39" t="str">
        <f>'Dynamic Banners'!$M$5</f>
        <v xml:space="preserve">Cyber Monday is over. But, Cyber Week is just beginning. </v>
      </c>
      <c r="V26" s="39" t="s">
        <v>394</v>
      </c>
      <c r="W26" s="39" t="str">
        <f>'Dynamic Banners'!$N$5</f>
        <v xml:space="preserve">Shop amazing offers on showstopping products while supplies last. </v>
      </c>
      <c r="X26" s="39" t="s">
        <v>394</v>
      </c>
      <c r="Y26" s="39" t="str">
        <f>[1]MiscBanners!$B$4</f>
        <v>https://www.samsung.com/us/shop/all-deals/</v>
      </c>
      <c r="Z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6" s="39" t="s">
        <v>394</v>
      </c>
      <c r="AB26" s="39" t="s">
        <v>394</v>
      </c>
      <c r="AC26" s="39" t="s">
        <v>394</v>
      </c>
      <c r="AD26" s="89" t="s">
        <v>408</v>
      </c>
      <c r="AE26" s="39" t="s">
        <v>394</v>
      </c>
      <c r="AF26" s="39" t="s">
        <v>394</v>
      </c>
      <c r="AG26" s="7" t="s">
        <v>559</v>
      </c>
      <c r="AH26" s="39" t="s">
        <v>561</v>
      </c>
      <c r="AI26" s="39" t="s">
        <v>394</v>
      </c>
      <c r="AJ26" s="39" t="str">
        <f>[1]MiscBanners!$B$4</f>
        <v>https://www.samsung.com/us/shop/all-deals/</v>
      </c>
      <c r="AK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6" s="39" t="s">
        <v>394</v>
      </c>
      <c r="AM26" s="39" t="s">
        <v>394</v>
      </c>
      <c r="AN26" s="39" t="s">
        <v>394</v>
      </c>
      <c r="AO26" s="89" t="s">
        <v>266</v>
      </c>
      <c r="AP26" s="39" t="str">
        <f>CCModuleCopy!$B$15</f>
        <v>Tablet-HeadImage-500xV.jpg</v>
      </c>
      <c r="AQ26" s="39" t="str">
        <f>CCModuleCopy!$C$15</f>
        <v>Save up to $150 on select tablets</v>
      </c>
      <c r="AR26" s="39" t="str">
        <f>CCModuleCopy!$D$15</f>
        <v>NULL</v>
      </c>
      <c r="AS26" s="39" t="str">
        <f>CCModuleCopy!$E$15</f>
        <v xml:space="preserve">Empower how you create, learn, game and more with our powerful line of tablets. Shop offers on must-have products from the new Galaxy Tab S7+ to the Galaxy Tab S6 Lite. </v>
      </c>
      <c r="AT26" s="39" t="str">
        <f>CCModuleCopy!$L$15</f>
        <v>Shop all</v>
      </c>
      <c r="AU26" s="39" t="str">
        <f>CCModuleCopy!$M$15</f>
        <v>https://www.samsung.com/us/shop/all-deals/tablets-laptops-computers-deals/</v>
      </c>
      <c r="AV26"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W26" s="39" t="str">
        <f>CCModuleCopy!$O$15</f>
        <v>NULL</v>
      </c>
      <c r="AX26" s="39" t="str">
        <f>CCModuleCopy!$P$15</f>
        <v>NULL</v>
      </c>
      <c r="AY26" s="39" t="str">
        <f>CCModuleCopy!$Q$15</f>
        <v>NULL</v>
      </c>
      <c r="AZ26" s="89" t="s">
        <v>371</v>
      </c>
      <c r="BA26" s="39" t="str">
        <f>CCModuleCopy!$B$5</f>
        <v>IM_HeadImage_Shop_Phones_500xV.jpg</v>
      </c>
      <c r="BB26" s="39" t="str">
        <f>CCModuleCopy!$C$5</f>
        <v>Save up to $1000 instantly on the latest and greatest Galaxy smartphones</v>
      </c>
      <c r="BC26" s="39" t="str">
        <f>CCModuleCopy!$D$5</f>
        <v>NULL</v>
      </c>
      <c r="BD26"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6" s="39" t="str">
        <f>CCModuleCopy!$L$5</f>
        <v>Shop all</v>
      </c>
      <c r="BF26" s="39" t="str">
        <f>CCModuleCopy!$M$5</f>
        <v>https://www.samsung.com/us/shop/all-deals/cell-phone-deals/</v>
      </c>
      <c r="BG26"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6" s="39" t="str">
        <f>CCModuleCopy!$O$5</f>
        <v>NULL</v>
      </c>
      <c r="BI26" s="39" t="str">
        <f>CCModuleCopy!$P$5</f>
        <v>NULL</v>
      </c>
      <c r="BJ26" s="39" t="str">
        <f>CCModuleCopy!$Q$5</f>
        <v>NULL</v>
      </c>
      <c r="BK26" s="89" t="s">
        <v>265</v>
      </c>
      <c r="BL26" s="39" t="str">
        <f>CCModuleCopy!$B$7</f>
        <v>HE_HeadImage_Shop_TVs_500xV.jpg</v>
      </c>
      <c r="BM26" s="39" t="str">
        <f>CCModuleCopy!$C$7</f>
        <v>Get up to $3000 off select 8K, 4K and Lifestyle TVs</v>
      </c>
      <c r="BN26" s="39" t="str">
        <f>CCModuleCopy!$D$7</f>
        <v>NULL</v>
      </c>
      <c r="BO2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6" s="39" t="str">
        <f>CCModuleCopy!$L$7</f>
        <v>Shop all</v>
      </c>
      <c r="BQ26" s="39" t="str">
        <f>CCModuleCopy!$M$7</f>
        <v>https://www.samsung.com/us/shop/all-deals/tv-and-home-theater-deals/</v>
      </c>
      <c r="BR26"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6" s="39" t="str">
        <f>CCModuleCopy!$O$7</f>
        <v>NULL</v>
      </c>
      <c r="BT26" s="39" t="str">
        <f>CCModuleCopy!$P$7</f>
        <v>NULL</v>
      </c>
      <c r="BU26" s="39" t="str">
        <f>CCModuleCopy!$Q$7</f>
        <v>NULL</v>
      </c>
      <c r="BV26" s="89" t="s">
        <v>367</v>
      </c>
      <c r="BW26" s="39" t="str">
        <f>CCModuleCopy!$B$11</f>
        <v>ME_HeadImage_Wearables_500xV.jpg</v>
      </c>
      <c r="BX26" s="39" t="str">
        <f>CCModuleCopy!$C$11</f>
        <v>Get up to $100 off select watches and earbuds</v>
      </c>
      <c r="BY26" s="39" t="str">
        <f>CCModuleCopy!$D$11</f>
        <v>NULL</v>
      </c>
      <c r="BZ2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6" s="39" t="str">
        <f>CCModuleCopy!$L$11</f>
        <v>Shop all</v>
      </c>
      <c r="CB26" s="39" t="str">
        <f>CCModuleCopy!$M$11</f>
        <v>https://www.samsung.com/us/shop/all-deals/tablets-wearables-cell-phone-accessories-deals/</v>
      </c>
      <c r="CC26"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6" s="39" t="str">
        <f>CCModuleCopy!$O$11</f>
        <v>NULL</v>
      </c>
      <c r="CE26" s="39" t="str">
        <f>CCModuleCopy!$P$11</f>
        <v>NULL</v>
      </c>
      <c r="CF26" s="39" t="str">
        <f>CCModuleCopy!$Q$11</f>
        <v>NULL</v>
      </c>
      <c r="CG26" s="89" t="s">
        <v>368</v>
      </c>
      <c r="CH26" s="39" t="str">
        <f>CCModuleCopy!$B$13</f>
        <v>CE_HeadImage_Computing_500xV.jpg</v>
      </c>
      <c r="CI26" s="39" t="str">
        <f>CCModuleCopy!$C$13</f>
        <v>Get up to 60% off memory cards, SSD, monitors and more</v>
      </c>
      <c r="CJ26" s="39" t="str">
        <f>CCModuleCopy!$D$13</f>
        <v>NULL</v>
      </c>
      <c r="CK26" s="39" t="str">
        <f>CCModuleCopy!$E$13</f>
        <v xml:space="preserve">Expand the way you play, store and create and get up to 30% off monitors, up to 60% off memory cards, up to 35% off SSD and more. Work and game smarter, not harder with these must-have computing offers. </v>
      </c>
      <c r="CL26" s="39" t="str">
        <f>CCModuleCopy!$L$13</f>
        <v>Shop all</v>
      </c>
      <c r="CM26" s="39" t="str">
        <f>CCModuleCopy!$M$13</f>
        <v>https://www.samsung.com/us/shop/all-deals/laptop-and-computer-deals/</v>
      </c>
      <c r="CN26"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6" s="39" t="str">
        <f>CCModuleCopy!$O$13</f>
        <v>NULL</v>
      </c>
      <c r="CP26" s="39" t="str">
        <f>CCModuleCopy!$P$13</f>
        <v>NULL</v>
      </c>
      <c r="CQ26" s="39" t="str">
        <f>CCModuleCopy!$Q$13</f>
        <v>NULL</v>
      </c>
      <c r="CR26" s="89" t="s">
        <v>279</v>
      </c>
      <c r="CS26" s="39" t="str">
        <f>CCModuleCopy!$B$9</f>
        <v>HA_HeadImage_Shop_HA_500xV.jpg</v>
      </c>
      <c r="CT26" s="39" t="str">
        <f>CCModuleCopy!$C$9</f>
        <v>Save up to 50% on everything you need to upgrade your home and home care</v>
      </c>
      <c r="CU26" s="39" t="str">
        <f>CCModuleCopy!$D$9</f>
        <v>NULL</v>
      </c>
      <c r="CV2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6" s="39" t="str">
        <f>CCModuleCopy!$L$9</f>
        <v>Shop all</v>
      </c>
      <c r="CX26" s="39" t="str">
        <f>CCModuleCopy!$M$9</f>
        <v>https://www.samsung.com/us/shop/all-deals/home-appliance-and-smart-home-sales/</v>
      </c>
      <c r="CY26"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6" s="39" t="str">
        <f>CCModuleCopy!$O$9</f>
        <v>NULL</v>
      </c>
      <c r="DA26" s="39" t="str">
        <f>CCModuleCopy!$P$9</f>
        <v>NULL</v>
      </c>
      <c r="DB26" s="39" t="str">
        <f>CCModuleCopy!$Q$9</f>
        <v>NULL</v>
      </c>
      <c r="DC26" s="89" t="s">
        <v>280</v>
      </c>
      <c r="DD26" s="39" t="str">
        <f>MiscBanners!$H$4</f>
        <v>Give-wonder-500xV.jpg</v>
      </c>
      <c r="DE26" s="39" t="str">
        <f>MiscBanners!$I$4</f>
        <v>The gift that keeps on giving</v>
      </c>
      <c r="DF26" s="39" t="str">
        <f>MiscBanners!$J$4</f>
        <v>NULL</v>
      </c>
      <c r="DG26" s="91" t="str">
        <f>MiscBanners!$K$4</f>
        <v>Discover even more exclusive offers on your favorite products and unlock the power of smart and savvy gifting.</v>
      </c>
      <c r="DH26" s="39" t="str">
        <f>MiscBanners!$L$4</f>
        <v>Shop now</v>
      </c>
      <c r="DI26" s="39" t="str">
        <f>MiscBanners!$M$4</f>
        <v>https://www.samsung.com/us/gift-ideas/</v>
      </c>
      <c r="DJ26"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6" s="39" t="str">
        <f>MiscBanners!$O$4</f>
        <v>NULL</v>
      </c>
      <c r="DL26" s="39" t="str">
        <f>MiscBanners!$P$4</f>
        <v>NULL</v>
      </c>
      <c r="DM26" s="39" t="str">
        <f>MiscBanners!$Q$4</f>
        <v>NULL</v>
      </c>
      <c r="DN26" s="89" t="s">
        <v>273</v>
      </c>
      <c r="DR26" s="91"/>
      <c r="DY26" s="89" t="s">
        <v>481</v>
      </c>
      <c r="DZ26" s="39" t="s">
        <v>394</v>
      </c>
      <c r="EA26" s="39" t="s">
        <v>394</v>
      </c>
      <c r="EB26" s="39" t="s">
        <v>394</v>
      </c>
      <c r="EC26" s="91" t="s">
        <v>482</v>
      </c>
      <c r="ED26" s="39" t="s">
        <v>394</v>
      </c>
      <c r="EE26" s="39" t="s">
        <v>476</v>
      </c>
      <c r="EF26" s="39">
        <v>0</v>
      </c>
      <c r="EG26" s="39" t="s">
        <v>394</v>
      </c>
      <c r="EH26" s="39" t="s">
        <v>394</v>
      </c>
      <c r="EI26" s="39" t="s">
        <v>394</v>
      </c>
      <c r="EJ26" s="89" t="s">
        <v>439</v>
      </c>
      <c r="EK26" s="39" t="s">
        <v>394</v>
      </c>
      <c r="EL26" s="39" t="s">
        <v>394</v>
      </c>
      <c r="EM26" s="39" t="s">
        <v>394</v>
      </c>
      <c r="EN26" s="91" t="s">
        <v>483</v>
      </c>
      <c r="EO26" s="39" t="s">
        <v>394</v>
      </c>
      <c r="EP26" s="39" t="s">
        <v>476</v>
      </c>
      <c r="EQ26" s="39">
        <v>0</v>
      </c>
      <c r="ER26" s="39" t="s">
        <v>394</v>
      </c>
      <c r="ES26" s="39" t="s">
        <v>394</v>
      </c>
      <c r="ET26" s="39" t="s">
        <v>394</v>
      </c>
      <c r="EU26" s="89" t="s">
        <v>441</v>
      </c>
      <c r="EV26" s="39" t="s">
        <v>394</v>
      </c>
      <c r="EW26" s="39" t="s">
        <v>394</v>
      </c>
      <c r="EX26" s="39" t="s">
        <v>394</v>
      </c>
      <c r="EY26" s="91" t="s">
        <v>485</v>
      </c>
      <c r="EZ26" s="39" t="s">
        <v>394</v>
      </c>
      <c r="FA26" s="39">
        <v>0</v>
      </c>
      <c r="FB26" s="39">
        <v>0</v>
      </c>
      <c r="FC26" s="39" t="s">
        <v>394</v>
      </c>
      <c r="FD26" s="39" t="s">
        <v>394</v>
      </c>
      <c r="FE26" s="39" t="s">
        <v>394</v>
      </c>
      <c r="FF26" s="89"/>
      <c r="FJ26" s="91"/>
    </row>
    <row r="27" spans="1:172" s="39" customFormat="1" ht="99.95" customHeight="1" x14ac:dyDescent="0.25">
      <c r="A27" s="39" t="s">
        <v>235</v>
      </c>
      <c r="B27" s="39" t="s">
        <v>264</v>
      </c>
      <c r="C27" s="39" t="s">
        <v>237</v>
      </c>
      <c r="D27" s="39" t="s">
        <v>237</v>
      </c>
      <c r="E27" s="39" t="s">
        <v>383</v>
      </c>
      <c r="G27" s="88" t="s">
        <v>540</v>
      </c>
      <c r="H27" s="88" t="s">
        <v>539</v>
      </c>
      <c r="I27" s="89" t="s">
        <v>381</v>
      </c>
      <c r="J27" s="39" t="str">
        <f>[1]MiscBanners!$G$4</f>
        <v>Cross-Category_Black_Friday_Week_01.jpg</v>
      </c>
      <c r="K27" s="92" t="s">
        <v>392</v>
      </c>
      <c r="L27" s="92" t="s">
        <v>393</v>
      </c>
      <c r="M27" s="39" t="s">
        <v>394</v>
      </c>
      <c r="N27" s="39" t="s">
        <v>394</v>
      </c>
      <c r="O27" s="39" t="str">
        <f>[1]MiscBanners!$B$4</f>
        <v>https://www.samsung.com/us/shop/all-deals/</v>
      </c>
      <c r="P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7" s="39" t="s">
        <v>394</v>
      </c>
      <c r="R27" s="39" t="s">
        <v>394</v>
      </c>
      <c r="S27" s="89" t="s">
        <v>407</v>
      </c>
      <c r="T27" s="39" t="str">
        <f>'Dynamic Banners'!$L$5</f>
        <v>Cyber-monday-2.png</v>
      </c>
      <c r="U27" s="39" t="str">
        <f>'Dynamic Banners'!$M$5</f>
        <v xml:space="preserve">Cyber Monday is over. But, Cyber Week is just beginning. </v>
      </c>
      <c r="V27" s="39" t="s">
        <v>394</v>
      </c>
      <c r="W27" s="39" t="str">
        <f>'Dynamic Banners'!$N$5</f>
        <v xml:space="preserve">Shop amazing offers on showstopping products while supplies last. </v>
      </c>
      <c r="X27" s="39" t="s">
        <v>394</v>
      </c>
      <c r="Y27" s="39" t="str">
        <f>[1]MiscBanners!$B$4</f>
        <v>https://www.samsung.com/us/shop/all-deals/</v>
      </c>
      <c r="Z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7" s="39" t="s">
        <v>394</v>
      </c>
      <c r="AB27" s="39" t="s">
        <v>394</v>
      </c>
      <c r="AC27" s="39" t="s">
        <v>394</v>
      </c>
      <c r="AD27" s="89" t="s">
        <v>408</v>
      </c>
      <c r="AE27" s="39" t="s">
        <v>394</v>
      </c>
      <c r="AF27" s="39" t="s">
        <v>394</v>
      </c>
      <c r="AG27" s="7" t="s">
        <v>559</v>
      </c>
      <c r="AH27" s="39" t="s">
        <v>561</v>
      </c>
      <c r="AI27" s="39" t="s">
        <v>394</v>
      </c>
      <c r="AJ27" s="39" t="str">
        <f>[1]MiscBanners!$B$4</f>
        <v>https://www.samsung.com/us/shop/all-deals/</v>
      </c>
      <c r="AK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7" s="39" t="s">
        <v>394</v>
      </c>
      <c r="AM27" s="39" t="s">
        <v>394</v>
      </c>
      <c r="AN27" s="39" t="s">
        <v>394</v>
      </c>
      <c r="AO27" s="89" t="s">
        <v>367</v>
      </c>
      <c r="AP27" s="39" t="str">
        <f>CCModuleCopy!$B$11</f>
        <v>ME_HeadImage_Wearables_500xV.jpg</v>
      </c>
      <c r="AQ27" s="39" t="str">
        <f>CCModuleCopy!$C$11</f>
        <v>Get up to $100 off select watches and earbuds</v>
      </c>
      <c r="AR27" s="39" t="str">
        <f>CCModuleCopy!$D$11</f>
        <v>NULL</v>
      </c>
      <c r="AS2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27" s="39" t="str">
        <f>CCModuleCopy!$L$11</f>
        <v>Shop all</v>
      </c>
      <c r="AU27" s="39" t="str">
        <f>CCModuleCopy!$M$11</f>
        <v>https://www.samsung.com/us/shop/all-deals/tablets-wearables-cell-phone-accessories-deals/</v>
      </c>
      <c r="AV27"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W27" s="39" t="str">
        <f>CCModuleCopy!$O$11</f>
        <v>NULL</v>
      </c>
      <c r="AX27" s="39" t="str">
        <f>CCModuleCopy!$P$11</f>
        <v>NULL</v>
      </c>
      <c r="AY27" s="39" t="str">
        <f>CCModuleCopy!$Q$11</f>
        <v>NULL</v>
      </c>
      <c r="AZ27" s="89" t="s">
        <v>371</v>
      </c>
      <c r="BA27" s="39" t="str">
        <f>CCModuleCopy!$B$5</f>
        <v>IM_HeadImage_Shop_Phones_500xV.jpg</v>
      </c>
      <c r="BB27" s="39" t="str">
        <f>CCModuleCopy!$C$5</f>
        <v>Save up to $1000 instantly on the latest and greatest Galaxy smartphones</v>
      </c>
      <c r="BC27" s="39" t="str">
        <f>CCModuleCopy!$D$5</f>
        <v>NULL</v>
      </c>
      <c r="BD27"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7" s="39" t="str">
        <f>CCModuleCopy!$L$5</f>
        <v>Shop all</v>
      </c>
      <c r="BF27" s="39" t="str">
        <f>CCModuleCopy!$M$5</f>
        <v>https://www.samsung.com/us/shop/all-deals/cell-phone-deals/</v>
      </c>
      <c r="BG27"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7" s="39" t="str">
        <f>CCModuleCopy!$O$5</f>
        <v>NULL</v>
      </c>
      <c r="BI27" s="39" t="str">
        <f>CCModuleCopy!$P$5</f>
        <v>NULL</v>
      </c>
      <c r="BJ27" s="39" t="str">
        <f>CCModuleCopy!$Q$5</f>
        <v>NULL</v>
      </c>
      <c r="BK27" s="89" t="s">
        <v>265</v>
      </c>
      <c r="BL27" s="39" t="str">
        <f>CCModuleCopy!$B$7</f>
        <v>HE_HeadImage_Shop_TVs_500xV.jpg</v>
      </c>
      <c r="BM27" s="39" t="str">
        <f>CCModuleCopy!$C$7</f>
        <v>Get up to $3000 off select 8K, 4K and Lifestyle TVs</v>
      </c>
      <c r="BN27" s="39" t="str">
        <f>CCModuleCopy!$D$7</f>
        <v>NULL</v>
      </c>
      <c r="BO2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7" s="39" t="str">
        <f>CCModuleCopy!$L$7</f>
        <v>Shop all</v>
      </c>
      <c r="BQ27" s="39" t="str">
        <f>CCModuleCopy!$M$7</f>
        <v>https://www.samsung.com/us/shop/all-deals/tv-and-home-theater-deals/</v>
      </c>
      <c r="BR27"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7" s="39" t="str">
        <f>CCModuleCopy!$O$7</f>
        <v>NULL</v>
      </c>
      <c r="BT27" s="39" t="str">
        <f>CCModuleCopy!$P$7</f>
        <v>NULL</v>
      </c>
      <c r="BU27" s="39" t="str">
        <f>CCModuleCopy!$Q$7</f>
        <v>NULL</v>
      </c>
      <c r="BV27" s="89" t="s">
        <v>266</v>
      </c>
      <c r="BW27" s="39" t="str">
        <f>CCModuleCopy!$B$15</f>
        <v>Tablet-HeadImage-500xV.jpg</v>
      </c>
      <c r="BX27" s="39" t="str">
        <f>CCModuleCopy!$C$15</f>
        <v>Save up to $150 on select tablets</v>
      </c>
      <c r="BY27" s="39" t="str">
        <f>CCModuleCopy!$D$15</f>
        <v>NULL</v>
      </c>
      <c r="BZ27" s="39" t="str">
        <f>CCModuleCopy!$E$15</f>
        <v xml:space="preserve">Empower how you create, learn, game and more with our powerful line of tablets. Shop offers on must-have products from the new Galaxy Tab S7+ to the Galaxy Tab S6 Lite. </v>
      </c>
      <c r="CA27" s="39" t="str">
        <f>CCModuleCopy!$L$15</f>
        <v>Shop all</v>
      </c>
      <c r="CB27" s="39" t="str">
        <f>CCModuleCopy!$M$15</f>
        <v>https://www.samsung.com/us/shop/all-deals/tablets-laptops-computers-deals/</v>
      </c>
      <c r="CC27"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7" s="39" t="str">
        <f>CCModuleCopy!$O$15</f>
        <v>NULL</v>
      </c>
      <c r="CE27" s="39" t="str">
        <f>CCModuleCopy!$P$15</f>
        <v>NULL</v>
      </c>
      <c r="CF27" s="39" t="str">
        <f>CCModuleCopy!$Q$15</f>
        <v>NULL</v>
      </c>
      <c r="CG27" s="89" t="s">
        <v>368</v>
      </c>
      <c r="CH27" s="39" t="str">
        <f>CCModuleCopy!$B$13</f>
        <v>CE_HeadImage_Computing_500xV.jpg</v>
      </c>
      <c r="CI27" s="39" t="str">
        <f>CCModuleCopy!$C$13</f>
        <v>Get up to 60% off memory cards, SSD, monitors and more</v>
      </c>
      <c r="CJ27" s="39" t="str">
        <f>CCModuleCopy!$D$13</f>
        <v>NULL</v>
      </c>
      <c r="CK27" s="39" t="str">
        <f>CCModuleCopy!$E$13</f>
        <v xml:space="preserve">Expand the way you play, store and create and get up to 30% off monitors, up to 60% off memory cards, up to 35% off SSD and more. Work and game smarter, not harder with these must-have computing offers. </v>
      </c>
      <c r="CL27" s="39" t="str">
        <f>CCModuleCopy!$L$13</f>
        <v>Shop all</v>
      </c>
      <c r="CM27" s="39" t="str">
        <f>CCModuleCopy!$M$13</f>
        <v>https://www.samsung.com/us/shop/all-deals/laptop-and-computer-deals/</v>
      </c>
      <c r="CN27"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7" s="39" t="str">
        <f>CCModuleCopy!$O$13</f>
        <v>NULL</v>
      </c>
      <c r="CP27" s="39" t="str">
        <f>CCModuleCopy!$P$13</f>
        <v>NULL</v>
      </c>
      <c r="CQ27" s="39" t="str">
        <f>CCModuleCopy!$Q$13</f>
        <v>NULL</v>
      </c>
      <c r="CR27" s="89" t="s">
        <v>279</v>
      </c>
      <c r="CS27" s="39" t="str">
        <f>CCModuleCopy!$B$9</f>
        <v>HA_HeadImage_Shop_HA_500xV.jpg</v>
      </c>
      <c r="CT27" s="39" t="str">
        <f>CCModuleCopy!$C$9</f>
        <v>Save up to 50% on everything you need to upgrade your home and home care</v>
      </c>
      <c r="CU27" s="39" t="str">
        <f>CCModuleCopy!$D$9</f>
        <v>NULL</v>
      </c>
      <c r="CV2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7" s="39" t="str">
        <f>CCModuleCopy!$L$9</f>
        <v>Shop all</v>
      </c>
      <c r="CX27" s="39" t="str">
        <f>CCModuleCopy!$M$9</f>
        <v>https://www.samsung.com/us/shop/all-deals/home-appliance-and-smart-home-sales/</v>
      </c>
      <c r="CY27"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7" s="39" t="str">
        <f>CCModuleCopy!$O$9</f>
        <v>NULL</v>
      </c>
      <c r="DA27" s="39" t="str">
        <f>CCModuleCopy!$P$9</f>
        <v>NULL</v>
      </c>
      <c r="DB27" s="39" t="str">
        <f>CCModuleCopy!$Q$9</f>
        <v>NULL</v>
      </c>
      <c r="DC27" s="89" t="s">
        <v>280</v>
      </c>
      <c r="DD27" s="39" t="str">
        <f>MiscBanners!$H$4</f>
        <v>Give-wonder-500xV.jpg</v>
      </c>
      <c r="DE27" s="39" t="str">
        <f>MiscBanners!$I$4</f>
        <v>The gift that keeps on giving</v>
      </c>
      <c r="DF27" s="39" t="str">
        <f>MiscBanners!$J$4</f>
        <v>NULL</v>
      </c>
      <c r="DG27" s="91" t="str">
        <f>MiscBanners!$K$4</f>
        <v>Discover even more exclusive offers on your favorite products and unlock the power of smart and savvy gifting.</v>
      </c>
      <c r="DH27" s="39" t="str">
        <f>MiscBanners!$L$4</f>
        <v>Shop now</v>
      </c>
      <c r="DI27" s="39" t="str">
        <f>MiscBanners!$M$4</f>
        <v>https://www.samsung.com/us/gift-ideas/</v>
      </c>
      <c r="DJ27"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7" s="39" t="str">
        <f>MiscBanners!$O$4</f>
        <v>NULL</v>
      </c>
      <c r="DL27" s="39" t="str">
        <f>MiscBanners!$P$4</f>
        <v>NULL</v>
      </c>
      <c r="DM27" s="39" t="str">
        <f>MiscBanners!$Q$4</f>
        <v>NULL</v>
      </c>
      <c r="DN27" s="89" t="s">
        <v>273</v>
      </c>
      <c r="DR27" s="91"/>
      <c r="DY27" s="89" t="s">
        <v>481</v>
      </c>
      <c r="DZ27" s="39" t="s">
        <v>394</v>
      </c>
      <c r="EA27" s="39" t="s">
        <v>394</v>
      </c>
      <c r="EB27" s="39" t="s">
        <v>394</v>
      </c>
      <c r="EC27" s="91" t="s">
        <v>482</v>
      </c>
      <c r="ED27" s="39" t="s">
        <v>394</v>
      </c>
      <c r="EE27" s="39" t="s">
        <v>476</v>
      </c>
      <c r="EF27" s="39">
        <v>0</v>
      </c>
      <c r="EG27" s="39" t="s">
        <v>394</v>
      </c>
      <c r="EH27" s="39" t="s">
        <v>394</v>
      </c>
      <c r="EI27" s="39" t="s">
        <v>394</v>
      </c>
      <c r="EJ27" s="89" t="s">
        <v>439</v>
      </c>
      <c r="EK27" s="39" t="s">
        <v>394</v>
      </c>
      <c r="EL27" s="39" t="s">
        <v>394</v>
      </c>
      <c r="EM27" s="39" t="s">
        <v>394</v>
      </c>
      <c r="EN27" s="91" t="s">
        <v>483</v>
      </c>
      <c r="EO27" s="39" t="s">
        <v>394</v>
      </c>
      <c r="EP27" s="39" t="s">
        <v>476</v>
      </c>
      <c r="EQ27" s="39">
        <v>0</v>
      </c>
      <c r="ER27" s="39" t="s">
        <v>394</v>
      </c>
      <c r="ES27" s="39" t="s">
        <v>394</v>
      </c>
      <c r="ET27" s="39" t="s">
        <v>394</v>
      </c>
      <c r="EU27" s="89" t="s">
        <v>441</v>
      </c>
      <c r="EV27" s="39" t="s">
        <v>394</v>
      </c>
      <c r="EW27" s="39" t="s">
        <v>394</v>
      </c>
      <c r="EX27" s="39" t="s">
        <v>394</v>
      </c>
      <c r="EY27" s="91" t="s">
        <v>485</v>
      </c>
      <c r="EZ27" s="39" t="s">
        <v>394</v>
      </c>
      <c r="FA27" s="39">
        <v>0</v>
      </c>
      <c r="FB27" s="39">
        <v>0</v>
      </c>
      <c r="FC27" s="39" t="s">
        <v>394</v>
      </c>
      <c r="FD27" s="39" t="s">
        <v>394</v>
      </c>
      <c r="FE27" s="39" t="s">
        <v>394</v>
      </c>
      <c r="FF27" s="89"/>
      <c r="FJ27" s="91"/>
    </row>
    <row r="28" spans="1:172" s="39" customFormat="1" ht="99.95" customHeight="1" x14ac:dyDescent="0.25">
      <c r="A28" s="39" t="s">
        <v>235</v>
      </c>
      <c r="B28" s="39" t="s">
        <v>361</v>
      </c>
      <c r="C28" s="39" t="s">
        <v>237</v>
      </c>
      <c r="D28" s="39" t="s">
        <v>237</v>
      </c>
      <c r="E28" s="39" t="s">
        <v>383</v>
      </c>
      <c r="G28" s="88" t="s">
        <v>540</v>
      </c>
      <c r="H28" s="88" t="s">
        <v>539</v>
      </c>
      <c r="I28" s="89" t="s">
        <v>381</v>
      </c>
      <c r="J28" s="39" t="str">
        <f>[1]MiscBanners!$G$4</f>
        <v>Cross-Category_Black_Friday_Week_01.jpg</v>
      </c>
      <c r="K28" s="92" t="s">
        <v>392</v>
      </c>
      <c r="L28" s="92" t="s">
        <v>393</v>
      </c>
      <c r="M28" s="39" t="s">
        <v>394</v>
      </c>
      <c r="N28" s="39" t="s">
        <v>394</v>
      </c>
      <c r="O28" s="39" t="str">
        <f>[1]MiscBanners!$B$4</f>
        <v>https://www.samsung.com/us/shop/all-deals/</v>
      </c>
      <c r="P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8" s="39" t="s">
        <v>394</v>
      </c>
      <c r="R28" s="39" t="s">
        <v>394</v>
      </c>
      <c r="S28" s="89" t="s">
        <v>407</v>
      </c>
      <c r="T28" s="39" t="str">
        <f>'Dynamic Banners'!$L$5</f>
        <v>Cyber-monday-2.png</v>
      </c>
      <c r="U28" s="39" t="str">
        <f>'Dynamic Banners'!$M$5</f>
        <v xml:space="preserve">Cyber Monday is over. But, Cyber Week is just beginning. </v>
      </c>
      <c r="V28" s="39" t="s">
        <v>394</v>
      </c>
      <c r="W28" s="39" t="str">
        <f>'Dynamic Banners'!$N$5</f>
        <v xml:space="preserve">Shop amazing offers on showstopping products while supplies last. </v>
      </c>
      <c r="X28" s="39" t="s">
        <v>394</v>
      </c>
      <c r="Y28" s="39" t="str">
        <f>[1]MiscBanners!$B$4</f>
        <v>https://www.samsung.com/us/shop/all-deals/</v>
      </c>
      <c r="Z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8" s="39" t="s">
        <v>394</v>
      </c>
      <c r="AB28" s="39" t="s">
        <v>394</v>
      </c>
      <c r="AC28" s="39" t="s">
        <v>394</v>
      </c>
      <c r="AD28" s="89" t="s">
        <v>408</v>
      </c>
      <c r="AE28" s="39" t="s">
        <v>394</v>
      </c>
      <c r="AF28" s="39" t="s">
        <v>394</v>
      </c>
      <c r="AG28" s="7" t="s">
        <v>559</v>
      </c>
      <c r="AH28" s="39" t="s">
        <v>561</v>
      </c>
      <c r="AI28" s="39" t="s">
        <v>394</v>
      </c>
      <c r="AJ28" s="39" t="str">
        <f>[1]MiscBanners!$B$4</f>
        <v>https://www.samsung.com/us/shop/all-deals/</v>
      </c>
      <c r="AK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8" s="39" t="s">
        <v>394</v>
      </c>
      <c r="AM28" s="39" t="s">
        <v>394</v>
      </c>
      <c r="AN28" s="39" t="s">
        <v>394</v>
      </c>
      <c r="AO28" s="89" t="s">
        <v>368</v>
      </c>
      <c r="AP28" s="39" t="str">
        <f>CCModuleCopy!$B$13</f>
        <v>CE_HeadImage_Computing_500xV.jpg</v>
      </c>
      <c r="AQ28" s="39" t="str">
        <f>CCModuleCopy!$C$13</f>
        <v>Get up to 60% off memory cards, SSD, monitors and more</v>
      </c>
      <c r="AR28" s="39" t="str">
        <f>CCModuleCopy!$D$13</f>
        <v>NULL</v>
      </c>
      <c r="AS28" s="39" t="str">
        <f>CCModuleCopy!$E$13</f>
        <v xml:space="preserve">Expand the way you play, store and create and get up to 30% off monitors, up to 60% off memory cards, up to 35% off SSD and more. Work and game smarter, not harder with these must-have computing offers. </v>
      </c>
      <c r="AT28" s="39" t="str">
        <f>CCModuleCopy!$L$13</f>
        <v>Shop all</v>
      </c>
      <c r="AU28" s="39" t="str">
        <f>CCModuleCopy!$M$13</f>
        <v>https://www.samsung.com/us/shop/all-deals/laptop-and-computer-deals/</v>
      </c>
      <c r="AV28"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W28" s="39" t="str">
        <f>CCModuleCopy!$O$13</f>
        <v>NULL</v>
      </c>
      <c r="AX28" s="39" t="str">
        <f>CCModuleCopy!$P$13</f>
        <v>NULL</v>
      </c>
      <c r="AY28" s="39" t="str">
        <f>CCModuleCopy!$Q$13</f>
        <v>NULL</v>
      </c>
      <c r="AZ28" s="89" t="s">
        <v>371</v>
      </c>
      <c r="BA28" s="39" t="str">
        <f>CCModuleCopy!$B$5</f>
        <v>IM_HeadImage_Shop_Phones_500xV.jpg</v>
      </c>
      <c r="BB28" s="39" t="str">
        <f>CCModuleCopy!$C$5</f>
        <v>Save up to $1000 instantly on the latest and greatest Galaxy smartphones</v>
      </c>
      <c r="BC28" s="39" t="str">
        <f>CCModuleCopy!$D$5</f>
        <v>NULL</v>
      </c>
      <c r="BD28"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8" s="39" t="str">
        <f>CCModuleCopy!$L$5</f>
        <v>Shop all</v>
      </c>
      <c r="BF28" s="39" t="str">
        <f>CCModuleCopy!$M$5</f>
        <v>https://www.samsung.com/us/shop/all-deals/cell-phone-deals/</v>
      </c>
      <c r="BG28"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8" s="39" t="str">
        <f>CCModuleCopy!$O$5</f>
        <v>NULL</v>
      </c>
      <c r="BI28" s="39" t="str">
        <f>CCModuleCopy!$P$5</f>
        <v>NULL</v>
      </c>
      <c r="BJ28" s="39" t="str">
        <f>CCModuleCopy!$Q$5</f>
        <v>NULL</v>
      </c>
      <c r="BK28" s="89" t="s">
        <v>265</v>
      </c>
      <c r="BL28" s="39" t="str">
        <f>CCModuleCopy!$B$7</f>
        <v>HE_HeadImage_Shop_TVs_500xV.jpg</v>
      </c>
      <c r="BM28" s="39" t="str">
        <f>CCModuleCopy!$C$7</f>
        <v>Get up to $3000 off select 8K, 4K and Lifestyle TVs</v>
      </c>
      <c r="BN28" s="39" t="str">
        <f>CCModuleCopy!$D$7</f>
        <v>NULL</v>
      </c>
      <c r="BO2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8" s="39" t="str">
        <f>CCModuleCopy!$L$7</f>
        <v>Shop all</v>
      </c>
      <c r="BQ28" s="39" t="str">
        <f>CCModuleCopy!$M$7</f>
        <v>https://www.samsung.com/us/shop/all-deals/tv-and-home-theater-deals/</v>
      </c>
      <c r="BR28"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8" s="39" t="str">
        <f>CCModuleCopy!$O$7</f>
        <v>NULL</v>
      </c>
      <c r="BT28" s="39" t="str">
        <f>CCModuleCopy!$P$7</f>
        <v>NULL</v>
      </c>
      <c r="BU28" s="39" t="str">
        <f>CCModuleCopy!$Q$7</f>
        <v>NULL</v>
      </c>
      <c r="BV28" s="89" t="s">
        <v>266</v>
      </c>
      <c r="BW28" s="39" t="str">
        <f>CCModuleCopy!$B$15</f>
        <v>Tablet-HeadImage-500xV.jpg</v>
      </c>
      <c r="BX28" s="39" t="str">
        <f>CCModuleCopy!$C$15</f>
        <v>Save up to $150 on select tablets</v>
      </c>
      <c r="BY28" s="39" t="str">
        <f>CCModuleCopy!$D$15</f>
        <v>NULL</v>
      </c>
      <c r="BZ28" s="39" t="str">
        <f>CCModuleCopy!$E$15</f>
        <v xml:space="preserve">Empower how you create, learn, game and more with our powerful line of tablets. Shop offers on must-have products from the new Galaxy Tab S7+ to the Galaxy Tab S6 Lite. </v>
      </c>
      <c r="CA28" s="39" t="str">
        <f>CCModuleCopy!$L$15</f>
        <v>Shop all</v>
      </c>
      <c r="CB28" s="39" t="str">
        <f>CCModuleCopy!$M$15</f>
        <v>https://www.samsung.com/us/shop/all-deals/tablets-laptops-computers-deals/</v>
      </c>
      <c r="CC28"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8" s="39" t="str">
        <f>CCModuleCopy!$O$15</f>
        <v>NULL</v>
      </c>
      <c r="CE28" s="39" t="str">
        <f>CCModuleCopy!$P$15</f>
        <v>NULL</v>
      </c>
      <c r="CF28" s="39" t="str">
        <f>CCModuleCopy!$Q$15</f>
        <v>NULL</v>
      </c>
      <c r="CG28" s="89" t="s">
        <v>367</v>
      </c>
      <c r="CH28" s="39" t="str">
        <f>CCModuleCopy!$B$11</f>
        <v>ME_HeadImage_Wearables_500xV.jpg</v>
      </c>
      <c r="CI28" s="39" t="str">
        <f>CCModuleCopy!$C$11</f>
        <v>Get up to $100 off select watches and earbuds</v>
      </c>
      <c r="CJ28" s="39" t="str">
        <f>CCModuleCopy!$D$11</f>
        <v>NULL</v>
      </c>
      <c r="CK2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8" s="39" t="str">
        <f>CCModuleCopy!$L$11</f>
        <v>Shop all</v>
      </c>
      <c r="CM28" s="39" t="str">
        <f>CCModuleCopy!$M$11</f>
        <v>https://www.samsung.com/us/shop/all-deals/tablets-wearables-cell-phone-accessories-deals/</v>
      </c>
      <c r="CN28"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28" s="39" t="str">
        <f>CCModuleCopy!$O$11</f>
        <v>NULL</v>
      </c>
      <c r="CP28" s="39" t="str">
        <f>CCModuleCopy!$P$11</f>
        <v>NULL</v>
      </c>
      <c r="CQ28" s="39" t="str">
        <f>CCModuleCopy!$Q$11</f>
        <v>NULL</v>
      </c>
      <c r="CR28" s="89" t="s">
        <v>279</v>
      </c>
      <c r="CS28" s="39" t="str">
        <f>CCModuleCopy!$B$9</f>
        <v>HA_HeadImage_Shop_HA_500xV.jpg</v>
      </c>
      <c r="CT28" s="39" t="str">
        <f>CCModuleCopy!$C$9</f>
        <v>Save up to 50% on everything you need to upgrade your home and home care</v>
      </c>
      <c r="CU28" s="39" t="str">
        <f>CCModuleCopy!$D$9</f>
        <v>NULL</v>
      </c>
      <c r="CV2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8" s="39" t="str">
        <f>CCModuleCopy!$L$9</f>
        <v>Shop all</v>
      </c>
      <c r="CX28" s="39" t="str">
        <f>CCModuleCopy!$M$9</f>
        <v>https://www.samsung.com/us/shop/all-deals/home-appliance-and-smart-home-sales/</v>
      </c>
      <c r="CY28"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8" s="39" t="str">
        <f>CCModuleCopy!$O$9</f>
        <v>NULL</v>
      </c>
      <c r="DA28" s="39" t="str">
        <f>CCModuleCopy!$P$9</f>
        <v>NULL</v>
      </c>
      <c r="DB28" s="39" t="str">
        <f>CCModuleCopy!$Q$9</f>
        <v>NULL</v>
      </c>
      <c r="DC28" s="89" t="s">
        <v>280</v>
      </c>
      <c r="DD28" s="39" t="str">
        <f>MiscBanners!$H$4</f>
        <v>Give-wonder-500xV.jpg</v>
      </c>
      <c r="DE28" s="39" t="str">
        <f>MiscBanners!$I$4</f>
        <v>The gift that keeps on giving</v>
      </c>
      <c r="DF28" s="39" t="str">
        <f>MiscBanners!$J$4</f>
        <v>NULL</v>
      </c>
      <c r="DG28" s="91" t="str">
        <f>MiscBanners!$K$4</f>
        <v>Discover even more exclusive offers on your favorite products and unlock the power of smart and savvy gifting.</v>
      </c>
      <c r="DH28" s="39" t="str">
        <f>MiscBanners!$L$4</f>
        <v>Shop now</v>
      </c>
      <c r="DI28" s="39" t="str">
        <f>MiscBanners!$M$4</f>
        <v>https://www.samsung.com/us/gift-ideas/</v>
      </c>
      <c r="DJ28"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8" s="39" t="str">
        <f>MiscBanners!$O$4</f>
        <v>NULL</v>
      </c>
      <c r="DL28" s="39" t="str">
        <f>MiscBanners!$P$4</f>
        <v>NULL</v>
      </c>
      <c r="DM28" s="39" t="str">
        <f>MiscBanners!$Q$4</f>
        <v>NULL</v>
      </c>
      <c r="DN28" s="89" t="s">
        <v>273</v>
      </c>
      <c r="DR28" s="91"/>
      <c r="DY28" s="89" t="s">
        <v>481</v>
      </c>
      <c r="DZ28" s="39" t="s">
        <v>394</v>
      </c>
      <c r="EA28" s="39" t="s">
        <v>394</v>
      </c>
      <c r="EB28" s="39" t="s">
        <v>394</v>
      </c>
      <c r="EC28" s="91" t="s">
        <v>482</v>
      </c>
      <c r="ED28" s="39" t="s">
        <v>394</v>
      </c>
      <c r="EE28" s="39" t="s">
        <v>476</v>
      </c>
      <c r="EF28" s="39">
        <v>0</v>
      </c>
      <c r="EG28" s="39" t="s">
        <v>394</v>
      </c>
      <c r="EH28" s="39" t="s">
        <v>394</v>
      </c>
      <c r="EI28" s="39" t="s">
        <v>394</v>
      </c>
      <c r="EJ28" s="89" t="s">
        <v>439</v>
      </c>
      <c r="EK28" s="39" t="s">
        <v>394</v>
      </c>
      <c r="EL28" s="39" t="s">
        <v>394</v>
      </c>
      <c r="EM28" s="39" t="s">
        <v>394</v>
      </c>
      <c r="EN28" s="91" t="s">
        <v>483</v>
      </c>
      <c r="EO28" s="39" t="s">
        <v>394</v>
      </c>
      <c r="EP28" s="39" t="s">
        <v>476</v>
      </c>
      <c r="EQ28" s="39">
        <v>0</v>
      </c>
      <c r="ER28" s="39" t="s">
        <v>394</v>
      </c>
      <c r="ES28" s="39" t="s">
        <v>394</v>
      </c>
      <c r="ET28" s="39" t="s">
        <v>394</v>
      </c>
      <c r="EU28" s="89" t="s">
        <v>441</v>
      </c>
      <c r="EV28" s="39" t="s">
        <v>394</v>
      </c>
      <c r="EW28" s="39" t="s">
        <v>394</v>
      </c>
      <c r="EX28" s="39" t="s">
        <v>394</v>
      </c>
      <c r="EY28" s="91" t="s">
        <v>485</v>
      </c>
      <c r="EZ28" s="39" t="s">
        <v>394</v>
      </c>
      <c r="FA28" s="39">
        <v>0</v>
      </c>
      <c r="FB28" s="39">
        <v>0</v>
      </c>
      <c r="FC28" s="39" t="s">
        <v>394</v>
      </c>
      <c r="FD28" s="39" t="s">
        <v>394</v>
      </c>
      <c r="FE28" s="39" t="s">
        <v>394</v>
      </c>
      <c r="FF28" s="89"/>
      <c r="FJ28" s="91"/>
    </row>
    <row r="29" spans="1:172" s="39" customFormat="1" ht="99.95" customHeight="1" x14ac:dyDescent="0.25">
      <c r="A29" s="39" t="s">
        <v>235</v>
      </c>
      <c r="B29" s="39" t="s">
        <v>369</v>
      </c>
      <c r="C29" s="39" t="s">
        <v>237</v>
      </c>
      <c r="D29" s="39" t="s">
        <v>237</v>
      </c>
      <c r="E29" s="39" t="s">
        <v>383</v>
      </c>
      <c r="G29" s="88" t="s">
        <v>540</v>
      </c>
      <c r="H29" s="88" t="s">
        <v>539</v>
      </c>
      <c r="I29" s="89" t="s">
        <v>381</v>
      </c>
      <c r="J29" s="39" t="str">
        <f>[1]MiscBanners!$G$4</f>
        <v>Cross-Category_Black_Friday_Week_01.jpg</v>
      </c>
      <c r="K29" s="92" t="s">
        <v>392</v>
      </c>
      <c r="L29" s="92" t="s">
        <v>393</v>
      </c>
      <c r="M29" s="39" t="s">
        <v>394</v>
      </c>
      <c r="N29" s="39" t="s">
        <v>394</v>
      </c>
      <c r="O29" s="39" t="str">
        <f>[1]MiscBanners!$B$4</f>
        <v>https://www.samsung.com/us/shop/all-deals/</v>
      </c>
      <c r="P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9" s="39" t="s">
        <v>394</v>
      </c>
      <c r="R29" s="39" t="s">
        <v>394</v>
      </c>
      <c r="S29" s="89" t="s">
        <v>407</v>
      </c>
      <c r="T29" s="39" t="str">
        <f>'Dynamic Banners'!$L$5</f>
        <v>Cyber-monday-2.png</v>
      </c>
      <c r="U29" s="39" t="str">
        <f>'Dynamic Banners'!$M$5</f>
        <v xml:space="preserve">Cyber Monday is over. But, Cyber Week is just beginning. </v>
      </c>
      <c r="V29" s="39" t="s">
        <v>394</v>
      </c>
      <c r="W29" s="39" t="str">
        <f>'Dynamic Banners'!$N$5</f>
        <v xml:space="preserve">Shop amazing offers on showstopping products while supplies last. </v>
      </c>
      <c r="X29" s="39" t="s">
        <v>394</v>
      </c>
      <c r="Y29" s="39" t="str">
        <f>[1]MiscBanners!$B$4</f>
        <v>https://www.samsung.com/us/shop/all-deals/</v>
      </c>
      <c r="Z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9" s="39" t="s">
        <v>394</v>
      </c>
      <c r="AB29" s="39" t="s">
        <v>394</v>
      </c>
      <c r="AC29" s="39" t="s">
        <v>394</v>
      </c>
      <c r="AD29" s="89" t="s">
        <v>408</v>
      </c>
      <c r="AE29" s="39" t="s">
        <v>394</v>
      </c>
      <c r="AF29" s="39" t="s">
        <v>394</v>
      </c>
      <c r="AG29" s="7" t="s">
        <v>559</v>
      </c>
      <c r="AH29" s="39" t="s">
        <v>561</v>
      </c>
      <c r="AI29" s="39" t="s">
        <v>394</v>
      </c>
      <c r="AJ29" s="39" t="str">
        <f>[1]MiscBanners!$B$4</f>
        <v>https://www.samsung.com/us/shop/all-deals/</v>
      </c>
      <c r="AK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9" s="39" t="s">
        <v>394</v>
      </c>
      <c r="AM29" s="39" t="s">
        <v>394</v>
      </c>
      <c r="AN29" s="39" t="s">
        <v>394</v>
      </c>
      <c r="AO29" s="89" t="s">
        <v>279</v>
      </c>
      <c r="AP29" s="39" t="str">
        <f>CCModuleCopy!$B$9</f>
        <v>HA_HeadImage_Shop_HA_500xV.jpg</v>
      </c>
      <c r="AQ29" s="39" t="str">
        <f>CCModuleCopy!$C$9</f>
        <v>Save up to 50% on everything you need to upgrade your home and home care</v>
      </c>
      <c r="AR29" s="39" t="str">
        <f>CCModuleCopy!$D$9</f>
        <v>NULL</v>
      </c>
      <c r="AS2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29" s="39" t="str">
        <f>CCModuleCopy!$L$9</f>
        <v>Shop all</v>
      </c>
      <c r="AU29" s="39" t="str">
        <f>CCModuleCopy!$M$9</f>
        <v>https://www.samsung.com/us/shop/all-deals/home-appliance-and-smart-home-sales/</v>
      </c>
      <c r="AV29"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AW29" s="39" t="str">
        <f>CCModuleCopy!$O$9</f>
        <v>NULL</v>
      </c>
      <c r="AX29" s="39" t="str">
        <f>CCModuleCopy!$P$9</f>
        <v>NULL</v>
      </c>
      <c r="AY29" s="39" t="str">
        <f>CCModuleCopy!$Q$9</f>
        <v>NULL</v>
      </c>
      <c r="AZ29" s="89" t="s">
        <v>371</v>
      </c>
      <c r="BA29" s="39" t="str">
        <f>CCModuleCopy!$B$5</f>
        <v>IM_HeadImage_Shop_Phones_500xV.jpg</v>
      </c>
      <c r="BB29" s="39" t="str">
        <f>CCModuleCopy!$C$5</f>
        <v>Save up to $1000 instantly on the latest and greatest Galaxy smartphones</v>
      </c>
      <c r="BC29" s="39" t="str">
        <f>CCModuleCopy!$D$5</f>
        <v>NULL</v>
      </c>
      <c r="BD29"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9" s="39" t="str">
        <f>CCModuleCopy!$L$5</f>
        <v>Shop all</v>
      </c>
      <c r="BF29" s="39" t="str">
        <f>CCModuleCopy!$M$5</f>
        <v>https://www.samsung.com/us/shop/all-deals/cell-phone-deals/</v>
      </c>
      <c r="BG29"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9" s="39" t="str">
        <f>CCModuleCopy!$O$5</f>
        <v>NULL</v>
      </c>
      <c r="BI29" s="39" t="str">
        <f>CCModuleCopy!$P$5</f>
        <v>NULL</v>
      </c>
      <c r="BJ29" s="39" t="str">
        <f>CCModuleCopy!$Q$5</f>
        <v>NULL</v>
      </c>
      <c r="BK29" s="89" t="s">
        <v>265</v>
      </c>
      <c r="BL29" s="39" t="str">
        <f>CCModuleCopy!$B$7</f>
        <v>HE_HeadImage_Shop_TVs_500xV.jpg</v>
      </c>
      <c r="BM29" s="39" t="str">
        <f>CCModuleCopy!$C$7</f>
        <v>Get up to $3000 off select 8K, 4K and Lifestyle TVs</v>
      </c>
      <c r="BN29" s="39" t="str">
        <f>CCModuleCopy!$D$7</f>
        <v>NULL</v>
      </c>
      <c r="BO2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9" s="39" t="str">
        <f>CCModuleCopy!$L$7</f>
        <v>Shop all</v>
      </c>
      <c r="BQ29" s="39" t="str">
        <f>CCModuleCopy!$M$7</f>
        <v>https://www.samsung.com/us/shop/all-deals/tv-and-home-theater-deals/</v>
      </c>
      <c r="BR29"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9" s="39" t="str">
        <f>CCModuleCopy!$O$7</f>
        <v>NULL</v>
      </c>
      <c r="BT29" s="39" t="str">
        <f>CCModuleCopy!$P$7</f>
        <v>NULL</v>
      </c>
      <c r="BU29" s="39" t="str">
        <f>CCModuleCopy!$Q$7</f>
        <v>NULL</v>
      </c>
      <c r="BV29" s="89" t="s">
        <v>266</v>
      </c>
      <c r="BW29" s="39" t="str">
        <f>CCModuleCopy!$B$15</f>
        <v>Tablet-HeadImage-500xV.jpg</v>
      </c>
      <c r="BX29" s="39" t="str">
        <f>CCModuleCopy!$C$15</f>
        <v>Save up to $150 on select tablets</v>
      </c>
      <c r="BY29" s="39" t="str">
        <f>CCModuleCopy!$D$15</f>
        <v>NULL</v>
      </c>
      <c r="BZ29" s="39" t="str">
        <f>CCModuleCopy!$E$15</f>
        <v xml:space="preserve">Empower how you create, learn, game and more with our powerful line of tablets. Shop offers on must-have products from the new Galaxy Tab S7+ to the Galaxy Tab S6 Lite. </v>
      </c>
      <c r="CA29" s="39" t="str">
        <f>CCModuleCopy!$L$15</f>
        <v>Shop all</v>
      </c>
      <c r="CB29" s="39" t="str">
        <f>CCModuleCopy!$M$15</f>
        <v>https://www.samsung.com/us/shop/all-deals/tablets-laptops-computers-deals/</v>
      </c>
      <c r="CC29"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9" s="39" t="str">
        <f>CCModuleCopy!$O$15</f>
        <v>NULL</v>
      </c>
      <c r="CE29" s="39" t="str">
        <f>CCModuleCopy!$P$15</f>
        <v>NULL</v>
      </c>
      <c r="CF29" s="39" t="str">
        <f>CCModuleCopy!$Q$15</f>
        <v>NULL</v>
      </c>
      <c r="CG29" s="89" t="s">
        <v>367</v>
      </c>
      <c r="CH29" s="39" t="str">
        <f>CCModuleCopy!$B$11</f>
        <v>ME_HeadImage_Wearables_500xV.jpg</v>
      </c>
      <c r="CI29" s="39" t="str">
        <f>CCModuleCopy!$C$11</f>
        <v>Get up to $100 off select watches and earbuds</v>
      </c>
      <c r="CJ29" s="39" t="str">
        <f>CCModuleCopy!$D$11</f>
        <v>NULL</v>
      </c>
      <c r="CK2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9" s="39" t="str">
        <f>CCModuleCopy!$L$11</f>
        <v>Shop all</v>
      </c>
      <c r="CM29" s="39" t="str">
        <f>CCModuleCopy!$M$11</f>
        <v>https://www.samsung.com/us/shop/all-deals/tablets-wearables-cell-phone-accessories-deals/</v>
      </c>
      <c r="CN29"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29" s="39" t="str">
        <f>CCModuleCopy!$O$11</f>
        <v>NULL</v>
      </c>
      <c r="CP29" s="39" t="str">
        <f>CCModuleCopy!$P$11</f>
        <v>NULL</v>
      </c>
      <c r="CQ29" s="39" t="str">
        <f>CCModuleCopy!$Q$11</f>
        <v>NULL</v>
      </c>
      <c r="CR29" s="89" t="s">
        <v>368</v>
      </c>
      <c r="CS29" s="39" t="str">
        <f>CCModuleCopy!$B$13</f>
        <v>CE_HeadImage_Computing_500xV.jpg</v>
      </c>
      <c r="CT29" s="39" t="str">
        <f>CCModuleCopy!$C$13</f>
        <v>Get up to 60% off memory cards, SSD, monitors and more</v>
      </c>
      <c r="CU29" s="39" t="str">
        <f>CCModuleCopy!$D$13</f>
        <v>NULL</v>
      </c>
      <c r="CV29" s="39" t="str">
        <f>CCModuleCopy!$E$13</f>
        <v xml:space="preserve">Expand the way you play, store and create and get up to 30% off monitors, up to 60% off memory cards, up to 35% off SSD and more. Work and game smarter, not harder with these must-have computing offers. </v>
      </c>
      <c r="CW29" s="39" t="str">
        <f>CCModuleCopy!$L$13</f>
        <v>Shop all</v>
      </c>
      <c r="CX29" s="39" t="str">
        <f>CCModuleCopy!$M$13</f>
        <v>https://www.samsung.com/us/shop/all-deals/laptop-and-computer-deals/</v>
      </c>
      <c r="CY29"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Z29" s="39" t="str">
        <f>CCModuleCopy!$O$13</f>
        <v>NULL</v>
      </c>
      <c r="DA29" s="39" t="str">
        <f>CCModuleCopy!$P$13</f>
        <v>NULL</v>
      </c>
      <c r="DB29" s="39" t="str">
        <f>CCModuleCopy!$Q$13</f>
        <v>NULL</v>
      </c>
      <c r="DC29" s="89" t="s">
        <v>280</v>
      </c>
      <c r="DD29" s="39" t="str">
        <f>MiscBanners!$H$4</f>
        <v>Give-wonder-500xV.jpg</v>
      </c>
      <c r="DE29" s="39" t="str">
        <f>MiscBanners!$I$4</f>
        <v>The gift that keeps on giving</v>
      </c>
      <c r="DF29" s="39" t="str">
        <f>MiscBanners!$J$4</f>
        <v>NULL</v>
      </c>
      <c r="DG29" s="91" t="str">
        <f>MiscBanners!$K$4</f>
        <v>Discover even more exclusive offers on your favorite products and unlock the power of smart and savvy gifting.</v>
      </c>
      <c r="DH29" s="39" t="str">
        <f>MiscBanners!$L$4</f>
        <v>Shop now</v>
      </c>
      <c r="DI29" s="39" t="str">
        <f>MiscBanners!$M$4</f>
        <v>https://www.samsung.com/us/gift-ideas/</v>
      </c>
      <c r="DJ29"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9" s="39" t="str">
        <f>MiscBanners!$O$4</f>
        <v>NULL</v>
      </c>
      <c r="DL29" s="39" t="str">
        <f>MiscBanners!$P$4</f>
        <v>NULL</v>
      </c>
      <c r="DM29" s="39" t="str">
        <f>MiscBanners!$Q$4</f>
        <v>NULL</v>
      </c>
      <c r="DN29" s="89" t="s">
        <v>273</v>
      </c>
      <c r="DR29" s="91"/>
      <c r="DY29" s="89" t="s">
        <v>481</v>
      </c>
      <c r="DZ29" s="39" t="s">
        <v>394</v>
      </c>
      <c r="EA29" s="39" t="s">
        <v>394</v>
      </c>
      <c r="EB29" s="39" t="s">
        <v>394</v>
      </c>
      <c r="EC29" s="91" t="s">
        <v>482</v>
      </c>
      <c r="ED29" s="39" t="s">
        <v>394</v>
      </c>
      <c r="EE29" s="39" t="s">
        <v>476</v>
      </c>
      <c r="EF29" s="39">
        <v>0</v>
      </c>
      <c r="EG29" s="39" t="s">
        <v>394</v>
      </c>
      <c r="EH29" s="39" t="s">
        <v>394</v>
      </c>
      <c r="EI29" s="39" t="s">
        <v>394</v>
      </c>
      <c r="EJ29" s="89" t="s">
        <v>439</v>
      </c>
      <c r="EK29" s="39" t="s">
        <v>394</v>
      </c>
      <c r="EL29" s="39" t="s">
        <v>394</v>
      </c>
      <c r="EM29" s="39" t="s">
        <v>394</v>
      </c>
      <c r="EN29" s="91" t="s">
        <v>483</v>
      </c>
      <c r="EO29" s="39" t="s">
        <v>394</v>
      </c>
      <c r="EP29" s="39" t="s">
        <v>476</v>
      </c>
      <c r="EQ29" s="39">
        <v>0</v>
      </c>
      <c r="ER29" s="39" t="s">
        <v>394</v>
      </c>
      <c r="ES29" s="39" t="s">
        <v>394</v>
      </c>
      <c r="ET29" s="39" t="s">
        <v>394</v>
      </c>
      <c r="EU29" s="89" t="s">
        <v>441</v>
      </c>
      <c r="EV29" s="39" t="s">
        <v>394</v>
      </c>
      <c r="EW29" s="39" t="s">
        <v>394</v>
      </c>
      <c r="EX29" s="39" t="s">
        <v>394</v>
      </c>
      <c r="EY29" s="91" t="s">
        <v>485</v>
      </c>
      <c r="EZ29" s="39" t="s">
        <v>394</v>
      </c>
      <c r="FA29" s="39">
        <v>0</v>
      </c>
      <c r="FB29" s="39">
        <v>0</v>
      </c>
      <c r="FC29" s="39" t="s">
        <v>394</v>
      </c>
      <c r="FD29" s="39" t="s">
        <v>394</v>
      </c>
      <c r="FE29" s="39" t="s">
        <v>394</v>
      </c>
      <c r="FF29" s="89"/>
      <c r="FJ29" s="91"/>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P29"/>
  <sheetViews>
    <sheetView zoomScale="85" zoomScaleNormal="85" workbookViewId="0">
      <pane ySplit="3" topLeftCell="A4" activePane="bottomLeft" state="frozen"/>
      <selection activeCell="A6" sqref="A6"/>
      <selection pane="bottomLeft" activeCell="G4" sqref="G4"/>
    </sheetView>
  </sheetViews>
  <sheetFormatPr defaultColWidth="8.85546875" defaultRowHeight="15" x14ac:dyDescent="0.25"/>
  <cols>
    <col min="1" max="1" width="7.85546875" style="7" bestFit="1" customWidth="1"/>
    <col min="2" max="2" width="18.7109375" style="7" bestFit="1" customWidth="1"/>
    <col min="3" max="3" width="3.7109375" style="7" customWidth="1"/>
    <col min="4" max="4" width="3.85546875" style="7" customWidth="1"/>
    <col min="5" max="5" width="14.5703125" style="7" bestFit="1" customWidth="1"/>
    <col min="6" max="6" width="3.28515625" style="7" customWidth="1"/>
    <col min="7" max="8" width="30.7109375" style="7" customWidth="1"/>
    <col min="9" max="9" width="13.85546875" style="7" customWidth="1"/>
    <col min="10" max="10" width="15.42578125" style="7" customWidth="1"/>
    <col min="11" max="11" width="22.28515625" style="7" customWidth="1"/>
    <col min="12" max="12" width="22.7109375" style="7" customWidth="1"/>
    <col min="13" max="14" width="15.85546875" style="7" customWidth="1"/>
    <col min="15" max="16" width="12.28515625" style="7" customWidth="1"/>
    <col min="17" max="18" width="13.85546875" style="7" customWidth="1"/>
    <col min="19" max="19" width="15.7109375" style="7" customWidth="1"/>
    <col min="20" max="20" width="17.28515625" style="7" customWidth="1"/>
    <col min="21" max="21" width="20" style="7" customWidth="1"/>
    <col min="22" max="22" width="16.140625" style="7" customWidth="1"/>
    <col min="23" max="24" width="15.85546875" style="7" customWidth="1"/>
    <col min="25" max="25" width="15.7109375" style="7" customWidth="1"/>
    <col min="26" max="26" width="10.28515625" style="7" customWidth="1"/>
    <col min="27" max="27" width="9.28515625" style="7" customWidth="1"/>
    <col min="28" max="28" width="9" style="7" customWidth="1"/>
    <col min="29" max="29" width="10.85546875" style="7" customWidth="1"/>
    <col min="30" max="30" width="13" style="7" customWidth="1"/>
    <col min="31" max="31" width="9.28515625" style="7" customWidth="1"/>
    <col min="32" max="32" width="10.42578125" style="7" customWidth="1"/>
    <col min="33" max="33" width="13" style="7" customWidth="1"/>
    <col min="34" max="34" width="47.5703125" style="7" customWidth="1"/>
    <col min="35" max="35" width="8.7109375" style="7" customWidth="1"/>
    <col min="36" max="36" width="8.28515625" style="7" customWidth="1"/>
    <col min="37" max="37" width="10.28515625" style="7" customWidth="1"/>
    <col min="38" max="38" width="9.42578125" style="7" customWidth="1"/>
    <col min="39" max="39" width="9" style="7" customWidth="1"/>
    <col min="40" max="40" width="10.85546875" style="7" customWidth="1"/>
    <col min="41" max="41" width="11.28515625" style="7" customWidth="1"/>
    <col min="42" max="42" width="9.85546875" style="7" customWidth="1"/>
    <col min="43" max="43" width="11.28515625" style="7" customWidth="1"/>
    <col min="44" max="44" width="10.42578125" style="7" customWidth="1"/>
    <col min="45" max="45" width="37.140625" style="7" customWidth="1"/>
    <col min="46" max="46" width="9.85546875" style="7" customWidth="1"/>
    <col min="47" max="47" width="10" style="7" customWidth="1"/>
    <col min="48" max="48" width="10.28515625" style="7" customWidth="1"/>
    <col min="49" max="49" width="9.5703125" style="7" customWidth="1"/>
    <col min="50" max="50" width="9.7109375" style="7" customWidth="1"/>
    <col min="51" max="51" width="10.85546875" style="7" customWidth="1"/>
    <col min="52" max="52" width="9.5703125" style="7" customWidth="1"/>
    <col min="53" max="53" width="9.28515625" style="7" customWidth="1"/>
    <col min="54" max="55" width="10.42578125" style="7" customWidth="1"/>
    <col min="56" max="56" width="32.140625" style="7" customWidth="1"/>
    <col min="57" max="57" width="9.28515625" style="7" customWidth="1"/>
    <col min="58" max="58" width="9.7109375" style="7" customWidth="1"/>
    <col min="59" max="59" width="10.28515625" style="7" customWidth="1"/>
    <col min="60" max="60" width="9.5703125" style="7" customWidth="1"/>
    <col min="61" max="61" width="9.28515625" style="7" customWidth="1"/>
    <col min="62" max="62" width="10.7109375" style="7" customWidth="1"/>
    <col min="63" max="63" width="9.140625" style="7" customWidth="1"/>
    <col min="64" max="64" width="9.85546875" style="7" customWidth="1"/>
    <col min="65" max="65" width="13.42578125" style="7" customWidth="1"/>
    <col min="66" max="66" width="10.42578125" style="7" customWidth="1"/>
    <col min="67" max="67" width="32.7109375" style="7" customWidth="1"/>
    <col min="68" max="68" width="9.85546875" style="7" customWidth="1"/>
    <col min="69" max="69" width="10" style="7" customWidth="1"/>
    <col min="70" max="70" width="10.28515625" style="7" customWidth="1"/>
    <col min="71" max="71" width="9.42578125" style="7" customWidth="1"/>
    <col min="72" max="72" width="9.7109375" style="7" customWidth="1"/>
    <col min="73" max="73" width="10.85546875" style="7" customWidth="1"/>
    <col min="74" max="74" width="7" style="7" customWidth="1"/>
    <col min="75" max="75" width="9.85546875" style="7" customWidth="1"/>
    <col min="76" max="76" width="10.7109375" style="7" customWidth="1"/>
    <col min="77" max="77" width="10.42578125" style="7" customWidth="1"/>
    <col min="78" max="78" width="33.5703125" style="7" customWidth="1"/>
    <col min="79" max="79" width="9.85546875" style="7" customWidth="1"/>
    <col min="80" max="80" width="10" style="7" customWidth="1"/>
    <col min="81" max="81" width="10.28515625" style="27" customWidth="1"/>
    <col min="82" max="82" width="10" style="7" customWidth="1"/>
    <col min="83" max="83" width="9.85546875" style="7" customWidth="1"/>
    <col min="84" max="84" width="10.85546875" style="7" customWidth="1"/>
    <col min="85" max="85" width="6.5703125" style="7" customWidth="1"/>
    <col min="86" max="86" width="9.85546875" style="7" customWidth="1"/>
    <col min="87" max="87" width="10.7109375" style="7" customWidth="1"/>
    <col min="88" max="88" width="10.42578125" style="7" customWidth="1"/>
    <col min="89" max="89" width="33.140625" style="7" customWidth="1"/>
    <col min="90" max="90" width="9.85546875" style="7" customWidth="1"/>
    <col min="91" max="91" width="9.140625" style="7" customWidth="1"/>
    <col min="92" max="93" width="9.5703125" style="7" customWidth="1"/>
    <col min="94" max="94" width="9.7109375" style="7" customWidth="1"/>
    <col min="95" max="95" width="10.85546875" style="7" customWidth="1"/>
    <col min="96" max="96" width="17.42578125" style="7" customWidth="1"/>
    <col min="97" max="97" width="9.85546875" style="7" customWidth="1"/>
    <col min="98" max="98" width="11" style="7" customWidth="1"/>
    <col min="99" max="99" width="10.42578125" style="7" customWidth="1"/>
    <col min="100" max="100" width="31.5703125" style="7" customWidth="1"/>
    <col min="101" max="101" width="9.85546875" style="7" customWidth="1"/>
    <col min="102" max="102" width="10" style="7" customWidth="1"/>
    <col min="103" max="103" width="10.28515625" style="7" customWidth="1"/>
    <col min="104" max="104" width="9.5703125" style="7" customWidth="1"/>
    <col min="105" max="105" width="9.7109375" style="7" customWidth="1"/>
    <col min="106" max="106" width="10.85546875" style="7" customWidth="1"/>
    <col min="107" max="107" width="17.85546875" style="7" customWidth="1"/>
    <col min="108" max="108" width="17.28515625" style="7" customWidth="1"/>
    <col min="109" max="110" width="20" style="7" customWidth="1"/>
    <col min="111" max="111" width="47.28515625" style="27" customWidth="1"/>
    <col min="112" max="112" width="15.85546875" style="7" customWidth="1"/>
    <col min="113" max="117" width="15.7109375" style="7" customWidth="1"/>
    <col min="118" max="118" width="17.5703125" style="7" customWidth="1"/>
    <col min="119" max="119" width="17.28515625" style="7" customWidth="1"/>
    <col min="120" max="121" width="20" style="7" customWidth="1"/>
    <col min="122" max="122" width="47.42578125" style="27" customWidth="1"/>
    <col min="123" max="123" width="15.85546875" style="7" customWidth="1"/>
    <col min="124" max="128" width="15.7109375" style="7" customWidth="1"/>
    <col min="129" max="129" width="17.5703125" style="7" customWidth="1"/>
    <col min="130" max="130" width="17.28515625" style="7" bestFit="1" customWidth="1"/>
    <col min="131" max="131" width="20" style="7" bestFit="1" customWidth="1"/>
    <col min="132" max="132" width="20" style="7" customWidth="1"/>
    <col min="133" max="133" width="47.42578125" style="27" customWidth="1"/>
    <col min="134" max="134" width="15.85546875" style="7" bestFit="1" customWidth="1"/>
    <col min="135" max="135" width="15.7109375" style="7" bestFit="1" customWidth="1"/>
    <col min="136" max="139" width="15.7109375" style="7" customWidth="1"/>
    <col min="140" max="140" width="17.5703125" style="7" customWidth="1"/>
    <col min="141" max="141" width="17.28515625" style="7" bestFit="1" customWidth="1"/>
    <col min="142" max="142" width="20" style="7" bestFit="1" customWidth="1"/>
    <col min="143" max="143" width="20" style="7" customWidth="1"/>
    <col min="144" max="144" width="48" style="27" customWidth="1"/>
    <col min="145" max="145" width="15.85546875" style="7" bestFit="1" customWidth="1"/>
    <col min="146" max="146" width="15.7109375" style="7" bestFit="1" customWidth="1"/>
    <col min="147" max="150" width="15.7109375" style="7" customWidth="1"/>
    <col min="151" max="151" width="17.5703125" style="7" customWidth="1"/>
    <col min="152" max="152" width="17.28515625" style="7" bestFit="1" customWidth="1"/>
    <col min="153" max="153" width="20" style="7" bestFit="1" customWidth="1"/>
    <col min="154" max="154" width="20" style="7" customWidth="1"/>
    <col min="155" max="155" width="48" style="27" customWidth="1"/>
    <col min="156" max="156" width="15.85546875" style="7" bestFit="1" customWidth="1"/>
    <col min="157" max="157" width="15.7109375" style="7" bestFit="1" customWidth="1"/>
    <col min="158" max="161" width="15.7109375" style="7" customWidth="1"/>
    <col min="162" max="162" width="17.5703125" style="7" customWidth="1"/>
    <col min="163" max="163" width="17.28515625" style="7" bestFit="1" customWidth="1"/>
    <col min="164" max="164" width="20" style="7" bestFit="1" customWidth="1"/>
    <col min="165" max="165" width="20" style="7" customWidth="1"/>
    <col min="166" max="166" width="47.140625" style="27" customWidth="1"/>
    <col min="167" max="167" width="15.85546875" style="7" bestFit="1" customWidth="1"/>
    <col min="168" max="168" width="15.7109375" style="7" bestFit="1" customWidth="1"/>
    <col min="169" max="172" width="15.7109375" style="7" customWidth="1"/>
    <col min="173" max="16384" width="8.85546875" style="7"/>
  </cols>
  <sheetData>
    <row r="1" spans="1:172" ht="30" x14ac:dyDescent="0.25">
      <c r="A1" s="51" t="s">
        <v>242</v>
      </c>
      <c r="B1" s="50" t="s">
        <v>244</v>
      </c>
      <c r="H1" s="57"/>
      <c r="J1" s="57"/>
      <c r="K1" s="57"/>
      <c r="N1" s="57"/>
    </row>
    <row r="2" spans="1:172" ht="15.75" thickBot="1" x14ac:dyDescent="0.3"/>
    <row r="3" spans="1:172" ht="47.45" customHeight="1" x14ac:dyDescent="0.25">
      <c r="A3" s="85" t="s">
        <v>176</v>
      </c>
      <c r="B3" s="86" t="s">
        <v>177</v>
      </c>
      <c r="C3" s="86" t="s">
        <v>178</v>
      </c>
      <c r="D3" s="86" t="s">
        <v>179</v>
      </c>
      <c r="E3" s="86" t="s">
        <v>180</v>
      </c>
      <c r="F3" s="87" t="s">
        <v>181</v>
      </c>
      <c r="G3" s="49" t="s">
        <v>198</v>
      </c>
      <c r="H3" s="49" t="s">
        <v>199</v>
      </c>
      <c r="I3" s="59" t="s">
        <v>246</v>
      </c>
      <c r="J3" s="59" t="s">
        <v>396</v>
      </c>
      <c r="K3" s="60" t="s">
        <v>183</v>
      </c>
      <c r="L3" s="60" t="s">
        <v>297</v>
      </c>
      <c r="M3" s="60" t="s">
        <v>184</v>
      </c>
      <c r="N3" s="60" t="s">
        <v>185</v>
      </c>
      <c r="O3" s="60" t="s">
        <v>186</v>
      </c>
      <c r="P3" s="60" t="s">
        <v>294</v>
      </c>
      <c r="Q3" s="60" t="s">
        <v>295</v>
      </c>
      <c r="R3" s="60" t="s">
        <v>296</v>
      </c>
      <c r="S3" s="49" t="s">
        <v>245</v>
      </c>
      <c r="T3" s="59" t="s">
        <v>397</v>
      </c>
      <c r="U3" s="60" t="s">
        <v>187</v>
      </c>
      <c r="V3" s="60" t="s">
        <v>315</v>
      </c>
      <c r="W3" s="60" t="s">
        <v>188</v>
      </c>
      <c r="X3" s="60" t="s">
        <v>189</v>
      </c>
      <c r="Y3" s="60" t="s">
        <v>316</v>
      </c>
      <c r="Z3" s="60" t="s">
        <v>317</v>
      </c>
      <c r="AA3" s="60" t="s">
        <v>424</v>
      </c>
      <c r="AB3" s="60" t="s">
        <v>318</v>
      </c>
      <c r="AC3" s="60" t="s">
        <v>319</v>
      </c>
      <c r="AD3" s="55" t="s">
        <v>247</v>
      </c>
      <c r="AE3" s="59" t="s">
        <v>398</v>
      </c>
      <c r="AF3" s="60" t="s">
        <v>190</v>
      </c>
      <c r="AG3" s="60" t="s">
        <v>320</v>
      </c>
      <c r="AH3" s="60" t="s">
        <v>191</v>
      </c>
      <c r="AI3" s="60" t="s">
        <v>192</v>
      </c>
      <c r="AJ3" s="60" t="s">
        <v>193</v>
      </c>
      <c r="AK3" s="60" t="s">
        <v>321</v>
      </c>
      <c r="AL3" s="60" t="s">
        <v>425</v>
      </c>
      <c r="AM3" s="60" t="s">
        <v>322</v>
      </c>
      <c r="AN3" s="60" t="s">
        <v>323</v>
      </c>
      <c r="AO3" s="55" t="s">
        <v>248</v>
      </c>
      <c r="AP3" s="59" t="s">
        <v>399</v>
      </c>
      <c r="AQ3" s="60" t="s">
        <v>194</v>
      </c>
      <c r="AR3" s="60" t="s">
        <v>324</v>
      </c>
      <c r="AS3" s="60" t="s">
        <v>195</v>
      </c>
      <c r="AT3" s="60" t="s">
        <v>196</v>
      </c>
      <c r="AU3" s="60" t="s">
        <v>197</v>
      </c>
      <c r="AV3" s="60" t="s">
        <v>325</v>
      </c>
      <c r="AW3" s="60" t="s">
        <v>426</v>
      </c>
      <c r="AX3" s="60" t="s">
        <v>326</v>
      </c>
      <c r="AY3" s="60" t="s">
        <v>409</v>
      </c>
      <c r="AZ3" s="56" t="s">
        <v>249</v>
      </c>
      <c r="BA3" s="59" t="s">
        <v>400</v>
      </c>
      <c r="BB3" s="60" t="s">
        <v>250</v>
      </c>
      <c r="BC3" s="60" t="s">
        <v>327</v>
      </c>
      <c r="BD3" s="60" t="s">
        <v>251</v>
      </c>
      <c r="BE3" s="60" t="s">
        <v>252</v>
      </c>
      <c r="BF3" s="60" t="s">
        <v>253</v>
      </c>
      <c r="BG3" s="60" t="s">
        <v>328</v>
      </c>
      <c r="BH3" s="60" t="s">
        <v>427</v>
      </c>
      <c r="BI3" s="60" t="s">
        <v>329</v>
      </c>
      <c r="BJ3" s="60" t="s">
        <v>410</v>
      </c>
      <c r="BK3" s="56" t="s">
        <v>259</v>
      </c>
      <c r="BL3" s="59" t="s">
        <v>401</v>
      </c>
      <c r="BM3" s="60" t="s">
        <v>260</v>
      </c>
      <c r="BN3" s="60" t="s">
        <v>330</v>
      </c>
      <c r="BO3" s="60" t="s">
        <v>261</v>
      </c>
      <c r="BP3" s="60" t="s">
        <v>262</v>
      </c>
      <c r="BQ3" s="60" t="s">
        <v>263</v>
      </c>
      <c r="BR3" s="60" t="s">
        <v>331</v>
      </c>
      <c r="BS3" s="60" t="s">
        <v>428</v>
      </c>
      <c r="BT3" s="60" t="s">
        <v>332</v>
      </c>
      <c r="BU3" s="60" t="s">
        <v>333</v>
      </c>
      <c r="BV3" s="56" t="s">
        <v>268</v>
      </c>
      <c r="BW3" s="59" t="s">
        <v>402</v>
      </c>
      <c r="BX3" s="60" t="s">
        <v>269</v>
      </c>
      <c r="BY3" s="60" t="s">
        <v>334</v>
      </c>
      <c r="BZ3" s="60" t="s">
        <v>270</v>
      </c>
      <c r="CA3" s="60" t="s">
        <v>271</v>
      </c>
      <c r="CB3" s="60" t="s">
        <v>272</v>
      </c>
      <c r="CC3" s="84" t="s">
        <v>335</v>
      </c>
      <c r="CD3" s="60" t="s">
        <v>429</v>
      </c>
      <c r="CE3" s="60" t="s">
        <v>336</v>
      </c>
      <c r="CF3" s="60" t="s">
        <v>337</v>
      </c>
      <c r="CG3" s="56" t="s">
        <v>274</v>
      </c>
      <c r="CH3" s="59" t="s">
        <v>403</v>
      </c>
      <c r="CI3" s="60" t="s">
        <v>275</v>
      </c>
      <c r="CJ3" s="60" t="s">
        <v>338</v>
      </c>
      <c r="CK3" s="60" t="s">
        <v>276</v>
      </c>
      <c r="CL3" s="60" t="s">
        <v>277</v>
      </c>
      <c r="CM3" s="60" t="s">
        <v>278</v>
      </c>
      <c r="CN3" s="60" t="s">
        <v>339</v>
      </c>
      <c r="CO3" s="60" t="s">
        <v>430</v>
      </c>
      <c r="CP3" s="60" t="s">
        <v>340</v>
      </c>
      <c r="CQ3" s="60" t="s">
        <v>341</v>
      </c>
      <c r="CR3" s="56" t="s">
        <v>281</v>
      </c>
      <c r="CS3" s="59" t="s">
        <v>404</v>
      </c>
      <c r="CT3" s="60" t="s">
        <v>282</v>
      </c>
      <c r="CU3" s="60" t="s">
        <v>342</v>
      </c>
      <c r="CV3" s="60" t="s">
        <v>283</v>
      </c>
      <c r="CW3" s="60" t="s">
        <v>284</v>
      </c>
      <c r="CX3" s="60" t="s">
        <v>285</v>
      </c>
      <c r="CY3" s="60" t="s">
        <v>343</v>
      </c>
      <c r="CZ3" s="60" t="s">
        <v>431</v>
      </c>
      <c r="DA3" s="60" t="s">
        <v>344</v>
      </c>
      <c r="DB3" s="60" t="s">
        <v>345</v>
      </c>
      <c r="DC3" s="56" t="s">
        <v>286</v>
      </c>
      <c r="DD3" s="59" t="s">
        <v>405</v>
      </c>
      <c r="DE3" s="60" t="s">
        <v>287</v>
      </c>
      <c r="DF3" s="60" t="s">
        <v>346</v>
      </c>
      <c r="DG3" s="84" t="s">
        <v>288</v>
      </c>
      <c r="DH3" s="60" t="s">
        <v>289</v>
      </c>
      <c r="DI3" s="60" t="s">
        <v>290</v>
      </c>
      <c r="DJ3" s="60" t="s">
        <v>347</v>
      </c>
      <c r="DK3" s="60" t="s">
        <v>432</v>
      </c>
      <c r="DL3" s="60" t="s">
        <v>348</v>
      </c>
      <c r="DM3" s="60" t="s">
        <v>349</v>
      </c>
      <c r="DN3" s="56" t="s">
        <v>372</v>
      </c>
      <c r="DO3" s="59" t="s">
        <v>406</v>
      </c>
      <c r="DP3" s="60" t="s">
        <v>373</v>
      </c>
      <c r="DQ3" s="60" t="s">
        <v>374</v>
      </c>
      <c r="DR3" s="84" t="s">
        <v>375</v>
      </c>
      <c r="DS3" s="60" t="s">
        <v>376</v>
      </c>
      <c r="DT3" s="60" t="s">
        <v>377</v>
      </c>
      <c r="DU3" s="60" t="s">
        <v>378</v>
      </c>
      <c r="DV3" s="60" t="s">
        <v>433</v>
      </c>
      <c r="DW3" s="60" t="s">
        <v>379</v>
      </c>
      <c r="DX3" s="60" t="s">
        <v>380</v>
      </c>
      <c r="DY3" s="56" t="s">
        <v>411</v>
      </c>
      <c r="DZ3" s="59" t="s">
        <v>412</v>
      </c>
      <c r="EA3" s="60" t="s">
        <v>413</v>
      </c>
      <c r="EB3" s="60" t="s">
        <v>414</v>
      </c>
      <c r="EC3" s="84" t="s">
        <v>415</v>
      </c>
      <c r="ED3" s="60" t="s">
        <v>416</v>
      </c>
      <c r="EE3" s="60" t="s">
        <v>417</v>
      </c>
      <c r="EF3" s="60" t="s">
        <v>418</v>
      </c>
      <c r="EG3" s="60" t="s">
        <v>434</v>
      </c>
      <c r="EH3" s="60" t="s">
        <v>419</v>
      </c>
      <c r="EI3" s="60" t="s">
        <v>420</v>
      </c>
      <c r="EJ3" s="56" t="s">
        <v>442</v>
      </c>
      <c r="EK3" s="59" t="s">
        <v>443</v>
      </c>
      <c r="EL3" s="60" t="s">
        <v>444</v>
      </c>
      <c r="EM3" s="60" t="s">
        <v>445</v>
      </c>
      <c r="EN3" s="84" t="s">
        <v>446</v>
      </c>
      <c r="EO3" s="60" t="s">
        <v>447</v>
      </c>
      <c r="EP3" s="60" t="s">
        <v>448</v>
      </c>
      <c r="EQ3" s="60" t="s">
        <v>449</v>
      </c>
      <c r="ER3" s="60" t="s">
        <v>450</v>
      </c>
      <c r="ES3" s="60" t="s">
        <v>451</v>
      </c>
      <c r="ET3" s="60" t="s">
        <v>452</v>
      </c>
      <c r="EU3" s="56" t="s">
        <v>453</v>
      </c>
      <c r="EV3" s="59" t="s">
        <v>454</v>
      </c>
      <c r="EW3" s="60" t="s">
        <v>455</v>
      </c>
      <c r="EX3" s="60" t="s">
        <v>456</v>
      </c>
      <c r="EY3" s="84" t="s">
        <v>457</v>
      </c>
      <c r="EZ3" s="60" t="s">
        <v>458</v>
      </c>
      <c r="FA3" s="60" t="s">
        <v>459</v>
      </c>
      <c r="FB3" s="60" t="s">
        <v>460</v>
      </c>
      <c r="FC3" s="60" t="s">
        <v>461</v>
      </c>
      <c r="FD3" s="60" t="s">
        <v>462</v>
      </c>
      <c r="FE3" s="60" t="s">
        <v>463</v>
      </c>
      <c r="FF3" s="56" t="s">
        <v>464</v>
      </c>
      <c r="FG3" s="59" t="s">
        <v>465</v>
      </c>
      <c r="FH3" s="60" t="s">
        <v>466</v>
      </c>
      <c r="FI3" s="60" t="s">
        <v>467</v>
      </c>
      <c r="FJ3" s="84" t="s">
        <v>468</v>
      </c>
      <c r="FK3" s="60" t="s">
        <v>469</v>
      </c>
      <c r="FL3" s="60" t="s">
        <v>470</v>
      </c>
      <c r="FM3" s="60" t="s">
        <v>471</v>
      </c>
      <c r="FN3" s="60" t="s">
        <v>472</v>
      </c>
      <c r="FO3" s="60" t="s">
        <v>473</v>
      </c>
      <c r="FP3" s="60" t="s">
        <v>474</v>
      </c>
    </row>
    <row r="4" spans="1:172" s="39" customFormat="1" ht="99.95" customHeight="1" x14ac:dyDescent="0.25">
      <c r="A4" s="39" t="s">
        <v>116</v>
      </c>
      <c r="B4" s="39" t="s">
        <v>236</v>
      </c>
      <c r="C4" s="39" t="s">
        <v>237</v>
      </c>
      <c r="D4" s="39" t="s">
        <v>237</v>
      </c>
      <c r="E4" s="39" t="s">
        <v>238</v>
      </c>
      <c r="G4" s="88" t="s">
        <v>540</v>
      </c>
      <c r="H4" s="88" t="s">
        <v>539</v>
      </c>
      <c r="I4" s="89" t="s">
        <v>381</v>
      </c>
      <c r="J4" s="39" t="s">
        <v>394</v>
      </c>
      <c r="K4" s="39" t="s">
        <v>394</v>
      </c>
      <c r="L4" s="39" t="s">
        <v>394</v>
      </c>
      <c r="M4" s="39" t="s">
        <v>394</v>
      </c>
      <c r="N4" s="39" t="s">
        <v>394</v>
      </c>
      <c r="O4" s="39" t="s">
        <v>394</v>
      </c>
      <c r="P4" s="39" t="s">
        <v>394</v>
      </c>
      <c r="Q4" s="39" t="s">
        <v>394</v>
      </c>
      <c r="R4" s="39" t="s">
        <v>394</v>
      </c>
      <c r="S4" s="89" t="s">
        <v>407</v>
      </c>
      <c r="T4" s="39" t="str">
        <f>'Dynamic Banners'!$L$6</f>
        <v>Cyber-monday-3.png</v>
      </c>
      <c r="U4" s="39" t="str">
        <f>'Dynamic Banners'!$M$6</f>
        <v>Cyber Monday is over. But, Cyber Week is still on.</v>
      </c>
      <c r="V4" s="39" t="s">
        <v>394</v>
      </c>
      <c r="W4" s="39" t="str">
        <f>'Dynamic Banners'!$N$6</f>
        <v xml:space="preserve">Shop amazing offers on showstopping products while supplies last. </v>
      </c>
      <c r="X4" s="39" t="s">
        <v>394</v>
      </c>
      <c r="Y4" s="39" t="str">
        <f>[1]MiscBanners!$B$4</f>
        <v>https://www.samsung.com/us/shop/all-deals/</v>
      </c>
      <c r="Z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4" s="39" t="s">
        <v>394</v>
      </c>
      <c r="AB4" s="39" t="s">
        <v>394</v>
      </c>
      <c r="AC4" s="39" t="s">
        <v>394</v>
      </c>
      <c r="AD4" s="89" t="s">
        <v>408</v>
      </c>
      <c r="AE4" s="39" t="s">
        <v>394</v>
      </c>
      <c r="AF4" s="39" t="s">
        <v>394</v>
      </c>
      <c r="AG4" s="7" t="s">
        <v>559</v>
      </c>
      <c r="AH4" s="39" t="s">
        <v>563</v>
      </c>
      <c r="AI4" s="39" t="s">
        <v>394</v>
      </c>
      <c r="AJ4" s="39" t="str">
        <f>[1]MiscBanners!$B$4</f>
        <v>https://www.samsung.com/us/shop/all-deals/</v>
      </c>
      <c r="AK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4" s="39" t="s">
        <v>394</v>
      </c>
      <c r="AM4" s="39" t="s">
        <v>394</v>
      </c>
      <c r="AN4" s="39" t="s">
        <v>394</v>
      </c>
      <c r="AO4" s="89" t="s">
        <v>257</v>
      </c>
      <c r="AP4" s="39" t="str">
        <f>DDOfferCopy!E4</f>
        <v>22_IM_HeadImage_MB_Note-500xV.jpg</v>
      </c>
      <c r="AQ4" s="39" t="str">
        <f>DDOfferCopy!F4</f>
        <v>Get up to 70% off Galaxy Note 20 5G or Note 20 Ultra 5G</v>
      </c>
      <c r="AR4" s="39" t="str">
        <f>DDOfferCopy!G4</f>
        <v>Now from only $8.34/mo for 36 mos⊕ or $299.99 with eligible trade-in.ᶿ</v>
      </c>
      <c r="AS4" s="39" t="str">
        <f>DDOfferCopy!H4</f>
        <v xml:space="preserve">Get $150 off instantly and up to $550 trade-in credit.ᶿ </v>
      </c>
      <c r="AT4" s="39" t="str">
        <f>DDOfferCopy!I4</f>
        <v>Buy now</v>
      </c>
      <c r="AU4" s="39" t="str">
        <f>DDOfferCopy!J4</f>
        <v>https://www.samsung.com/us/smartphones/galaxy-note20-5g/buy/</v>
      </c>
      <c r="AV4" s="39" t="str">
        <f>DDOfferCopy!K4</f>
        <v>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v>
      </c>
      <c r="AW4" s="39" t="str">
        <f>DDOfferCopy!L4</f>
        <v>NULL</v>
      </c>
      <c r="AX4" s="39" t="str">
        <f>DDOfferCopy!M4</f>
        <v>NULL</v>
      </c>
      <c r="AY4" s="39" t="str">
        <f>DDOfferCopy!N4</f>
        <v>NULL</v>
      </c>
      <c r="AZ4" s="89" t="s">
        <v>256</v>
      </c>
      <c r="BA4" s="39" t="str">
        <f>DDOfferCopy!E5</f>
        <v>21_IM_HeadImage_MB_Galaxy-500xV.jpg</v>
      </c>
      <c r="BB4" s="39" t="str">
        <f>DDOfferCopy!F5</f>
        <v>Get up to 73% off Galaxy S20 5G series devices</v>
      </c>
      <c r="BC4" s="39" t="str">
        <f>DDOfferCopy!G5</f>
        <v>Now from only $7.92/mo for 24 mos⊕ or $189.99 with eligible trade-in.ᶿ</v>
      </c>
      <c r="BD4" s="39" t="str">
        <f>DDOfferCopy!H5</f>
        <v xml:space="preserve">Get up to $150 off instantly and up to $460 trade-in credit.ᶿ </v>
      </c>
      <c r="BE4" s="39" t="str">
        <f>DDOfferCopy!I5</f>
        <v>Buy now</v>
      </c>
      <c r="BF4" s="39" t="str">
        <f>DDOfferCopy!J5</f>
        <v>https://www.samsung.com/us/mobile/galaxy-s20-5g/buy/</v>
      </c>
      <c r="BG4" s="39" t="str">
        <f>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BH4" s="39" t="str">
        <f>DDOfferCopy!L5</f>
        <v>NULL</v>
      </c>
      <c r="BI4" s="39" t="str">
        <f>DDOfferCopy!M5</f>
        <v>NULL</v>
      </c>
      <c r="BJ4" s="39" t="str">
        <f>DDOfferCopy!N5</f>
        <v>NULL</v>
      </c>
      <c r="BK4" s="89" t="s">
        <v>255</v>
      </c>
      <c r="BL4" s="39" t="str">
        <f>DDOfferCopy!E6</f>
        <v>23_IM_HeadImage_MB_Fold-500xV.jpg</v>
      </c>
      <c r="BM4" s="39" t="str">
        <f>DDOfferCopy!F6</f>
        <v xml:space="preserve">Get up to 50% off Galaxy Z Fold2 5G </v>
      </c>
      <c r="BN4" s="39" t="str">
        <f>DDOfferCopy!G6</f>
        <v>Now from only $20.84/mo for 48 mos⊕ or $999.99 with eligible trade-in.ᶿ</v>
      </c>
      <c r="BO4" s="39" t="str">
        <f>DDOfferCopy!H6</f>
        <v xml:space="preserve">Our best Galaxy Z Fold2 5G offer of the year. Get up to $1000 trade-in credit.ᶿ Plus, get up to $120 instant credit toward accessories.§‡ </v>
      </c>
      <c r="BP4" s="39" t="str">
        <f>DDOfferCopy!I6</f>
        <v>Buy now</v>
      </c>
      <c r="BQ4" s="39" t="str">
        <f>DDOfferCopy!J6</f>
        <v>https://www.samsung.com/us/smartphones/galaxy-z-fold2-5g/buy/</v>
      </c>
      <c r="BR4" s="39" t="str">
        <f>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S4" s="39" t="str">
        <f>DDOfferCopy!L6</f>
        <v>NULL</v>
      </c>
      <c r="BT4" s="39" t="str">
        <f>DDOfferCopy!M6</f>
        <v>NULL</v>
      </c>
      <c r="BU4" s="39" t="str">
        <f>DDOfferCopy!N6</f>
        <v>NULL</v>
      </c>
      <c r="BV4" s="90" t="s">
        <v>254</v>
      </c>
      <c r="BW4" s="39" t="str">
        <f>DDOfferCopy!E7</f>
        <v>24-IM-A71-A51-HeadImage-500xV.jpg</v>
      </c>
      <c r="BX4" s="39" t="str">
        <f>DDOfferCopy!F7</f>
        <v>Get 50% off Galaxy A71 5G with T-Mobile and Verizon</v>
      </c>
      <c r="BY4" s="39" t="str">
        <f>DDOfferCopy!G7</f>
        <v xml:space="preserve">Now from only only $8.34/mo for 36 mos⊕ or $299.99 with eligible trade-in.ᶿ </v>
      </c>
      <c r="BZ4" s="39" t="str">
        <f>DDOfferCopy!H7</f>
        <v xml:space="preserve">Save up to $250 instantly and get $75 or more trade-in credit. Treat yourself to blazing fast 5G speeds and incredible features at an amazing value. </v>
      </c>
      <c r="CA4" s="39" t="str">
        <f>DDOfferCopy!I7</f>
        <v>Buy now</v>
      </c>
      <c r="CB4" s="39" t="str">
        <f>DDOfferCopy!J7</f>
        <v>https://www.samsung.com/us/mobile/phones/galaxy-a/buy/?link=galaxy-a71-5g</v>
      </c>
      <c r="CC4" s="91" t="str">
        <f>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D4" s="39" t="str">
        <f>DDOfferCopy!L7</f>
        <v>NULL</v>
      </c>
      <c r="CE4" s="39" t="str">
        <f>DDOfferCopy!M7</f>
        <v>NULL</v>
      </c>
      <c r="CF4" s="39" t="str">
        <f>DDOfferCopy!N7</f>
        <v>NULL</v>
      </c>
      <c r="CG4" s="89" t="s">
        <v>280</v>
      </c>
      <c r="CH4" s="39" t="str">
        <f>MiscBanners!$H$4</f>
        <v>Give-wonder-500xV.jpg</v>
      </c>
      <c r="CI4" s="39" t="str">
        <f>MiscBanners!$I$4</f>
        <v>The gift that keeps on giving</v>
      </c>
      <c r="CJ4" s="39" t="str">
        <f>MiscBanners!$J$4</f>
        <v>NULL</v>
      </c>
      <c r="CK4" s="39" t="str">
        <f>MiscBanners!$K$4</f>
        <v>Discover even more exclusive offers on your favorite products and unlock the power of smart and savvy gifting.</v>
      </c>
      <c r="CL4" s="39" t="str">
        <f>MiscBanners!$L$4</f>
        <v>Shop now</v>
      </c>
      <c r="CM4" s="39" t="str">
        <f>MiscBanners!$M$4</f>
        <v>https://www.samsung.com/us/gift-ideas/</v>
      </c>
      <c r="CN4"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O4" s="39" t="str">
        <f>MiscBanners!$O$4</f>
        <v>NULL</v>
      </c>
      <c r="CP4" s="39" t="str">
        <f>MiscBanners!$P$4</f>
        <v>NULL</v>
      </c>
      <c r="CQ4" s="39" t="str">
        <f>MiscBanners!$Q$4</f>
        <v>NULL</v>
      </c>
      <c r="CR4" s="89" t="s">
        <v>273</v>
      </c>
      <c r="DC4" s="89" t="s">
        <v>440</v>
      </c>
      <c r="DD4" s="39" t="str">
        <f>TC!B2</f>
        <v>NULL</v>
      </c>
      <c r="DE4" s="39" t="str">
        <f>TC!C2</f>
        <v>NULL</v>
      </c>
      <c r="DF4" s="39" t="str">
        <f>TC!D2</f>
        <v>NULL</v>
      </c>
      <c r="DG4" s="91" t="str">
        <f>TC!E2</f>
        <v>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H4" s="39" t="str">
        <f>TC!F2</f>
        <v>NULL</v>
      </c>
      <c r="DI4" s="39" t="str">
        <f>TC!G2</f>
        <v>https://www.samsung.com/us/trade-in/terms-and-conditions/</v>
      </c>
      <c r="DJ4" s="39">
        <f>TC!H2</f>
        <v>0</v>
      </c>
      <c r="DK4" s="39" t="str">
        <f>TC!I2</f>
        <v>NULL</v>
      </c>
      <c r="DL4" s="39" t="str">
        <f>TC!J2</f>
        <v>NULL</v>
      </c>
      <c r="DM4" s="39" t="str">
        <f>TC!K2</f>
        <v>NULL</v>
      </c>
      <c r="DN4" s="89" t="s">
        <v>439</v>
      </c>
      <c r="DO4" s="39" t="str">
        <f>TC!B3</f>
        <v>NULL</v>
      </c>
      <c r="DP4" s="39" t="str">
        <f>TC!C3</f>
        <v>NULL</v>
      </c>
      <c r="DQ4" s="39" t="str">
        <f>TC!D3</f>
        <v>NULL</v>
      </c>
      <c r="DR4" s="91" t="str">
        <f>TC!E3</f>
        <v>⊕0%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S4" s="39" t="str">
        <f>TC!F3</f>
        <v>NULL</v>
      </c>
      <c r="DT4" s="39">
        <f>TC!G3</f>
        <v>0</v>
      </c>
      <c r="DU4" s="39">
        <f>TC!H3</f>
        <v>0</v>
      </c>
      <c r="DV4" s="39" t="str">
        <f>TC!I3</f>
        <v>NULL</v>
      </c>
      <c r="DW4" s="39" t="str">
        <f>TC!J3</f>
        <v>NULL</v>
      </c>
      <c r="DX4" s="39" t="str">
        <f>TC!K3</f>
        <v>NULL</v>
      </c>
      <c r="DY4" s="89" t="s">
        <v>441</v>
      </c>
      <c r="DZ4" s="39" t="str">
        <f>TC!B4</f>
        <v>NULL</v>
      </c>
      <c r="EA4" s="39" t="str">
        <f>TC!C4</f>
        <v>NULL</v>
      </c>
      <c r="EB4" s="39" t="str">
        <f>TC!D4</f>
        <v>NULL</v>
      </c>
      <c r="EC4"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4" s="39" t="str">
        <f>TC!F4</f>
        <v>NULL</v>
      </c>
      <c r="EE4" s="39" t="str">
        <f>TC!G4</f>
        <v>https://www.samsung.com/us/</v>
      </c>
      <c r="EF4" s="39">
        <f>TC!H4</f>
        <v>0</v>
      </c>
      <c r="EG4" s="39" t="str">
        <f>TC!I4</f>
        <v>NULL</v>
      </c>
      <c r="EH4" s="39" t="str">
        <f>TC!J4</f>
        <v>NULL</v>
      </c>
      <c r="EI4" s="39" t="str">
        <f>TC!K4</f>
        <v>NULL</v>
      </c>
      <c r="EJ4" s="89" t="s">
        <v>477</v>
      </c>
      <c r="EK4" s="39" t="str">
        <f>TC!B5</f>
        <v>NULL</v>
      </c>
      <c r="EL4" s="39" t="str">
        <f>TC!C5</f>
        <v>NULL</v>
      </c>
      <c r="EM4" s="39" t="str">
        <f>TC!D5</f>
        <v>NULL</v>
      </c>
      <c r="EN4"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4" s="39" t="str">
        <f>TC!F5</f>
        <v>NULL</v>
      </c>
      <c r="EP4" s="39" t="str">
        <f>TC!G5</f>
        <v>https://www.samsung.com/us/</v>
      </c>
      <c r="EQ4" s="39">
        <f>TC!H5</f>
        <v>0</v>
      </c>
      <c r="ER4" s="39" t="str">
        <f>TC!I5</f>
        <v>NULL</v>
      </c>
      <c r="ES4" s="39" t="str">
        <f>TC!J5</f>
        <v>NULL</v>
      </c>
      <c r="ET4" s="39" t="str">
        <f>TC!K5</f>
        <v>NULL</v>
      </c>
      <c r="EU4" s="89" t="s">
        <v>478</v>
      </c>
      <c r="EV4" s="39" t="str">
        <f>TC!B6</f>
        <v>NULL</v>
      </c>
      <c r="EW4" s="39" t="str">
        <f>TC!C6</f>
        <v>NULL</v>
      </c>
      <c r="EX4" s="39" t="str">
        <f>TC!D6</f>
        <v>NULL</v>
      </c>
      <c r="EY4"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Z4" s="39" t="str">
        <f>TC!F6</f>
        <v>NULL</v>
      </c>
      <c r="FA4" s="39" t="str">
        <f>TC!G6</f>
        <v>https://www.samsung.com/us/</v>
      </c>
      <c r="FB4" s="39">
        <f>TC!H6</f>
        <v>0</v>
      </c>
      <c r="FC4" s="39" t="str">
        <f>TC!I6</f>
        <v>NULL</v>
      </c>
      <c r="FD4" s="39" t="str">
        <f>TC!J6</f>
        <v>NULL</v>
      </c>
      <c r="FE4" s="39" t="str">
        <f>TC!K6</f>
        <v>NULL</v>
      </c>
      <c r="FF4" s="89"/>
      <c r="FJ4" s="91"/>
    </row>
    <row r="5" spans="1:172" s="39" customFormat="1" ht="99.95" customHeight="1" x14ac:dyDescent="0.25">
      <c r="A5" s="39" t="s">
        <v>116</v>
      </c>
      <c r="B5" s="39" t="s">
        <v>236</v>
      </c>
      <c r="C5" s="39" t="s">
        <v>237</v>
      </c>
      <c r="D5" s="39" t="s">
        <v>237</v>
      </c>
      <c r="E5" s="39" t="s">
        <v>239</v>
      </c>
      <c r="G5" s="88" t="s">
        <v>540</v>
      </c>
      <c r="H5" s="88" t="s">
        <v>539</v>
      </c>
      <c r="I5" s="89" t="s">
        <v>381</v>
      </c>
      <c r="J5" s="39" t="s">
        <v>394</v>
      </c>
      <c r="K5" s="39" t="s">
        <v>394</v>
      </c>
      <c r="L5" s="39" t="s">
        <v>394</v>
      </c>
      <c r="M5" s="39" t="s">
        <v>394</v>
      </c>
      <c r="N5" s="39" t="s">
        <v>394</v>
      </c>
      <c r="O5" s="39" t="s">
        <v>394</v>
      </c>
      <c r="P5" s="39" t="s">
        <v>394</v>
      </c>
      <c r="Q5" s="39" t="s">
        <v>394</v>
      </c>
      <c r="R5" s="39" t="s">
        <v>394</v>
      </c>
      <c r="S5" s="89" t="s">
        <v>407</v>
      </c>
      <c r="T5" s="39" t="str">
        <f>'Dynamic Banners'!$L$6</f>
        <v>Cyber-monday-3.png</v>
      </c>
      <c r="U5" s="39" t="str">
        <f>'Dynamic Banners'!$M$6</f>
        <v>Cyber Monday is over. But, Cyber Week is still on.</v>
      </c>
      <c r="V5" s="39" t="s">
        <v>394</v>
      </c>
      <c r="W5" s="39" t="str">
        <f>'Dynamic Banners'!$N$6</f>
        <v xml:space="preserve">Shop amazing offers on showstopping products while supplies last. </v>
      </c>
      <c r="X5" s="39" t="s">
        <v>394</v>
      </c>
      <c r="Y5" s="39" t="str">
        <f>[1]MiscBanners!$B$4</f>
        <v>https://www.samsung.com/us/shop/all-deals/</v>
      </c>
      <c r="Z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5" s="39" t="s">
        <v>394</v>
      </c>
      <c r="AB5" s="39" t="s">
        <v>394</v>
      </c>
      <c r="AC5" s="39" t="s">
        <v>394</v>
      </c>
      <c r="AD5" s="89" t="s">
        <v>408</v>
      </c>
      <c r="AE5" s="39" t="s">
        <v>394</v>
      </c>
      <c r="AF5" s="39" t="s">
        <v>394</v>
      </c>
      <c r="AG5" s="7" t="s">
        <v>559</v>
      </c>
      <c r="AH5" s="39" t="s">
        <v>562</v>
      </c>
      <c r="AI5" s="39" t="s">
        <v>394</v>
      </c>
      <c r="AJ5" s="39" t="str">
        <f>[1]MiscBanners!$B$4</f>
        <v>https://www.samsung.com/us/shop/all-deals/</v>
      </c>
      <c r="AK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5" s="39" t="s">
        <v>394</v>
      </c>
      <c r="AM5" s="39" t="s">
        <v>394</v>
      </c>
      <c r="AN5" s="39" t="s">
        <v>394</v>
      </c>
      <c r="AO5" s="89" t="s">
        <v>257</v>
      </c>
      <c r="AP5" s="39" t="str">
        <f>DDOfferCopy!E4</f>
        <v>22_IM_HeadImage_MB_Note-500xV.jpg</v>
      </c>
      <c r="AQ5" s="39" t="str">
        <f>DDOfferCopy!F4</f>
        <v>Get up to 70% off Galaxy Note 20 5G or Note 20 Ultra 5G</v>
      </c>
      <c r="AR5" s="39" t="str">
        <f>DDOfferCopy!G4</f>
        <v>Now from only $8.34/mo for 36 mos⊕ or $299.99 with eligible trade-in.ᶿ</v>
      </c>
      <c r="AS5" s="39" t="str">
        <f>DDOfferCopy!H4</f>
        <v xml:space="preserve">Get $150 off instantly and up to $550 trade-in credit.ᶿ </v>
      </c>
      <c r="AT5" s="39" t="str">
        <f>DDOfferCopy!I4</f>
        <v>Buy now</v>
      </c>
      <c r="AU5" s="39" t="str">
        <f>DDOfferCopy!P4</f>
        <v>https://www.samsung.com/us/smartphones/galaxy-note20-5g/buy/</v>
      </c>
      <c r="AV5" s="39" t="str">
        <f>DDOfferCopy!$Q$4</f>
        <v>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v>
      </c>
      <c r="AW5" s="39" t="str">
        <f>DDOfferCopy!R4</f>
        <v>NULL</v>
      </c>
      <c r="AX5" s="39" t="str">
        <f>DDOfferCopy!S4</f>
        <v>NULL</v>
      </c>
      <c r="AY5" s="39" t="str">
        <f>DDOfferCopy!T4</f>
        <v>NULL</v>
      </c>
      <c r="AZ5" s="89" t="s">
        <v>256</v>
      </c>
      <c r="BA5" s="39" t="str">
        <f>DDOfferCopy!E5</f>
        <v>21_IM_HeadImage_MB_Galaxy-500xV.jpg</v>
      </c>
      <c r="BB5" s="39" t="str">
        <f>DDOfferCopy!F5</f>
        <v>Get up to 73% off Galaxy S20 5G series devices</v>
      </c>
      <c r="BC5" s="39" t="str">
        <f>DDOfferCopy!G5</f>
        <v>Now from only $7.92/mo for 24 mos⊕ or $189.99 with eligible trade-in.ᶿ</v>
      </c>
      <c r="BD5" s="39" t="str">
        <f>DDOfferCopy!H5</f>
        <v xml:space="preserve">Get up to $150 off instantly and up to $460 trade-in credit.ᶿ </v>
      </c>
      <c r="BE5" s="39" t="str">
        <f>DDOfferCopy!I5</f>
        <v>Buy now</v>
      </c>
      <c r="BF5" s="39" t="str">
        <f>DDOfferCopy!J5</f>
        <v>https://www.samsung.com/us/mobile/galaxy-s20-5g/buy/</v>
      </c>
      <c r="BG5" s="39" t="str">
        <f>DDOfferCopy!K5</f>
        <v>https://shopsamsung.page.link?link=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s20-5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galaxy-s20-5g%2Fbuy%2F%3FofferCID%3DearlyAccess%26utm_source%3Dsamsung%26utm_medium%3Demail%26utm_campaign%3Dholiday_deals_t3_11172020%26marsLinkCategory%3D__MARSTRACKING__%26MKM_RID%3D__BPNUMBER__%26MKM_MID%3D__DELIVERNAME__%26cid%3D__CID____SEGMENTCODE__%26bpid%3D__BPNUMBER__&amp;efr=1</v>
      </c>
      <c r="BH5" s="39" t="str">
        <f>DDOfferCopy!L5</f>
        <v>NULL</v>
      </c>
      <c r="BI5" s="39" t="str">
        <f>DDOfferCopy!M5</f>
        <v>NULL</v>
      </c>
      <c r="BJ5" s="39" t="str">
        <f>DDOfferCopy!N5</f>
        <v>NULL</v>
      </c>
      <c r="BK5" s="89" t="s">
        <v>255</v>
      </c>
      <c r="BL5" s="39" t="str">
        <f>DDOfferCopy!E6</f>
        <v>23_IM_HeadImage_MB_Fold-500xV.jpg</v>
      </c>
      <c r="BM5" s="39" t="str">
        <f>DDOfferCopy!F6</f>
        <v xml:space="preserve">Get up to 50% off Galaxy Z Fold2 5G </v>
      </c>
      <c r="BN5" s="39" t="str">
        <f>DDOfferCopy!G6</f>
        <v>Now from only $20.84/mo for 48 mos⊕ or $999.99 with eligible trade-in.ᶿ</v>
      </c>
      <c r="BO5" s="39" t="str">
        <f>DDOfferCopy!H6</f>
        <v xml:space="preserve">Our best Galaxy Z Fold2 5G offer of the year. Get up to $1000 trade-in credit.ᶿ Plus, get up to $120 instant credit toward accessories.§‡ </v>
      </c>
      <c r="BP5" s="39" t="str">
        <f>DDOfferCopy!I6</f>
        <v>Buy now</v>
      </c>
      <c r="BQ5" s="39" t="str">
        <f>DDOfferCopy!J6</f>
        <v>https://www.samsung.com/us/smartphones/galaxy-z-fold2-5g/buy/</v>
      </c>
      <c r="BR5" s="39" t="str">
        <f>DDOfferCopy!K6</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S5" s="39" t="str">
        <f>DDOfferCopy!L6</f>
        <v>NULL</v>
      </c>
      <c r="BT5" s="39" t="str">
        <f>DDOfferCopy!M6</f>
        <v>NULL</v>
      </c>
      <c r="BU5" s="39" t="str">
        <f>DDOfferCopy!N6</f>
        <v>NULL</v>
      </c>
      <c r="BV5" s="90" t="s">
        <v>254</v>
      </c>
      <c r="BW5" s="39" t="str">
        <f>DDOfferCopy!E7</f>
        <v>24-IM-A71-A51-HeadImage-500xV.jpg</v>
      </c>
      <c r="BX5" s="39" t="str">
        <f>DDOfferCopy!F7</f>
        <v>Get 50% off Galaxy A71 5G with T-Mobile and Verizon</v>
      </c>
      <c r="BY5" s="39" t="str">
        <f>DDOfferCopy!G7</f>
        <v xml:space="preserve">Now from only only $8.34/mo for 36 mos⊕ or $299.99 with eligible trade-in.ᶿ </v>
      </c>
      <c r="BZ5" s="39" t="str">
        <f>DDOfferCopy!H7</f>
        <v xml:space="preserve">Save up to $250 instantly and get $75 or more trade-in credit. Treat yourself to blazing fast 5G speeds and incredible features at an amazing value. </v>
      </c>
      <c r="CA5" s="39" t="str">
        <f>DDOfferCopy!I7</f>
        <v>Buy now</v>
      </c>
      <c r="CB5" s="39" t="str">
        <f>DDOfferCopy!J7</f>
        <v>https://www.samsung.com/us/mobile/phones/galaxy-a/buy/?link=galaxy-a71-5g</v>
      </c>
      <c r="CC5" s="91" t="str">
        <f>DDOfferCopy!K7</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D5" s="39" t="str">
        <f>DDOfferCopy!L7</f>
        <v>NULL</v>
      </c>
      <c r="CE5" s="39" t="str">
        <f>DDOfferCopy!M7</f>
        <v>NULL</v>
      </c>
      <c r="CF5" s="39" t="str">
        <f>DDOfferCopy!N7</f>
        <v>NULL</v>
      </c>
      <c r="CG5" s="89" t="s">
        <v>280</v>
      </c>
      <c r="CH5" s="39" t="str">
        <f>MiscBanners!$H$4</f>
        <v>Give-wonder-500xV.jpg</v>
      </c>
      <c r="CI5" s="39" t="str">
        <f>MiscBanners!$I$4</f>
        <v>The gift that keeps on giving</v>
      </c>
      <c r="CJ5" s="39" t="str">
        <f>MiscBanners!$J$4</f>
        <v>NULL</v>
      </c>
      <c r="CK5" s="39" t="str">
        <f>MiscBanners!$K$4</f>
        <v>Discover even more exclusive offers on your favorite products and unlock the power of smart and savvy gifting.</v>
      </c>
      <c r="CL5" s="39" t="str">
        <f>MiscBanners!$L$4</f>
        <v>Shop now</v>
      </c>
      <c r="CM5" s="39" t="str">
        <f>MiscBanners!$M$4</f>
        <v>https://www.samsung.com/us/gift-ideas/</v>
      </c>
      <c r="CN5"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O5" s="39" t="str">
        <f>MiscBanners!$O$4</f>
        <v>NULL</v>
      </c>
      <c r="CP5" s="39" t="str">
        <f>MiscBanners!$P$4</f>
        <v>NULL</v>
      </c>
      <c r="CQ5" s="39" t="str">
        <f>MiscBanners!$Q$4</f>
        <v>NULL</v>
      </c>
      <c r="CR5" s="89" t="s">
        <v>273</v>
      </c>
      <c r="DC5" s="89" t="s">
        <v>440</v>
      </c>
      <c r="DD5" s="39" t="s">
        <v>394</v>
      </c>
      <c r="DE5" s="39" t="s">
        <v>394</v>
      </c>
      <c r="DF5" s="39" t="s">
        <v>394</v>
      </c>
      <c r="DG5" s="91" t="s">
        <v>479</v>
      </c>
      <c r="DH5" s="39" t="s">
        <v>394</v>
      </c>
      <c r="DI5" s="39" t="s">
        <v>475</v>
      </c>
      <c r="DJ5" s="39">
        <v>0</v>
      </c>
      <c r="DK5" s="39" t="s">
        <v>394</v>
      </c>
      <c r="DL5" s="39" t="s">
        <v>394</v>
      </c>
      <c r="DM5" s="39" t="s">
        <v>394</v>
      </c>
      <c r="DN5" s="89" t="s">
        <v>439</v>
      </c>
      <c r="DO5" s="39" t="s">
        <v>394</v>
      </c>
      <c r="DP5" s="39" t="s">
        <v>394</v>
      </c>
      <c r="DQ5" s="39" t="s">
        <v>394</v>
      </c>
      <c r="DR5" s="91" t="s">
        <v>480</v>
      </c>
      <c r="DS5" s="39" t="s">
        <v>394</v>
      </c>
      <c r="DT5" s="39">
        <v>0</v>
      </c>
      <c r="DU5" s="39">
        <v>0</v>
      </c>
      <c r="DV5" s="39" t="s">
        <v>394</v>
      </c>
      <c r="DW5" s="39" t="s">
        <v>394</v>
      </c>
      <c r="DX5" s="39" t="s">
        <v>394</v>
      </c>
      <c r="DY5" s="89" t="s">
        <v>441</v>
      </c>
      <c r="DZ5" s="39" t="s">
        <v>394</v>
      </c>
      <c r="EA5" s="39" t="s">
        <v>394</v>
      </c>
      <c r="EB5" s="39" t="s">
        <v>394</v>
      </c>
      <c r="EC5" s="91" t="s">
        <v>482</v>
      </c>
      <c r="ED5" s="39" t="s">
        <v>394</v>
      </c>
      <c r="EE5" s="39" t="s">
        <v>476</v>
      </c>
      <c r="EF5" s="39">
        <v>0</v>
      </c>
      <c r="EG5" s="39" t="s">
        <v>394</v>
      </c>
      <c r="EH5" s="39" t="s">
        <v>394</v>
      </c>
      <c r="EI5" s="39" t="s">
        <v>394</v>
      </c>
      <c r="EJ5" s="89" t="s">
        <v>477</v>
      </c>
      <c r="EK5" s="39" t="s">
        <v>394</v>
      </c>
      <c r="EL5" s="39" t="s">
        <v>394</v>
      </c>
      <c r="EM5" s="39" t="s">
        <v>394</v>
      </c>
      <c r="EN5" s="91" t="s">
        <v>483</v>
      </c>
      <c r="EO5" s="39" t="s">
        <v>394</v>
      </c>
      <c r="EP5" s="39" t="s">
        <v>476</v>
      </c>
      <c r="EQ5" s="39">
        <v>0</v>
      </c>
      <c r="ER5" s="39" t="s">
        <v>394</v>
      </c>
      <c r="ES5" s="39" t="s">
        <v>394</v>
      </c>
      <c r="ET5" s="39" t="s">
        <v>394</v>
      </c>
      <c r="EU5" s="89"/>
      <c r="EY5" s="91"/>
      <c r="FF5" s="89"/>
      <c r="FJ5" s="91"/>
    </row>
    <row r="6" spans="1:172" s="39" customFormat="1" ht="99.95" customHeight="1" x14ac:dyDescent="0.25">
      <c r="A6" s="39" t="s">
        <v>235</v>
      </c>
      <c r="B6" s="39" t="s">
        <v>236</v>
      </c>
      <c r="C6" s="39" t="s">
        <v>237</v>
      </c>
      <c r="D6" s="39" t="s">
        <v>237</v>
      </c>
      <c r="E6" s="39" t="s">
        <v>0</v>
      </c>
      <c r="G6" s="88" t="s">
        <v>540</v>
      </c>
      <c r="H6" s="88" t="s">
        <v>539</v>
      </c>
      <c r="I6" s="89" t="s">
        <v>381</v>
      </c>
      <c r="J6" s="39" t="s">
        <v>394</v>
      </c>
      <c r="K6" s="39" t="s">
        <v>394</v>
      </c>
      <c r="L6" s="39" t="s">
        <v>394</v>
      </c>
      <c r="M6" s="39" t="s">
        <v>394</v>
      </c>
      <c r="N6" s="39" t="s">
        <v>394</v>
      </c>
      <c r="O6" s="39" t="s">
        <v>394</v>
      </c>
      <c r="P6" s="39" t="s">
        <v>394</v>
      </c>
      <c r="Q6" s="39" t="s">
        <v>394</v>
      </c>
      <c r="R6" s="39" t="s">
        <v>394</v>
      </c>
      <c r="S6" s="89" t="s">
        <v>407</v>
      </c>
      <c r="T6" s="39" t="str">
        <f>'Dynamic Banners'!$L$6</f>
        <v>Cyber-monday-3.png</v>
      </c>
      <c r="U6" s="39" t="str">
        <f>'Dynamic Banners'!$M$6</f>
        <v>Cyber Monday is over. But, Cyber Week is still on.</v>
      </c>
      <c r="V6" s="39" t="s">
        <v>394</v>
      </c>
      <c r="W6" s="39" t="str">
        <f>'Dynamic Banners'!$N$6</f>
        <v xml:space="preserve">Shop amazing offers on showstopping products while supplies last. </v>
      </c>
      <c r="X6" s="39" t="s">
        <v>394</v>
      </c>
      <c r="Y6" s="39" t="str">
        <f>[1]MiscBanners!$B$4</f>
        <v>https://www.samsung.com/us/shop/all-deals/</v>
      </c>
      <c r="Z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6" s="39" t="s">
        <v>394</v>
      </c>
      <c r="AB6" s="39" t="s">
        <v>394</v>
      </c>
      <c r="AC6" s="39" t="s">
        <v>394</v>
      </c>
      <c r="AD6" s="89" t="s">
        <v>408</v>
      </c>
      <c r="AE6" s="39" t="s">
        <v>394</v>
      </c>
      <c r="AF6" s="39" t="s">
        <v>394</v>
      </c>
      <c r="AG6" s="7" t="s">
        <v>559</v>
      </c>
      <c r="AH6" s="39" t="s">
        <v>560</v>
      </c>
      <c r="AI6" s="39" t="s">
        <v>394</v>
      </c>
      <c r="AJ6" s="39" t="str">
        <f>[1]MiscBanners!$B$4</f>
        <v>https://www.samsung.com/us/shop/all-deals/</v>
      </c>
      <c r="AK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6" s="39" t="s">
        <v>394</v>
      </c>
      <c r="AM6" s="39" t="s">
        <v>394</v>
      </c>
      <c r="AN6" s="39" t="s">
        <v>394</v>
      </c>
      <c r="AO6" s="89" t="s">
        <v>267</v>
      </c>
      <c r="AP6" s="39" t="str">
        <f>CCModuleCopy!$B$3</f>
        <v>IM_HeadImage_Shop_Phones_500xV.jpg</v>
      </c>
      <c r="AQ6" s="39" t="str">
        <f>CCModuleCopy!$C$3</f>
        <v>Save up to $1000 instantly on the latest and greatest Galaxy smartphones</v>
      </c>
      <c r="AR6" s="39" t="str">
        <f>CCModuleCopy!$D$3</f>
        <v>NULL</v>
      </c>
      <c r="AS6"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AT6" s="39" t="str">
        <f>CCModuleCopy!$F$3</f>
        <v>Shop all</v>
      </c>
      <c r="AU6" s="39" t="str">
        <f>CCModuleCopy!$G$3</f>
        <v>https://www.samsung.com/us/shop/all-deals/cell-phone-deals/</v>
      </c>
      <c r="AV6"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W6" s="39" t="str">
        <f>CCModuleCopy!$I$3</f>
        <v>NULL</v>
      </c>
      <c r="AX6" s="39" t="str">
        <f>CCModuleCopy!$J$3</f>
        <v>NULL</v>
      </c>
      <c r="AY6" s="39" t="str">
        <f>CCModuleCopy!$K$3</f>
        <v>NULL</v>
      </c>
      <c r="AZ6" s="89" t="s">
        <v>265</v>
      </c>
      <c r="BA6" s="39" t="str">
        <f>CCModuleCopy!$B$7</f>
        <v>HE_HeadImage_Shop_TVs_500xV.jpg</v>
      </c>
      <c r="BB6" s="39" t="str">
        <f>CCModuleCopy!$C$7</f>
        <v>Get up to $3000 off select 8K, 4K and Lifestyle TVs</v>
      </c>
      <c r="BC6" s="39" t="str">
        <f>CCModuleCopy!$D$7</f>
        <v>NULL</v>
      </c>
      <c r="BD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6" s="39" t="str">
        <f>CCModuleCopy!$F$7</f>
        <v>Shop all</v>
      </c>
      <c r="BF6" s="39" t="str">
        <f>CCModuleCopy!$G$7</f>
        <v>https://www.samsung.com/us/shop/all-deals/tv-and-home-theater-deals/</v>
      </c>
      <c r="BG6"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H6" s="39" t="str">
        <f>CCModuleCopy!$I$7</f>
        <v>NULL</v>
      </c>
      <c r="BI6" s="39" t="str">
        <f>CCModuleCopy!$J$7</f>
        <v>NULL</v>
      </c>
      <c r="BJ6" s="39" t="str">
        <f>CCModuleCopy!$K$7</f>
        <v>NULL</v>
      </c>
      <c r="BK6" s="89" t="s">
        <v>266</v>
      </c>
      <c r="BL6" s="39" t="str">
        <f>CCModuleCopy!$B$15</f>
        <v>Tablet-HeadImage-500xV.jpg</v>
      </c>
      <c r="BM6" s="39" t="str">
        <f>CCModuleCopy!$C$15</f>
        <v>Save up to $150 on select tablets</v>
      </c>
      <c r="BN6" s="39" t="str">
        <f>CCModuleCopy!$D$15</f>
        <v>NULL</v>
      </c>
      <c r="BO6" s="39" t="str">
        <f>CCModuleCopy!$E$15</f>
        <v xml:space="preserve">Empower how you create, learn, game and more with our powerful line of tablets. Shop offers on must-have products from the new Galaxy Tab S7+ to the Galaxy Tab S6 Lite. </v>
      </c>
      <c r="BP6" s="39" t="str">
        <f>CCModuleCopy!$F$15</f>
        <v>Shop all</v>
      </c>
      <c r="BQ6" s="39" t="str">
        <f>CCModuleCopy!$G$15</f>
        <v>https://www.samsung.com/us/shop/all-deals/tablets-laptops-computers-deals/</v>
      </c>
      <c r="BR6"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6" s="39" t="str">
        <f>CCModuleCopy!$I$15</f>
        <v>NULL</v>
      </c>
      <c r="BT6" s="39" t="str">
        <f>CCModuleCopy!$J$15</f>
        <v>NULL</v>
      </c>
      <c r="BU6" s="39" t="str">
        <f>CCModuleCopy!$K$15</f>
        <v>NULL</v>
      </c>
      <c r="BV6" s="89" t="s">
        <v>367</v>
      </c>
      <c r="BW6" s="39" t="str">
        <f>CCModuleCopy!$B$11</f>
        <v>ME_HeadImage_Wearables_500xV.jpg</v>
      </c>
      <c r="BX6" s="39" t="str">
        <f>CCModuleCopy!$C$11</f>
        <v>Get up to $100 off select watches and earbuds</v>
      </c>
      <c r="BY6" s="39" t="str">
        <f>CCModuleCopy!$D$11</f>
        <v>NULL</v>
      </c>
      <c r="BZ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6" s="39" t="str">
        <f>CCModuleCopy!$F$11</f>
        <v>Shop all</v>
      </c>
      <c r="CB6" s="39" t="str">
        <f>CCModuleCopy!$G$11</f>
        <v>https://www.samsung.com/us/shop/all-deals/watches-audio-accessories-deals/</v>
      </c>
      <c r="CC6"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6" s="39" t="str">
        <f>CCModuleCopy!$I$11</f>
        <v>NULL</v>
      </c>
      <c r="CE6" s="39" t="str">
        <f>CCModuleCopy!$J$11</f>
        <v>NULL</v>
      </c>
      <c r="CF6" s="39" t="str">
        <f>CCModuleCopy!$K$11</f>
        <v>NULL</v>
      </c>
      <c r="CG6" s="89" t="s">
        <v>368</v>
      </c>
      <c r="CH6" s="39" t="str">
        <f>CCModuleCopy!$B$13</f>
        <v>CE_HeadImage_Computing_500xV.jpg</v>
      </c>
      <c r="CI6" s="39" t="str">
        <f>CCModuleCopy!$C$13</f>
        <v>Get up to 60% off memory cards, SSD, monitors and more</v>
      </c>
      <c r="CJ6" s="39" t="str">
        <f>CCModuleCopy!$D$13</f>
        <v>NULL</v>
      </c>
      <c r="CK6" s="39" t="str">
        <f>CCModuleCopy!$E$13</f>
        <v xml:space="preserve">Expand the way you play, store and create and get up to 30% off monitors, up to 60% off memory cards, up to 35% off SSD and more. Work and game smarter, not harder with these must-have computing offers. </v>
      </c>
      <c r="CL6" s="39" t="str">
        <f>CCModuleCopy!$F$13</f>
        <v>Shop all</v>
      </c>
      <c r="CM6" s="39" t="str">
        <f>CCModuleCopy!$G$13</f>
        <v>https://www.samsung.com/us/shop/all-deals/tablets-laptops-computers-deals/</v>
      </c>
      <c r="CN6"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6" s="39" t="str">
        <f>CCModuleCopy!$I$13</f>
        <v>NULL</v>
      </c>
      <c r="CP6" s="39" t="str">
        <f>CCModuleCopy!$J$13</f>
        <v>NULL</v>
      </c>
      <c r="CQ6" s="39" t="str">
        <f>CCModuleCopy!$K$13</f>
        <v>NULL</v>
      </c>
      <c r="CR6" s="89" t="s">
        <v>279</v>
      </c>
      <c r="CS6" s="39" t="str">
        <f>CCModuleCopy!$B$9</f>
        <v>HA_HeadImage_Shop_HA_500xV.jpg</v>
      </c>
      <c r="CT6" s="39" t="str">
        <f>CCModuleCopy!$C$9</f>
        <v>Save up to 50% on everything you need to upgrade your home and home care</v>
      </c>
      <c r="CU6" s="39" t="str">
        <f>CCModuleCopy!$D$9</f>
        <v>NULL</v>
      </c>
      <c r="CV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6" s="39" t="str">
        <f>CCModuleCopy!$F$9</f>
        <v>Shop all</v>
      </c>
      <c r="CX6" s="39" t="str">
        <f>CCModuleCopy!$G$9</f>
        <v>https://www.samsung.com/us/shop/all-deals/home-appliance-and-smart-home-sales/</v>
      </c>
      <c r="CY6"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6" s="39" t="str">
        <f>CCModuleCopy!$I$9</f>
        <v>NULL</v>
      </c>
      <c r="DA6" s="39" t="str">
        <f>CCModuleCopy!$J$9</f>
        <v>NULL</v>
      </c>
      <c r="DB6" s="39" t="str">
        <f>CCModuleCopy!$K$9</f>
        <v>NULL</v>
      </c>
      <c r="DC6" s="89" t="s">
        <v>280</v>
      </c>
      <c r="DD6" s="39" t="str">
        <f>MiscBanners!$H$4</f>
        <v>Give-wonder-500xV.jpg</v>
      </c>
      <c r="DE6" s="39" t="str">
        <f>MiscBanners!$I$4</f>
        <v>The gift that keeps on giving</v>
      </c>
      <c r="DF6" s="39" t="str">
        <f>MiscBanners!$J$4</f>
        <v>NULL</v>
      </c>
      <c r="DG6" s="91" t="str">
        <f>MiscBanners!$K$4</f>
        <v>Discover even more exclusive offers on your favorite products and unlock the power of smart and savvy gifting.</v>
      </c>
      <c r="DH6" s="39" t="str">
        <f>MiscBanners!$L$4</f>
        <v>Shop now</v>
      </c>
      <c r="DI6" s="39" t="str">
        <f>MiscBanners!$M$4</f>
        <v>https://www.samsung.com/us/gift-ideas/</v>
      </c>
      <c r="DJ6"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6" s="39" t="str">
        <f>MiscBanners!$O$4</f>
        <v>NULL</v>
      </c>
      <c r="DL6" s="39" t="str">
        <f>MiscBanners!$P$4</f>
        <v>NULL</v>
      </c>
      <c r="DM6" s="39" t="str">
        <f>MiscBanners!$Q$4</f>
        <v>NULL</v>
      </c>
      <c r="DN6" s="89" t="s">
        <v>273</v>
      </c>
      <c r="DR6" s="91"/>
      <c r="DY6" s="89" t="s">
        <v>481</v>
      </c>
      <c r="DZ6" s="39" t="str">
        <f>TC!B4</f>
        <v>NULL</v>
      </c>
      <c r="EA6" s="39" t="str">
        <f>TC!C4</f>
        <v>NULL</v>
      </c>
      <c r="EB6" s="39" t="str">
        <f>TC!D4</f>
        <v>NULL</v>
      </c>
      <c r="EC6"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6" s="39" t="str">
        <f>TC!F4</f>
        <v>NULL</v>
      </c>
      <c r="EE6" s="39" t="str">
        <f>TC!G4</f>
        <v>https://www.samsung.com/us/</v>
      </c>
      <c r="EF6" s="39">
        <f>TC!H4</f>
        <v>0</v>
      </c>
      <c r="EG6" s="39" t="str">
        <f>TC!I4</f>
        <v>NULL</v>
      </c>
      <c r="EH6" s="39" t="str">
        <f>TC!J4</f>
        <v>NULL</v>
      </c>
      <c r="EI6" s="39" t="str">
        <f>TC!K4</f>
        <v>NULL</v>
      </c>
      <c r="EJ6" s="89" t="s">
        <v>439</v>
      </c>
      <c r="EK6" s="39" t="str">
        <f>TC!B5</f>
        <v>NULL</v>
      </c>
      <c r="EL6" s="39" t="str">
        <f>TC!C5</f>
        <v>NULL</v>
      </c>
      <c r="EM6" s="39" t="str">
        <f>TC!D5</f>
        <v>NULL</v>
      </c>
      <c r="EN6"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6" s="39" t="str">
        <f>TC!F5</f>
        <v>NULL</v>
      </c>
      <c r="EP6" s="39" t="str">
        <f>TC!G5</f>
        <v>https://www.samsung.com/us/</v>
      </c>
      <c r="EQ6" s="39">
        <f>TC!H5</f>
        <v>0</v>
      </c>
      <c r="ER6" s="39" t="str">
        <f>TC!I5</f>
        <v>NULL</v>
      </c>
      <c r="ES6" s="39" t="str">
        <f>TC!J5</f>
        <v>NULL</v>
      </c>
      <c r="ET6" s="39" t="str">
        <f>TC!K5</f>
        <v>NULL</v>
      </c>
      <c r="EU6" s="89" t="s">
        <v>441</v>
      </c>
      <c r="EV6" s="39" t="str">
        <f>TC!B6</f>
        <v>NULL</v>
      </c>
      <c r="EW6" s="39" t="str">
        <f>TC!C6</f>
        <v>NULL</v>
      </c>
      <c r="EX6" s="39" t="str">
        <f>TC!D6</f>
        <v>NULL</v>
      </c>
      <c r="EY6"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Z6" s="39" t="str">
        <f>TC!F6</f>
        <v>NULL</v>
      </c>
      <c r="FA6" s="39" t="str">
        <f>TC!G6</f>
        <v>https://www.samsung.com/us/</v>
      </c>
      <c r="FB6" s="39">
        <f>TC!H6</f>
        <v>0</v>
      </c>
      <c r="FC6" s="39" t="str">
        <f>TC!I6</f>
        <v>NULL</v>
      </c>
      <c r="FD6" s="39" t="str">
        <f>TC!J6</f>
        <v>NULL</v>
      </c>
      <c r="FE6" s="39" t="str">
        <f>TC!K6</f>
        <v>NULL</v>
      </c>
      <c r="FF6" s="89" t="s">
        <v>477</v>
      </c>
      <c r="FG6" s="39" t="str">
        <f>TC!B7</f>
        <v>NULL</v>
      </c>
      <c r="FH6" s="39" t="str">
        <f>TC!C7</f>
        <v>NULL</v>
      </c>
      <c r="FI6" s="39" t="str">
        <f>TC!D7</f>
        <v>NULL</v>
      </c>
      <c r="FJ6"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FK6" s="39" t="str">
        <f>TC!F7</f>
        <v>NULL</v>
      </c>
      <c r="FL6" s="39">
        <f>TC!G7</f>
        <v>0</v>
      </c>
      <c r="FM6" s="39">
        <f>TC!H7</f>
        <v>0</v>
      </c>
      <c r="FN6" s="39" t="str">
        <f>TC!I7</f>
        <v>NULL</v>
      </c>
      <c r="FO6" s="39" t="str">
        <f>TC!J7</f>
        <v>NULL</v>
      </c>
      <c r="FP6" s="39" t="str">
        <f>TC!K7</f>
        <v>NULL</v>
      </c>
    </row>
    <row r="7" spans="1:172" s="39" customFormat="1" ht="99.95" customHeight="1" x14ac:dyDescent="0.25">
      <c r="A7" s="39" t="s">
        <v>235</v>
      </c>
      <c r="B7" s="39" t="s">
        <v>240</v>
      </c>
      <c r="C7" s="39" t="s">
        <v>237</v>
      </c>
      <c r="D7" s="39" t="s">
        <v>237</v>
      </c>
      <c r="E7" s="39" t="s">
        <v>0</v>
      </c>
      <c r="G7" s="88" t="s">
        <v>540</v>
      </c>
      <c r="H7" s="88" t="s">
        <v>539</v>
      </c>
      <c r="I7" s="89" t="s">
        <v>381</v>
      </c>
      <c r="J7" s="39" t="s">
        <v>394</v>
      </c>
      <c r="K7" s="39" t="s">
        <v>394</v>
      </c>
      <c r="L7" s="39" t="s">
        <v>394</v>
      </c>
      <c r="M7" s="39" t="s">
        <v>394</v>
      </c>
      <c r="N7" s="39" t="s">
        <v>394</v>
      </c>
      <c r="O7" s="39" t="s">
        <v>394</v>
      </c>
      <c r="P7" s="39" t="s">
        <v>394</v>
      </c>
      <c r="Q7" s="39" t="s">
        <v>394</v>
      </c>
      <c r="R7" s="39" t="s">
        <v>394</v>
      </c>
      <c r="S7" s="89" t="s">
        <v>407</v>
      </c>
      <c r="T7" s="39" t="str">
        <f>'Dynamic Banners'!$L$6</f>
        <v>Cyber-monday-3.png</v>
      </c>
      <c r="U7" s="39" t="str">
        <f>'Dynamic Banners'!$M$6</f>
        <v>Cyber Monday is over. But, Cyber Week is still on.</v>
      </c>
      <c r="V7" s="39" t="s">
        <v>394</v>
      </c>
      <c r="W7" s="39" t="str">
        <f>'Dynamic Banners'!$N$6</f>
        <v xml:space="preserve">Shop amazing offers on showstopping products while supplies last. </v>
      </c>
      <c r="X7" s="39" t="s">
        <v>394</v>
      </c>
      <c r="Y7" s="39" t="str">
        <f>[1]MiscBanners!$B$4</f>
        <v>https://www.samsung.com/us/shop/all-deals/</v>
      </c>
      <c r="Z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7" s="39" t="s">
        <v>394</v>
      </c>
      <c r="AB7" s="39" t="s">
        <v>394</v>
      </c>
      <c r="AC7" s="39" t="s">
        <v>394</v>
      </c>
      <c r="AD7" s="89" t="s">
        <v>408</v>
      </c>
      <c r="AE7" s="39" t="s">
        <v>394</v>
      </c>
      <c r="AF7" s="39" t="s">
        <v>394</v>
      </c>
      <c r="AG7" s="7" t="s">
        <v>559</v>
      </c>
      <c r="AH7" s="39" t="s">
        <v>561</v>
      </c>
      <c r="AI7" s="39" t="s">
        <v>394</v>
      </c>
      <c r="AJ7" s="39" t="str">
        <f>[1]MiscBanners!$B$4</f>
        <v>https://www.samsung.com/us/shop/all-deals/</v>
      </c>
      <c r="AK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7" s="39" t="s">
        <v>394</v>
      </c>
      <c r="AM7" s="39" t="s">
        <v>394</v>
      </c>
      <c r="AN7" s="39" t="s">
        <v>394</v>
      </c>
      <c r="AO7" s="89" t="s">
        <v>265</v>
      </c>
      <c r="AP7" s="39" t="str">
        <f>CCModuleCopy!$B$7</f>
        <v>HE_HeadImage_Shop_TVs_500xV.jpg</v>
      </c>
      <c r="AQ7" s="39" t="str">
        <f>CCModuleCopy!$C$7</f>
        <v>Get up to $3000 off select 8K, 4K and Lifestyle TVs</v>
      </c>
      <c r="AR7" s="39" t="str">
        <f>CCModuleCopy!$D$7</f>
        <v>NULL</v>
      </c>
      <c r="AS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7" s="39" t="str">
        <f>CCModuleCopy!$F$7</f>
        <v>Shop all</v>
      </c>
      <c r="AU7" s="39" t="str">
        <f>CCModuleCopy!$G$7</f>
        <v>https://www.samsung.com/us/shop/all-deals/tv-and-home-theater-deals/</v>
      </c>
      <c r="AV7"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W7" s="39" t="str">
        <f>CCModuleCopy!$I$7</f>
        <v>NULL</v>
      </c>
      <c r="AX7" s="39" t="str">
        <f>CCModuleCopy!$J$7</f>
        <v>NULL</v>
      </c>
      <c r="AY7" s="39" t="str">
        <f>CCModuleCopy!$K$7</f>
        <v>NULL</v>
      </c>
      <c r="AZ7" s="89" t="s">
        <v>267</v>
      </c>
      <c r="BA7" s="39" t="str">
        <f>CCModuleCopy!$B$3</f>
        <v>IM_HeadImage_Shop_Phones_500xV.jpg</v>
      </c>
      <c r="BB7" s="39" t="str">
        <f>CCModuleCopy!$C$3</f>
        <v>Save up to $1000 instantly on the latest and greatest Galaxy smartphones</v>
      </c>
      <c r="BC7" s="39" t="str">
        <f>CCModuleCopy!$D$3</f>
        <v>NULL</v>
      </c>
      <c r="BD7"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7" s="39" t="str">
        <f>CCModuleCopy!$F$3</f>
        <v>Shop all</v>
      </c>
      <c r="BF7" s="39" t="str">
        <f>CCModuleCopy!$G$3</f>
        <v>https://www.samsung.com/us/shop/all-deals/cell-phone-deals/</v>
      </c>
      <c r="BG7"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7" s="39" t="str">
        <f>CCModuleCopy!$I$3</f>
        <v>NULL</v>
      </c>
      <c r="BI7" s="39" t="str">
        <f>CCModuleCopy!$J$3</f>
        <v>NULL</v>
      </c>
      <c r="BJ7" s="39" t="str">
        <f>CCModuleCopy!$K$3</f>
        <v>NULL</v>
      </c>
      <c r="BK7" s="89" t="s">
        <v>266</v>
      </c>
      <c r="BL7" s="39">
        <v>0</v>
      </c>
      <c r="BM7" s="39" t="s">
        <v>365</v>
      </c>
      <c r="BN7" s="39" t="s">
        <v>394</v>
      </c>
      <c r="BO7" s="39" t="s">
        <v>366</v>
      </c>
      <c r="BP7" s="39" t="s">
        <v>89</v>
      </c>
      <c r="BQ7" s="39">
        <v>0</v>
      </c>
      <c r="BR7" s="39">
        <v>0</v>
      </c>
      <c r="BS7" s="39" t="s">
        <v>394</v>
      </c>
      <c r="BT7" s="39" t="s">
        <v>394</v>
      </c>
      <c r="BU7" s="39" t="s">
        <v>394</v>
      </c>
      <c r="BV7" s="89" t="s">
        <v>367</v>
      </c>
      <c r="BW7" s="39" t="str">
        <f>CCModuleCopy!$B$11</f>
        <v>ME_HeadImage_Wearables_500xV.jpg</v>
      </c>
      <c r="BX7" s="39" t="str">
        <f>CCModuleCopy!$C$11</f>
        <v>Get up to $100 off select watches and earbuds</v>
      </c>
      <c r="BY7" s="39" t="str">
        <f>CCModuleCopy!$D$11</f>
        <v>NULL</v>
      </c>
      <c r="BZ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7" s="39" t="str">
        <f>CCModuleCopy!$F$11</f>
        <v>Shop all</v>
      </c>
      <c r="CB7" s="39" t="str">
        <f>CCModuleCopy!$G$11</f>
        <v>https://www.samsung.com/us/shop/all-deals/watches-audio-accessories-deals/</v>
      </c>
      <c r="CC7"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7" s="39" t="str">
        <f>CCModuleCopy!$I$11</f>
        <v>NULL</v>
      </c>
      <c r="CE7" s="39" t="str">
        <f>CCModuleCopy!$J$11</f>
        <v>NULL</v>
      </c>
      <c r="CF7" s="39" t="str">
        <f>CCModuleCopy!$K$11</f>
        <v>NULL</v>
      </c>
      <c r="CG7" s="89" t="s">
        <v>368</v>
      </c>
      <c r="CH7" s="39" t="str">
        <f>CCModuleCopy!$B$13</f>
        <v>CE_HeadImage_Computing_500xV.jpg</v>
      </c>
      <c r="CI7" s="39" t="str">
        <f>CCModuleCopy!$C$13</f>
        <v>Get up to 60% off memory cards, SSD, monitors and more</v>
      </c>
      <c r="CJ7" s="39" t="str">
        <f>CCModuleCopy!$D$13</f>
        <v>NULL</v>
      </c>
      <c r="CK7" s="39" t="str">
        <f>CCModuleCopy!$E$13</f>
        <v xml:space="preserve">Expand the way you play, store and create and get up to 30% off monitors, up to 60% off memory cards, up to 35% off SSD and more. Work and game smarter, not harder with these must-have computing offers. </v>
      </c>
      <c r="CL7" s="39" t="str">
        <f>CCModuleCopy!$F$13</f>
        <v>Shop all</v>
      </c>
      <c r="CM7" s="39" t="str">
        <f>CCModuleCopy!$G$13</f>
        <v>https://www.samsung.com/us/shop/all-deals/tablets-laptops-computers-deals/</v>
      </c>
      <c r="CN7"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7" s="39" t="str">
        <f>CCModuleCopy!$I$13</f>
        <v>NULL</v>
      </c>
      <c r="CP7" s="39" t="str">
        <f>CCModuleCopy!$J$13</f>
        <v>NULL</v>
      </c>
      <c r="CQ7" s="39" t="str">
        <f>CCModuleCopy!$K$13</f>
        <v>NULL</v>
      </c>
      <c r="CR7" s="89" t="s">
        <v>279</v>
      </c>
      <c r="CS7" s="39" t="str">
        <f>CCModuleCopy!$B$9</f>
        <v>HA_HeadImage_Shop_HA_500xV.jpg</v>
      </c>
      <c r="CT7" s="39" t="str">
        <f>CCModuleCopy!$C$9</f>
        <v>Save up to 50% on everything you need to upgrade your home and home care</v>
      </c>
      <c r="CU7" s="39" t="str">
        <f>CCModuleCopy!$D$9</f>
        <v>NULL</v>
      </c>
      <c r="CV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7" s="39" t="str">
        <f>CCModuleCopy!$F$9</f>
        <v>Shop all</v>
      </c>
      <c r="CX7" s="39" t="str">
        <f>CCModuleCopy!$G$9</f>
        <v>https://www.samsung.com/us/shop/all-deals/home-appliance-and-smart-home-sales/</v>
      </c>
      <c r="CY7"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7" s="39" t="str">
        <f>CCModuleCopy!$I$9</f>
        <v>NULL</v>
      </c>
      <c r="DA7" s="39" t="str">
        <f>CCModuleCopy!$J$9</f>
        <v>NULL</v>
      </c>
      <c r="DB7" s="39" t="str">
        <f>CCModuleCopy!$K$9</f>
        <v>NULL</v>
      </c>
      <c r="DC7" s="89" t="s">
        <v>280</v>
      </c>
      <c r="DD7" s="39" t="str">
        <f>MiscBanners!$H$4</f>
        <v>Give-wonder-500xV.jpg</v>
      </c>
      <c r="DE7" s="39" t="str">
        <f>MiscBanners!$I$4</f>
        <v>The gift that keeps on giving</v>
      </c>
      <c r="DF7" s="39" t="str">
        <f>MiscBanners!$J$4</f>
        <v>NULL</v>
      </c>
      <c r="DG7" s="91" t="str">
        <f>MiscBanners!$K$4</f>
        <v>Discover even more exclusive offers on your favorite products and unlock the power of smart and savvy gifting.</v>
      </c>
      <c r="DH7" s="39" t="str">
        <f>MiscBanners!$L$4</f>
        <v>Shop now</v>
      </c>
      <c r="DI7" s="39" t="str">
        <f>MiscBanners!$M$4</f>
        <v>https://www.samsung.com/us/gift-ideas/</v>
      </c>
      <c r="DJ7"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7" s="39" t="str">
        <f>MiscBanners!$O$4</f>
        <v>NULL</v>
      </c>
      <c r="DL7" s="39" t="str">
        <f>MiscBanners!$P$4</f>
        <v>NULL</v>
      </c>
      <c r="DM7" s="39" t="str">
        <f>MiscBanners!$Q$4</f>
        <v>NULL</v>
      </c>
      <c r="DN7" s="89" t="s">
        <v>273</v>
      </c>
      <c r="DR7" s="91"/>
      <c r="DY7" s="89" t="s">
        <v>481</v>
      </c>
      <c r="DZ7" s="39" t="str">
        <f>TC!B5</f>
        <v>NULL</v>
      </c>
      <c r="EA7" s="39" t="str">
        <f>TC!C5</f>
        <v>NULL</v>
      </c>
      <c r="EB7" s="39" t="str">
        <f>TC!D5</f>
        <v>NULL</v>
      </c>
      <c r="EC7"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7" s="39" t="str">
        <f>TC!F5</f>
        <v>NULL</v>
      </c>
      <c r="EE7" s="39" t="str">
        <f>TC!G5</f>
        <v>https://www.samsung.com/us/</v>
      </c>
      <c r="EF7" s="39">
        <f>TC!H5</f>
        <v>0</v>
      </c>
      <c r="EG7" s="39" t="str">
        <f>TC!I5</f>
        <v>NULL</v>
      </c>
      <c r="EH7" s="39" t="str">
        <f>TC!J5</f>
        <v>NULL</v>
      </c>
      <c r="EI7" s="39" t="str">
        <f>TC!K5</f>
        <v>NULL</v>
      </c>
      <c r="EJ7" s="89" t="s">
        <v>439</v>
      </c>
      <c r="EK7" s="39" t="str">
        <f>TC!B6</f>
        <v>NULL</v>
      </c>
      <c r="EL7" s="39" t="str">
        <f>TC!C6</f>
        <v>NULL</v>
      </c>
      <c r="EM7" s="39" t="str">
        <f>TC!D6</f>
        <v>NULL</v>
      </c>
      <c r="EN7" s="91" t="str">
        <f>TC!E6</f>
        <v>‡18+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7" s="39" t="str">
        <f>TC!F6</f>
        <v>NULL</v>
      </c>
      <c r="EP7" s="39" t="str">
        <f>TC!G6</f>
        <v>https://www.samsung.com/us/</v>
      </c>
      <c r="EQ7" s="39">
        <f>TC!H6</f>
        <v>0</v>
      </c>
      <c r="ER7" s="39" t="str">
        <f>TC!I6</f>
        <v>NULL</v>
      </c>
      <c r="ES7" s="39" t="str">
        <f>TC!J6</f>
        <v>NULL</v>
      </c>
      <c r="ET7" s="39" t="str">
        <f>TC!K6</f>
        <v>NULL</v>
      </c>
      <c r="EU7" s="89" t="s">
        <v>441</v>
      </c>
      <c r="EV7" s="39" t="str">
        <f>TC!B7</f>
        <v>NULL</v>
      </c>
      <c r="EW7" s="39" t="str">
        <f>TC!C7</f>
        <v>NULL</v>
      </c>
      <c r="EX7" s="39" t="str">
        <f>TC!D7</f>
        <v>NULL</v>
      </c>
      <c r="EY7"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EZ7" s="39" t="str">
        <f>TC!F7</f>
        <v>NULL</v>
      </c>
      <c r="FA7" s="39">
        <f>TC!G7</f>
        <v>0</v>
      </c>
      <c r="FB7" s="39">
        <f>TC!H7</f>
        <v>0</v>
      </c>
      <c r="FC7" s="39" t="str">
        <f>TC!I7</f>
        <v>NULL</v>
      </c>
      <c r="FD7" s="39" t="str">
        <f>TC!J7</f>
        <v>NULL</v>
      </c>
      <c r="FE7" s="39" t="str">
        <f>TC!K7</f>
        <v>NULL</v>
      </c>
      <c r="FF7" s="89" t="s">
        <v>477</v>
      </c>
      <c r="FG7" s="39">
        <f>TC!B8</f>
        <v>0</v>
      </c>
      <c r="FH7" s="39">
        <f>TC!C8</f>
        <v>0</v>
      </c>
      <c r="FI7" s="39">
        <f>TC!D8</f>
        <v>0</v>
      </c>
      <c r="FJ7" s="91">
        <f>TC!E8</f>
        <v>0</v>
      </c>
      <c r="FK7" s="39">
        <f>TC!F8</f>
        <v>0</v>
      </c>
      <c r="FL7" s="39">
        <f>TC!G8</f>
        <v>0</v>
      </c>
      <c r="FM7" s="39">
        <f>TC!H8</f>
        <v>0</v>
      </c>
      <c r="FN7" s="39">
        <f>TC!I8</f>
        <v>0</v>
      </c>
      <c r="FO7" s="39">
        <f>TC!J8</f>
        <v>0</v>
      </c>
      <c r="FP7" s="39">
        <f>TC!K8</f>
        <v>0</v>
      </c>
    </row>
    <row r="8" spans="1:172" s="39" customFormat="1" ht="99.95" customHeight="1" x14ac:dyDescent="0.25">
      <c r="A8" s="39" t="s">
        <v>235</v>
      </c>
      <c r="B8" s="92" t="s">
        <v>241</v>
      </c>
      <c r="C8" s="39" t="s">
        <v>237</v>
      </c>
      <c r="D8" s="39" t="s">
        <v>237</v>
      </c>
      <c r="E8" s="39" t="s">
        <v>0</v>
      </c>
      <c r="G8" s="88" t="s">
        <v>540</v>
      </c>
      <c r="H8" s="88" t="s">
        <v>539</v>
      </c>
      <c r="I8" s="89" t="s">
        <v>381</v>
      </c>
      <c r="J8" s="39" t="s">
        <v>394</v>
      </c>
      <c r="K8" s="39" t="s">
        <v>394</v>
      </c>
      <c r="L8" s="39" t="s">
        <v>394</v>
      </c>
      <c r="M8" s="39" t="s">
        <v>394</v>
      </c>
      <c r="N8" s="39" t="s">
        <v>394</v>
      </c>
      <c r="O8" s="39" t="s">
        <v>394</v>
      </c>
      <c r="P8" s="39" t="s">
        <v>394</v>
      </c>
      <c r="Q8" s="39" t="s">
        <v>394</v>
      </c>
      <c r="R8" s="39" t="s">
        <v>394</v>
      </c>
      <c r="S8" s="89" t="s">
        <v>407</v>
      </c>
      <c r="T8" s="39" t="str">
        <f>'Dynamic Banners'!$L$6</f>
        <v>Cyber-monday-3.png</v>
      </c>
      <c r="U8" s="39" t="str">
        <f>'Dynamic Banners'!$M$6</f>
        <v>Cyber Monday is over. But, Cyber Week is still on.</v>
      </c>
      <c r="V8" s="39" t="s">
        <v>394</v>
      </c>
      <c r="W8" s="39" t="str">
        <f>'Dynamic Banners'!$N$6</f>
        <v xml:space="preserve">Shop amazing offers on showstopping products while supplies last. </v>
      </c>
      <c r="X8" s="39" t="s">
        <v>394</v>
      </c>
      <c r="Y8" s="39" t="str">
        <f>[1]MiscBanners!$B$4</f>
        <v>https://www.samsung.com/us/shop/all-deals/</v>
      </c>
      <c r="Z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8" s="39" t="s">
        <v>394</v>
      </c>
      <c r="AB8" s="39" t="s">
        <v>394</v>
      </c>
      <c r="AC8" s="39" t="s">
        <v>394</v>
      </c>
      <c r="AD8" s="89" t="s">
        <v>408</v>
      </c>
      <c r="AE8" s="39" t="s">
        <v>394</v>
      </c>
      <c r="AF8" s="39" t="s">
        <v>394</v>
      </c>
      <c r="AG8" s="7" t="s">
        <v>559</v>
      </c>
      <c r="AH8" s="39" t="s">
        <v>561</v>
      </c>
      <c r="AI8" s="39" t="s">
        <v>394</v>
      </c>
      <c r="AJ8" s="39" t="str">
        <f>[1]MiscBanners!$B$4</f>
        <v>https://www.samsung.com/us/shop/all-deals/</v>
      </c>
      <c r="AK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8" s="39" t="s">
        <v>394</v>
      </c>
      <c r="AM8" s="39" t="s">
        <v>394</v>
      </c>
      <c r="AN8" s="39" t="s">
        <v>394</v>
      </c>
      <c r="AO8" s="89" t="s">
        <v>266</v>
      </c>
      <c r="AP8" s="39" t="str">
        <f>CCModuleCopy!$B$15</f>
        <v>Tablet-HeadImage-500xV.jpg</v>
      </c>
      <c r="AQ8" s="39" t="str">
        <f>CCModuleCopy!$C$15</f>
        <v>Save up to $150 on select tablets</v>
      </c>
      <c r="AR8" s="39" t="str">
        <f>CCModuleCopy!$D$15</f>
        <v>NULL</v>
      </c>
      <c r="AS8" s="39" t="str">
        <f>CCModuleCopy!$E$15</f>
        <v xml:space="preserve">Empower how you create, learn, game and more with our powerful line of tablets. Shop offers on must-have products from the new Galaxy Tab S7+ to the Galaxy Tab S6 Lite. </v>
      </c>
      <c r="AT8" s="39" t="str">
        <f>CCModuleCopy!$F$15</f>
        <v>Shop all</v>
      </c>
      <c r="AU8" s="39" t="str">
        <f>CCModuleCopy!$G$15</f>
        <v>https://www.samsung.com/us/shop/all-deals/tablets-laptops-computers-deals/</v>
      </c>
      <c r="AV8"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W8" s="39" t="str">
        <f>CCModuleCopy!$I$15</f>
        <v>NULL</v>
      </c>
      <c r="AX8" s="39" t="str">
        <f>CCModuleCopy!$J$15</f>
        <v>NULL</v>
      </c>
      <c r="AY8" s="39" t="str">
        <f>CCModuleCopy!$K$15</f>
        <v>NULL</v>
      </c>
      <c r="AZ8" s="89" t="s">
        <v>267</v>
      </c>
      <c r="BA8" s="39" t="str">
        <f>CCModuleCopy!$B$3</f>
        <v>IM_HeadImage_Shop_Phones_500xV.jpg</v>
      </c>
      <c r="BB8" s="39" t="str">
        <f>CCModuleCopy!$C$3</f>
        <v>Save up to $1000 instantly on the latest and greatest Galaxy smartphones</v>
      </c>
      <c r="BC8" s="39" t="str">
        <f>CCModuleCopy!$D$3</f>
        <v>NULL</v>
      </c>
      <c r="BD8"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8" s="39" t="str">
        <f>CCModuleCopy!$F$3</f>
        <v>Shop all</v>
      </c>
      <c r="BF8" s="39" t="str">
        <f>CCModuleCopy!$G$3</f>
        <v>https://www.samsung.com/us/shop/all-deals/cell-phone-deals/</v>
      </c>
      <c r="BG8"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8" s="39" t="str">
        <f>CCModuleCopy!$I$3</f>
        <v>NULL</v>
      </c>
      <c r="BI8" s="39" t="str">
        <f>CCModuleCopy!$J$3</f>
        <v>NULL</v>
      </c>
      <c r="BJ8" s="39" t="str">
        <f>CCModuleCopy!$K$3</f>
        <v>NULL</v>
      </c>
      <c r="BK8" s="89" t="s">
        <v>265</v>
      </c>
      <c r="BL8" s="39" t="str">
        <f>CCModuleCopy!$B$7</f>
        <v>HE_HeadImage_Shop_TVs_500xV.jpg</v>
      </c>
      <c r="BM8" s="39" t="str">
        <f>CCModuleCopy!$C$7</f>
        <v>Get up to $3000 off select 8K, 4K and Lifestyle TVs</v>
      </c>
      <c r="BN8" s="39" t="str">
        <f>CCModuleCopy!$D$7</f>
        <v>NULL</v>
      </c>
      <c r="BO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8" s="39" t="str">
        <f>CCModuleCopy!$F$7</f>
        <v>Shop all</v>
      </c>
      <c r="BQ8" s="39" t="str">
        <f>CCModuleCopy!$G$7</f>
        <v>https://www.samsung.com/us/shop/all-deals/tv-and-home-theater-deals/</v>
      </c>
      <c r="BR8"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8" s="39" t="str">
        <f>CCModuleCopy!$I$7</f>
        <v>NULL</v>
      </c>
      <c r="BT8" s="39" t="str">
        <f>CCModuleCopy!$J$7</f>
        <v>NULL</v>
      </c>
      <c r="BU8" s="39" t="str">
        <f>CCModuleCopy!$K$7</f>
        <v>NULL</v>
      </c>
      <c r="BV8" s="89" t="s">
        <v>367</v>
      </c>
      <c r="BW8" s="39" t="str">
        <f>CCModuleCopy!$B$11</f>
        <v>ME_HeadImage_Wearables_500xV.jpg</v>
      </c>
      <c r="BX8" s="39" t="str">
        <f>CCModuleCopy!$C$11</f>
        <v>Get up to $100 off select watches and earbuds</v>
      </c>
      <c r="BY8" s="39" t="str">
        <f>CCModuleCopy!$D$11</f>
        <v>NULL</v>
      </c>
      <c r="BZ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8" s="39" t="str">
        <f>CCModuleCopy!$F$11</f>
        <v>Shop all</v>
      </c>
      <c r="CB8" s="39" t="str">
        <f>CCModuleCopy!$G$11</f>
        <v>https://www.samsung.com/us/shop/all-deals/watches-audio-accessories-deals/</v>
      </c>
      <c r="CC8"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8" s="39" t="str">
        <f>CCModuleCopy!$I$11</f>
        <v>NULL</v>
      </c>
      <c r="CE8" s="39" t="str">
        <f>CCModuleCopy!$J$11</f>
        <v>NULL</v>
      </c>
      <c r="CF8" s="39" t="str">
        <f>CCModuleCopy!$K$11</f>
        <v>NULL</v>
      </c>
      <c r="CG8" s="89" t="s">
        <v>368</v>
      </c>
      <c r="CH8" s="39" t="str">
        <f>CCModuleCopy!$B$13</f>
        <v>CE_HeadImage_Computing_500xV.jpg</v>
      </c>
      <c r="CI8" s="39" t="str">
        <f>CCModuleCopy!$C$13</f>
        <v>Get up to 60% off memory cards, SSD, monitors and more</v>
      </c>
      <c r="CJ8" s="39" t="str">
        <f>CCModuleCopy!$D$13</f>
        <v>NULL</v>
      </c>
      <c r="CK8" s="39" t="str">
        <f>CCModuleCopy!$E$13</f>
        <v xml:space="preserve">Expand the way you play, store and create and get up to 30% off monitors, up to 60% off memory cards, up to 35% off SSD and more. Work and game smarter, not harder with these must-have computing offers. </v>
      </c>
      <c r="CL8" s="39" t="str">
        <f>CCModuleCopy!$F$13</f>
        <v>Shop all</v>
      </c>
      <c r="CM8" s="39" t="str">
        <f>CCModuleCopy!$G$13</f>
        <v>https://www.samsung.com/us/shop/all-deals/tablets-laptops-computers-deals/</v>
      </c>
      <c r="CN8"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8" s="39" t="str">
        <f>CCModuleCopy!$I$13</f>
        <v>NULL</v>
      </c>
      <c r="CP8" s="39" t="str">
        <f>CCModuleCopy!$J$13</f>
        <v>NULL</v>
      </c>
      <c r="CQ8" s="39" t="str">
        <f>CCModuleCopy!$K$13</f>
        <v>NULL</v>
      </c>
      <c r="CR8" s="89" t="s">
        <v>279</v>
      </c>
      <c r="CS8" s="39" t="str">
        <f>CCModuleCopy!$B$9</f>
        <v>HA_HeadImage_Shop_HA_500xV.jpg</v>
      </c>
      <c r="CT8" s="39" t="str">
        <f>CCModuleCopy!$C$9</f>
        <v>Save up to 50% on everything you need to upgrade your home and home care</v>
      </c>
      <c r="CU8" s="39" t="str">
        <f>CCModuleCopy!$D$9</f>
        <v>NULL</v>
      </c>
      <c r="CV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8" s="39" t="str">
        <f>CCModuleCopy!$F$9</f>
        <v>Shop all</v>
      </c>
      <c r="CX8" s="39" t="str">
        <f>CCModuleCopy!$G$9</f>
        <v>https://www.samsung.com/us/shop/all-deals/home-appliance-and-smart-home-sales/</v>
      </c>
      <c r="CY8"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8" s="39" t="str">
        <f>CCModuleCopy!$I$9</f>
        <v>NULL</v>
      </c>
      <c r="DA8" s="39" t="str">
        <f>CCModuleCopy!$J$9</f>
        <v>NULL</v>
      </c>
      <c r="DB8" s="39" t="str">
        <f>CCModuleCopy!$K$9</f>
        <v>NULL</v>
      </c>
      <c r="DC8" s="89" t="s">
        <v>280</v>
      </c>
      <c r="DD8" s="39" t="str">
        <f>MiscBanners!$H$4</f>
        <v>Give-wonder-500xV.jpg</v>
      </c>
      <c r="DE8" s="39" t="str">
        <f>MiscBanners!$I$4</f>
        <v>The gift that keeps on giving</v>
      </c>
      <c r="DF8" s="39" t="str">
        <f>MiscBanners!$J$4</f>
        <v>NULL</v>
      </c>
      <c r="DG8" s="91" t="str">
        <f>MiscBanners!$K$4</f>
        <v>Discover even more exclusive offers on your favorite products and unlock the power of smart and savvy gifting.</v>
      </c>
      <c r="DH8" s="39" t="str">
        <f>MiscBanners!$L$4</f>
        <v>Shop now</v>
      </c>
      <c r="DI8" s="39" t="str">
        <f>MiscBanners!$M$4</f>
        <v>https://www.samsung.com/us/gift-ideas/</v>
      </c>
      <c r="DJ8"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8" s="39" t="str">
        <f>MiscBanners!$O$4</f>
        <v>NULL</v>
      </c>
      <c r="DL8" s="39" t="str">
        <f>MiscBanners!$P$4</f>
        <v>NULL</v>
      </c>
      <c r="DM8" s="39" t="str">
        <f>MiscBanners!$Q$4</f>
        <v>NULL</v>
      </c>
      <c r="DN8" s="89" t="s">
        <v>273</v>
      </c>
      <c r="DR8" s="91"/>
      <c r="DY8" s="89" t="s">
        <v>481</v>
      </c>
      <c r="DZ8" s="39" t="s">
        <v>394</v>
      </c>
      <c r="EA8" s="39" t="s">
        <v>394</v>
      </c>
      <c r="EB8" s="39" t="s">
        <v>394</v>
      </c>
      <c r="EC8" s="91" t="s">
        <v>482</v>
      </c>
      <c r="ED8" s="39" t="s">
        <v>394</v>
      </c>
      <c r="EE8" s="39" t="s">
        <v>476</v>
      </c>
      <c r="EF8" s="39">
        <v>0</v>
      </c>
      <c r="EG8" s="39" t="s">
        <v>394</v>
      </c>
      <c r="EH8" s="39" t="s">
        <v>394</v>
      </c>
      <c r="EI8" s="39" t="s">
        <v>394</v>
      </c>
      <c r="EJ8" s="89" t="s">
        <v>439</v>
      </c>
      <c r="EK8" s="39" t="s">
        <v>394</v>
      </c>
      <c r="EL8" s="39" t="s">
        <v>394</v>
      </c>
      <c r="EM8" s="39" t="s">
        <v>394</v>
      </c>
      <c r="EN8" s="91" t="s">
        <v>483</v>
      </c>
      <c r="EO8" s="39" t="s">
        <v>394</v>
      </c>
      <c r="EP8" s="39" t="s">
        <v>476</v>
      </c>
      <c r="EQ8" s="39">
        <v>0</v>
      </c>
      <c r="ER8" s="39" t="s">
        <v>394</v>
      </c>
      <c r="ES8" s="39" t="s">
        <v>394</v>
      </c>
      <c r="ET8" s="39" t="s">
        <v>394</v>
      </c>
      <c r="EU8" s="89" t="s">
        <v>441</v>
      </c>
      <c r="EV8" s="39" t="s">
        <v>394</v>
      </c>
      <c r="EW8" s="39" t="s">
        <v>394</v>
      </c>
      <c r="EX8" s="39" t="s">
        <v>394</v>
      </c>
      <c r="EY8" s="91" t="s">
        <v>484</v>
      </c>
      <c r="EZ8" s="39" t="s">
        <v>394</v>
      </c>
      <c r="FA8" s="39" t="s">
        <v>476</v>
      </c>
      <c r="FB8" s="39">
        <v>0</v>
      </c>
      <c r="FC8" s="39" t="s">
        <v>394</v>
      </c>
      <c r="FD8" s="39" t="s">
        <v>394</v>
      </c>
      <c r="FE8" s="39" t="s">
        <v>394</v>
      </c>
      <c r="FF8" s="89" t="s">
        <v>477</v>
      </c>
      <c r="FG8" s="39" t="s">
        <v>394</v>
      </c>
      <c r="FH8" s="39" t="s">
        <v>394</v>
      </c>
      <c r="FI8" s="39" t="s">
        <v>394</v>
      </c>
      <c r="FJ8" s="91" t="s">
        <v>485</v>
      </c>
      <c r="FK8" s="39" t="s">
        <v>394</v>
      </c>
      <c r="FL8" s="39">
        <v>0</v>
      </c>
      <c r="FM8" s="39">
        <v>0</v>
      </c>
      <c r="FN8" s="39" t="s">
        <v>394</v>
      </c>
      <c r="FO8" s="39" t="s">
        <v>394</v>
      </c>
      <c r="FP8" s="39" t="s">
        <v>394</v>
      </c>
    </row>
    <row r="9" spans="1:172" s="39" customFormat="1" ht="99.95" customHeight="1" x14ac:dyDescent="0.25">
      <c r="A9" s="39" t="s">
        <v>235</v>
      </c>
      <c r="B9" s="39" t="s">
        <v>264</v>
      </c>
      <c r="C9" s="39" t="s">
        <v>237</v>
      </c>
      <c r="D9" s="39" t="s">
        <v>237</v>
      </c>
      <c r="E9" s="39" t="s">
        <v>0</v>
      </c>
      <c r="G9" s="88" t="s">
        <v>540</v>
      </c>
      <c r="H9" s="88" t="s">
        <v>539</v>
      </c>
      <c r="I9" s="89" t="s">
        <v>381</v>
      </c>
      <c r="J9" s="39" t="s">
        <v>394</v>
      </c>
      <c r="K9" s="39" t="s">
        <v>394</v>
      </c>
      <c r="L9" s="39" t="s">
        <v>394</v>
      </c>
      <c r="M9" s="39" t="s">
        <v>394</v>
      </c>
      <c r="N9" s="39" t="s">
        <v>394</v>
      </c>
      <c r="O9" s="39" t="s">
        <v>394</v>
      </c>
      <c r="P9" s="39" t="s">
        <v>394</v>
      </c>
      <c r="Q9" s="39" t="s">
        <v>394</v>
      </c>
      <c r="R9" s="39" t="s">
        <v>394</v>
      </c>
      <c r="S9" s="89" t="s">
        <v>407</v>
      </c>
      <c r="T9" s="39" t="str">
        <f>'Dynamic Banners'!$L$6</f>
        <v>Cyber-monday-3.png</v>
      </c>
      <c r="U9" s="39" t="str">
        <f>'Dynamic Banners'!$M$6</f>
        <v>Cyber Monday is over. But, Cyber Week is still on.</v>
      </c>
      <c r="V9" s="39" t="s">
        <v>394</v>
      </c>
      <c r="W9" s="39" t="str">
        <f>'Dynamic Banners'!$N$6</f>
        <v xml:space="preserve">Shop amazing offers on showstopping products while supplies last. </v>
      </c>
      <c r="X9" s="39" t="s">
        <v>394</v>
      </c>
      <c r="Y9" s="39" t="str">
        <f>[1]MiscBanners!$B$4</f>
        <v>https://www.samsung.com/us/shop/all-deals/</v>
      </c>
      <c r="Z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9" s="39" t="s">
        <v>394</v>
      </c>
      <c r="AB9" s="39" t="s">
        <v>394</v>
      </c>
      <c r="AC9" s="39" t="s">
        <v>394</v>
      </c>
      <c r="AD9" s="89" t="s">
        <v>408</v>
      </c>
      <c r="AE9" s="39" t="s">
        <v>394</v>
      </c>
      <c r="AF9" s="39" t="s">
        <v>394</v>
      </c>
      <c r="AG9" s="7" t="s">
        <v>559</v>
      </c>
      <c r="AH9" s="39" t="s">
        <v>561</v>
      </c>
      <c r="AI9" s="39" t="s">
        <v>394</v>
      </c>
      <c r="AJ9" s="39" t="str">
        <f>[1]MiscBanners!$B$4</f>
        <v>https://www.samsung.com/us/shop/all-deals/</v>
      </c>
      <c r="AK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9" s="39" t="s">
        <v>394</v>
      </c>
      <c r="AM9" s="39" t="s">
        <v>394</v>
      </c>
      <c r="AN9" s="39" t="s">
        <v>394</v>
      </c>
      <c r="AO9" s="89" t="s">
        <v>367</v>
      </c>
      <c r="AP9" s="39" t="str">
        <f>CCModuleCopy!$B$11</f>
        <v>ME_HeadImage_Wearables_500xV.jpg</v>
      </c>
      <c r="AQ9" s="39" t="str">
        <f>CCModuleCopy!$C$11</f>
        <v>Get up to $100 off select watches and earbuds</v>
      </c>
      <c r="AR9" s="39" t="str">
        <f>CCModuleCopy!$D$11</f>
        <v>NULL</v>
      </c>
      <c r="AS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9" s="39" t="str">
        <f>CCModuleCopy!$F$11</f>
        <v>Shop all</v>
      </c>
      <c r="AU9" s="39" t="str">
        <f>CCModuleCopy!$G$11</f>
        <v>https://www.samsung.com/us/shop/all-deals/watches-audio-accessories-deals/</v>
      </c>
      <c r="AV9"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W9" s="39" t="str">
        <f>CCModuleCopy!$I$11</f>
        <v>NULL</v>
      </c>
      <c r="AX9" s="39" t="str">
        <f>CCModuleCopy!$J$11</f>
        <v>NULL</v>
      </c>
      <c r="AY9" s="39" t="str">
        <f>CCModuleCopy!$K$11</f>
        <v>NULL</v>
      </c>
      <c r="AZ9" s="89" t="s">
        <v>267</v>
      </c>
      <c r="BA9" s="39" t="str">
        <f>CCModuleCopy!$B$3</f>
        <v>IM_HeadImage_Shop_Phones_500xV.jpg</v>
      </c>
      <c r="BB9" s="39" t="str">
        <f>CCModuleCopy!$C$3</f>
        <v>Save up to $1000 instantly on the latest and greatest Galaxy smartphones</v>
      </c>
      <c r="BC9" s="39" t="str">
        <f>CCModuleCopy!$D$3</f>
        <v>NULL</v>
      </c>
      <c r="BD9"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9" s="39" t="str">
        <f>CCModuleCopy!$F$3</f>
        <v>Shop all</v>
      </c>
      <c r="BF9" s="39" t="str">
        <f>CCModuleCopy!$G$3</f>
        <v>https://www.samsung.com/us/shop/all-deals/cell-phone-deals/</v>
      </c>
      <c r="BG9"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9" s="39" t="str">
        <f>CCModuleCopy!$I$3</f>
        <v>NULL</v>
      </c>
      <c r="BI9" s="39" t="str">
        <f>CCModuleCopy!$J$3</f>
        <v>NULL</v>
      </c>
      <c r="BJ9" s="39" t="str">
        <f>CCModuleCopy!$K$3</f>
        <v>NULL</v>
      </c>
      <c r="BK9" s="89" t="s">
        <v>265</v>
      </c>
      <c r="BL9" s="39" t="str">
        <f>CCModuleCopy!$B$7</f>
        <v>HE_HeadImage_Shop_TVs_500xV.jpg</v>
      </c>
      <c r="BM9" s="39" t="str">
        <f>CCModuleCopy!$C$7</f>
        <v>Get up to $3000 off select 8K, 4K and Lifestyle TVs</v>
      </c>
      <c r="BN9" s="39" t="str">
        <f>CCModuleCopy!$D$7</f>
        <v>NULL</v>
      </c>
      <c r="BO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9" s="39" t="str">
        <f>CCModuleCopy!$F$7</f>
        <v>Shop all</v>
      </c>
      <c r="BQ9" s="39" t="str">
        <f>CCModuleCopy!$G$7</f>
        <v>https://www.samsung.com/us/shop/all-deals/tv-and-home-theater-deals/</v>
      </c>
      <c r="BR9"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9" s="39" t="str">
        <f>CCModuleCopy!$I$7</f>
        <v>NULL</v>
      </c>
      <c r="BT9" s="39" t="str">
        <f>CCModuleCopy!$J$7</f>
        <v>NULL</v>
      </c>
      <c r="BU9" s="39" t="str">
        <f>CCModuleCopy!$K$7</f>
        <v>NULL</v>
      </c>
      <c r="BV9" s="89" t="s">
        <v>266</v>
      </c>
      <c r="BW9" s="39" t="str">
        <f>CCModuleCopy!$B$15</f>
        <v>Tablet-HeadImage-500xV.jpg</v>
      </c>
      <c r="BX9" s="39" t="str">
        <f>CCModuleCopy!$C$15</f>
        <v>Save up to $150 on select tablets</v>
      </c>
      <c r="BY9" s="39" t="str">
        <f>CCModuleCopy!$D$15</f>
        <v>NULL</v>
      </c>
      <c r="BZ9" s="39" t="str">
        <f>CCModuleCopy!$E$15</f>
        <v xml:space="preserve">Empower how you create, learn, game and more with our powerful line of tablets. Shop offers on must-have products from the new Galaxy Tab S7+ to the Galaxy Tab S6 Lite. </v>
      </c>
      <c r="CA9" s="39" t="str">
        <f>CCModuleCopy!$F$15</f>
        <v>Shop all</v>
      </c>
      <c r="CB9" s="39" t="str">
        <f>CCModuleCopy!$G$15</f>
        <v>https://www.samsung.com/us/shop/all-deals/tablets-laptops-computers-deals/</v>
      </c>
      <c r="CC9"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9" s="39" t="str">
        <f>CCModuleCopy!$I$15</f>
        <v>NULL</v>
      </c>
      <c r="CE9" s="39" t="str">
        <f>CCModuleCopy!$J$15</f>
        <v>NULL</v>
      </c>
      <c r="CF9" s="39" t="str">
        <f>CCModuleCopy!$K$15</f>
        <v>NULL</v>
      </c>
      <c r="CG9" s="89" t="s">
        <v>368</v>
      </c>
      <c r="CH9" s="39" t="str">
        <f>CCModuleCopy!$B$13</f>
        <v>CE_HeadImage_Computing_500xV.jpg</v>
      </c>
      <c r="CI9" s="39" t="str">
        <f>CCModuleCopy!$C$13</f>
        <v>Get up to 60% off memory cards, SSD, monitors and more</v>
      </c>
      <c r="CJ9" s="39" t="str">
        <f>CCModuleCopy!$D$13</f>
        <v>NULL</v>
      </c>
      <c r="CK9" s="39" t="str">
        <f>CCModuleCopy!$E$13</f>
        <v xml:space="preserve">Expand the way you play, store and create and get up to 30% off monitors, up to 60% off memory cards, up to 35% off SSD and more. Work and game smarter, not harder with these must-have computing offers. </v>
      </c>
      <c r="CL9" s="39" t="str">
        <f>CCModuleCopy!$F$13</f>
        <v>Shop all</v>
      </c>
      <c r="CM9" s="39" t="str">
        <f>CCModuleCopy!$G$13</f>
        <v>https://www.samsung.com/us/shop/all-deals/tablets-laptops-computers-deals/</v>
      </c>
      <c r="CN9"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9" s="39" t="str">
        <f>CCModuleCopy!$I$13</f>
        <v>NULL</v>
      </c>
      <c r="CP9" s="39" t="str">
        <f>CCModuleCopy!$J$13</f>
        <v>NULL</v>
      </c>
      <c r="CQ9" s="39" t="str">
        <f>CCModuleCopy!$K$13</f>
        <v>NULL</v>
      </c>
      <c r="CR9" s="89" t="s">
        <v>279</v>
      </c>
      <c r="CS9" s="39" t="str">
        <f>CCModuleCopy!$B$9</f>
        <v>HA_HeadImage_Shop_HA_500xV.jpg</v>
      </c>
      <c r="CT9" s="39" t="str">
        <f>CCModuleCopy!$C$9</f>
        <v>Save up to 50% on everything you need to upgrade your home and home care</v>
      </c>
      <c r="CU9" s="39" t="str">
        <f>CCModuleCopy!$D$9</f>
        <v>NULL</v>
      </c>
      <c r="CV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9" s="39" t="str">
        <f>CCModuleCopy!$F$9</f>
        <v>Shop all</v>
      </c>
      <c r="CX9" s="39" t="str">
        <f>CCModuleCopy!$G$9</f>
        <v>https://www.samsung.com/us/shop/all-deals/home-appliance-and-smart-home-sales/</v>
      </c>
      <c r="CY9"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9" s="39" t="str">
        <f>CCModuleCopy!$I$9</f>
        <v>NULL</v>
      </c>
      <c r="DA9" s="39" t="str">
        <f>CCModuleCopy!$J$9</f>
        <v>NULL</v>
      </c>
      <c r="DB9" s="39" t="str">
        <f>CCModuleCopy!$K$9</f>
        <v>NULL</v>
      </c>
      <c r="DC9" s="89" t="s">
        <v>280</v>
      </c>
      <c r="DD9" s="39" t="str">
        <f>MiscBanners!$H$4</f>
        <v>Give-wonder-500xV.jpg</v>
      </c>
      <c r="DE9" s="39" t="str">
        <f>MiscBanners!$I$4</f>
        <v>The gift that keeps on giving</v>
      </c>
      <c r="DF9" s="39" t="str">
        <f>MiscBanners!$J$4</f>
        <v>NULL</v>
      </c>
      <c r="DG9" s="91" t="str">
        <f>MiscBanners!$K$4</f>
        <v>Discover even more exclusive offers on your favorite products and unlock the power of smart and savvy gifting.</v>
      </c>
      <c r="DH9" s="39" t="str">
        <f>MiscBanners!$L$4</f>
        <v>Shop now</v>
      </c>
      <c r="DI9" s="39" t="str">
        <f>MiscBanners!$M$4</f>
        <v>https://www.samsung.com/us/gift-ideas/</v>
      </c>
      <c r="DJ9"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9" s="39" t="str">
        <f>MiscBanners!$O$4</f>
        <v>NULL</v>
      </c>
      <c r="DL9" s="39" t="str">
        <f>MiscBanners!$P$4</f>
        <v>NULL</v>
      </c>
      <c r="DM9" s="39" t="str">
        <f>MiscBanners!$Q$4</f>
        <v>NULL</v>
      </c>
      <c r="DN9" s="89" t="s">
        <v>273</v>
      </c>
      <c r="DR9" s="91"/>
      <c r="DY9" s="89" t="s">
        <v>481</v>
      </c>
      <c r="DZ9" s="39" t="s">
        <v>394</v>
      </c>
      <c r="EA9" s="39" t="s">
        <v>394</v>
      </c>
      <c r="EB9" s="39" t="s">
        <v>394</v>
      </c>
      <c r="EC9" s="91" t="s">
        <v>482</v>
      </c>
      <c r="ED9" s="39" t="s">
        <v>394</v>
      </c>
      <c r="EE9" s="39" t="s">
        <v>476</v>
      </c>
      <c r="EF9" s="39">
        <v>0</v>
      </c>
      <c r="EG9" s="39" t="s">
        <v>394</v>
      </c>
      <c r="EH9" s="39" t="s">
        <v>394</v>
      </c>
      <c r="EI9" s="39" t="s">
        <v>394</v>
      </c>
      <c r="EJ9" s="89" t="s">
        <v>439</v>
      </c>
      <c r="EK9" s="39" t="s">
        <v>394</v>
      </c>
      <c r="EL9" s="39" t="s">
        <v>394</v>
      </c>
      <c r="EM9" s="39" t="s">
        <v>394</v>
      </c>
      <c r="EN9" s="91" t="s">
        <v>483</v>
      </c>
      <c r="EO9" s="39" t="s">
        <v>394</v>
      </c>
      <c r="EP9" s="39" t="s">
        <v>476</v>
      </c>
      <c r="EQ9" s="39">
        <v>0</v>
      </c>
      <c r="ER9" s="39" t="s">
        <v>394</v>
      </c>
      <c r="ES9" s="39" t="s">
        <v>394</v>
      </c>
      <c r="ET9" s="39" t="s">
        <v>394</v>
      </c>
      <c r="EU9" s="89" t="s">
        <v>441</v>
      </c>
      <c r="EV9" s="39" t="s">
        <v>394</v>
      </c>
      <c r="EW9" s="39" t="s">
        <v>394</v>
      </c>
      <c r="EX9" s="39" t="s">
        <v>394</v>
      </c>
      <c r="EY9" s="91" t="s">
        <v>484</v>
      </c>
      <c r="EZ9" s="39" t="s">
        <v>394</v>
      </c>
      <c r="FA9" s="39" t="s">
        <v>476</v>
      </c>
      <c r="FB9" s="39">
        <v>0</v>
      </c>
      <c r="FC9" s="39" t="s">
        <v>394</v>
      </c>
      <c r="FD9" s="39" t="s">
        <v>394</v>
      </c>
      <c r="FE9" s="39" t="s">
        <v>394</v>
      </c>
      <c r="FF9" s="89" t="s">
        <v>477</v>
      </c>
      <c r="FG9" s="39" t="s">
        <v>394</v>
      </c>
      <c r="FH9" s="39" t="s">
        <v>394</v>
      </c>
      <c r="FI9" s="39" t="s">
        <v>394</v>
      </c>
      <c r="FJ9" s="91" t="s">
        <v>485</v>
      </c>
      <c r="FK9" s="39" t="s">
        <v>394</v>
      </c>
      <c r="FL9" s="39">
        <v>0</v>
      </c>
      <c r="FM9" s="39">
        <v>0</v>
      </c>
      <c r="FN9" s="39" t="s">
        <v>394</v>
      </c>
      <c r="FO9" s="39" t="s">
        <v>394</v>
      </c>
      <c r="FP9" s="39" t="s">
        <v>394</v>
      </c>
    </row>
    <row r="10" spans="1:172" s="39" customFormat="1" ht="99.95" customHeight="1" x14ac:dyDescent="0.25">
      <c r="A10" s="39" t="s">
        <v>235</v>
      </c>
      <c r="B10" s="39" t="s">
        <v>361</v>
      </c>
      <c r="C10" s="39" t="s">
        <v>237</v>
      </c>
      <c r="D10" s="39" t="s">
        <v>237</v>
      </c>
      <c r="E10" s="39" t="s">
        <v>0</v>
      </c>
      <c r="G10" s="88" t="s">
        <v>540</v>
      </c>
      <c r="H10" s="88" t="s">
        <v>539</v>
      </c>
      <c r="I10" s="89" t="s">
        <v>381</v>
      </c>
      <c r="J10" s="39" t="s">
        <v>394</v>
      </c>
      <c r="K10" s="39" t="s">
        <v>394</v>
      </c>
      <c r="L10" s="39" t="s">
        <v>394</v>
      </c>
      <c r="M10" s="39" t="s">
        <v>394</v>
      </c>
      <c r="N10" s="39" t="s">
        <v>394</v>
      </c>
      <c r="O10" s="39" t="s">
        <v>394</v>
      </c>
      <c r="P10" s="39" t="s">
        <v>394</v>
      </c>
      <c r="Q10" s="39" t="s">
        <v>394</v>
      </c>
      <c r="R10" s="39" t="s">
        <v>394</v>
      </c>
      <c r="S10" s="89" t="s">
        <v>407</v>
      </c>
      <c r="T10" s="39" t="str">
        <f>'Dynamic Banners'!$L$6</f>
        <v>Cyber-monday-3.png</v>
      </c>
      <c r="U10" s="39" t="str">
        <f>'Dynamic Banners'!$M$6</f>
        <v>Cyber Monday is over. But, Cyber Week is still on.</v>
      </c>
      <c r="V10" s="39" t="s">
        <v>394</v>
      </c>
      <c r="W10" s="39" t="str">
        <f>'Dynamic Banners'!$N$6</f>
        <v xml:space="preserve">Shop amazing offers on showstopping products while supplies last. </v>
      </c>
      <c r="X10" s="39" t="s">
        <v>394</v>
      </c>
      <c r="Y10" s="39" t="str">
        <f>[1]MiscBanners!$B$4</f>
        <v>https://www.samsung.com/us/shop/all-deals/</v>
      </c>
      <c r="Z1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0" s="39" t="s">
        <v>394</v>
      </c>
      <c r="AB10" s="39" t="s">
        <v>394</v>
      </c>
      <c r="AC10" s="39" t="s">
        <v>394</v>
      </c>
      <c r="AD10" s="89" t="s">
        <v>408</v>
      </c>
      <c r="AE10" s="39" t="s">
        <v>394</v>
      </c>
      <c r="AF10" s="39" t="s">
        <v>394</v>
      </c>
      <c r="AG10" s="7" t="s">
        <v>559</v>
      </c>
      <c r="AH10" s="39" t="s">
        <v>561</v>
      </c>
      <c r="AI10" s="39" t="s">
        <v>394</v>
      </c>
      <c r="AJ10" s="39" t="str">
        <f>[1]MiscBanners!$B$4</f>
        <v>https://www.samsung.com/us/shop/all-deals/</v>
      </c>
      <c r="AK1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0" s="39" t="s">
        <v>394</v>
      </c>
      <c r="AM10" s="39" t="s">
        <v>394</v>
      </c>
      <c r="AN10" s="39" t="s">
        <v>394</v>
      </c>
      <c r="AO10" s="89" t="s">
        <v>368</v>
      </c>
      <c r="AP10" s="39" t="str">
        <f>CCModuleCopy!$B$13</f>
        <v>CE_HeadImage_Computing_500xV.jpg</v>
      </c>
      <c r="AQ10" s="39" t="str">
        <f>CCModuleCopy!$C$13</f>
        <v>Get up to 60% off memory cards, SSD, monitors and more</v>
      </c>
      <c r="AR10" s="39" t="str">
        <f>CCModuleCopy!$D$13</f>
        <v>NULL</v>
      </c>
      <c r="AS10" s="39" t="str">
        <f>CCModuleCopy!$E$13</f>
        <v xml:space="preserve">Expand the way you play, store and create and get up to 30% off monitors, up to 60% off memory cards, up to 35% off SSD and more. Work and game smarter, not harder with these must-have computing offers. </v>
      </c>
      <c r="AT10" s="39" t="str">
        <f>CCModuleCopy!$F$13</f>
        <v>Shop all</v>
      </c>
      <c r="AU10" s="39" t="str">
        <f>CCModuleCopy!$G$13</f>
        <v>https://www.samsung.com/us/shop/all-deals/tablets-laptops-computers-deals/</v>
      </c>
      <c r="AV10"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W10" s="39" t="str">
        <f>CCModuleCopy!$I$13</f>
        <v>NULL</v>
      </c>
      <c r="AX10" s="39" t="str">
        <f>CCModuleCopy!$J$13</f>
        <v>NULL</v>
      </c>
      <c r="AY10" s="39" t="str">
        <f>CCModuleCopy!$K$13</f>
        <v>NULL</v>
      </c>
      <c r="AZ10" s="89" t="s">
        <v>267</v>
      </c>
      <c r="BA10" s="39" t="str">
        <f>CCModuleCopy!$B$3</f>
        <v>IM_HeadImage_Shop_Phones_500xV.jpg</v>
      </c>
      <c r="BB10" s="39" t="str">
        <f>CCModuleCopy!$C$3</f>
        <v>Save up to $1000 instantly on the latest and greatest Galaxy smartphones</v>
      </c>
      <c r="BC10" s="39" t="str">
        <f>CCModuleCopy!$D$3</f>
        <v>NULL</v>
      </c>
      <c r="BD10"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0" s="39" t="str">
        <f>CCModuleCopy!$F$3</f>
        <v>Shop all</v>
      </c>
      <c r="BF10" s="39" t="str">
        <f>CCModuleCopy!$G$3</f>
        <v>https://www.samsung.com/us/shop/all-deals/cell-phone-deals/</v>
      </c>
      <c r="BG10"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0" s="39" t="str">
        <f>CCModuleCopy!$I$3</f>
        <v>NULL</v>
      </c>
      <c r="BI10" s="39" t="str">
        <f>CCModuleCopy!$J$3</f>
        <v>NULL</v>
      </c>
      <c r="BJ10" s="39" t="str">
        <f>CCModuleCopy!$K$3</f>
        <v>NULL</v>
      </c>
      <c r="BK10" s="89" t="s">
        <v>265</v>
      </c>
      <c r="BL10" s="39" t="str">
        <f>CCModuleCopy!$B$7</f>
        <v>HE_HeadImage_Shop_TVs_500xV.jpg</v>
      </c>
      <c r="BM10" s="39" t="str">
        <f>CCModuleCopy!$C$7</f>
        <v>Get up to $3000 off select 8K, 4K and Lifestyle TVs</v>
      </c>
      <c r="BN10" s="39" t="str">
        <f>CCModuleCopy!$D$7</f>
        <v>NULL</v>
      </c>
      <c r="BO10"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0" s="39" t="str">
        <f>CCModuleCopy!$F$7</f>
        <v>Shop all</v>
      </c>
      <c r="BQ10" s="39" t="str">
        <f>CCModuleCopy!$G$7</f>
        <v>https://www.samsung.com/us/shop/all-deals/tv-and-home-theater-deals/</v>
      </c>
      <c r="BR10"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10" s="39" t="str">
        <f>CCModuleCopy!$I$7</f>
        <v>NULL</v>
      </c>
      <c r="BT10" s="39" t="str">
        <f>CCModuleCopy!$J$7</f>
        <v>NULL</v>
      </c>
      <c r="BU10" s="39" t="str">
        <f>CCModuleCopy!$K$7</f>
        <v>NULL</v>
      </c>
      <c r="BV10" s="89" t="s">
        <v>266</v>
      </c>
      <c r="BW10" s="39" t="str">
        <f>CCModuleCopy!$B$15</f>
        <v>Tablet-HeadImage-500xV.jpg</v>
      </c>
      <c r="BX10" s="39" t="str">
        <f>CCModuleCopy!$C$15</f>
        <v>Save up to $150 on select tablets</v>
      </c>
      <c r="BY10" s="39" t="str">
        <f>CCModuleCopy!$D$15</f>
        <v>NULL</v>
      </c>
      <c r="BZ10" s="39" t="str">
        <f>CCModuleCopy!$E$15</f>
        <v xml:space="preserve">Empower how you create, learn, game and more with our powerful line of tablets. Shop offers on must-have products from the new Galaxy Tab S7+ to the Galaxy Tab S6 Lite. </v>
      </c>
      <c r="CA10" s="39" t="str">
        <f>CCModuleCopy!$F$15</f>
        <v>Shop all</v>
      </c>
      <c r="CB10" s="39" t="str">
        <f>CCModuleCopy!$G$15</f>
        <v>https://www.samsung.com/us/shop/all-deals/tablets-laptops-computers-deals/</v>
      </c>
      <c r="CC10"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10" s="39" t="str">
        <f>CCModuleCopy!$I$15</f>
        <v>NULL</v>
      </c>
      <c r="CE10" s="39" t="str">
        <f>CCModuleCopy!$J$15</f>
        <v>NULL</v>
      </c>
      <c r="CF10" s="39" t="str">
        <f>CCModuleCopy!$K$15</f>
        <v>NULL</v>
      </c>
      <c r="CG10" s="89" t="s">
        <v>367</v>
      </c>
      <c r="CH10" s="39" t="str">
        <f>CCModuleCopy!$B$11</f>
        <v>ME_HeadImage_Wearables_500xV.jpg</v>
      </c>
      <c r="CI10" s="39" t="str">
        <f>CCModuleCopy!$C$11</f>
        <v>Get up to $100 off select watches and earbuds</v>
      </c>
      <c r="CJ10" s="39" t="str">
        <f>CCModuleCopy!$D$11</f>
        <v>NULL</v>
      </c>
      <c r="CK10"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0" s="39" t="str">
        <f>CCModuleCopy!$F$11</f>
        <v>Shop all</v>
      </c>
      <c r="CM10" s="39" t="str">
        <f>CCModuleCopy!$G$11</f>
        <v>https://www.samsung.com/us/shop/all-deals/watches-audio-accessories-deals/</v>
      </c>
      <c r="CN10"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10" s="39" t="str">
        <f>CCModuleCopy!$I$11</f>
        <v>NULL</v>
      </c>
      <c r="CP10" s="39" t="str">
        <f>CCModuleCopy!$J$11</f>
        <v>NULL</v>
      </c>
      <c r="CQ10" s="39" t="str">
        <f>CCModuleCopy!$K$11</f>
        <v>NULL</v>
      </c>
      <c r="CR10" s="89" t="s">
        <v>279</v>
      </c>
      <c r="CS10" s="39" t="str">
        <f>CCModuleCopy!$B$9</f>
        <v>HA_HeadImage_Shop_HA_500xV.jpg</v>
      </c>
      <c r="CT10" s="39" t="str">
        <f>CCModuleCopy!$C$9</f>
        <v>Save up to 50% on everything you need to upgrade your home and home care</v>
      </c>
      <c r="CU10" s="39" t="str">
        <f>CCModuleCopy!$D$9</f>
        <v>NULL</v>
      </c>
      <c r="CV10"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0" s="39" t="str">
        <f>CCModuleCopy!$F$9</f>
        <v>Shop all</v>
      </c>
      <c r="CX10" s="39" t="str">
        <f>CCModuleCopy!$G$9</f>
        <v>https://www.samsung.com/us/shop/all-deals/home-appliance-and-smart-home-sales/</v>
      </c>
      <c r="CY10"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0" s="39" t="str">
        <f>CCModuleCopy!$I$9</f>
        <v>NULL</v>
      </c>
      <c r="DA10" s="39" t="str">
        <f>CCModuleCopy!$J$9</f>
        <v>NULL</v>
      </c>
      <c r="DB10" s="39" t="str">
        <f>CCModuleCopy!$K$9</f>
        <v>NULL</v>
      </c>
      <c r="DC10" s="89" t="s">
        <v>280</v>
      </c>
      <c r="DD10" s="39" t="str">
        <f>MiscBanners!$H$4</f>
        <v>Give-wonder-500xV.jpg</v>
      </c>
      <c r="DE10" s="39" t="str">
        <f>MiscBanners!$I$4</f>
        <v>The gift that keeps on giving</v>
      </c>
      <c r="DF10" s="39" t="str">
        <f>MiscBanners!$J$4</f>
        <v>NULL</v>
      </c>
      <c r="DG10" s="91" t="str">
        <f>MiscBanners!$K$4</f>
        <v>Discover even more exclusive offers on your favorite products and unlock the power of smart and savvy gifting.</v>
      </c>
      <c r="DH10" s="39" t="str">
        <f>MiscBanners!$L$4</f>
        <v>Shop now</v>
      </c>
      <c r="DI10" s="39" t="str">
        <f>MiscBanners!$M$4</f>
        <v>https://www.samsung.com/us/gift-ideas/</v>
      </c>
      <c r="DJ10"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0" s="39" t="str">
        <f>MiscBanners!$O$4</f>
        <v>NULL</v>
      </c>
      <c r="DL10" s="39" t="str">
        <f>MiscBanners!$P$4</f>
        <v>NULL</v>
      </c>
      <c r="DM10" s="39" t="str">
        <f>MiscBanners!$Q$4</f>
        <v>NULL</v>
      </c>
      <c r="DN10" s="89" t="s">
        <v>273</v>
      </c>
      <c r="DR10" s="91"/>
      <c r="DY10" s="89" t="s">
        <v>481</v>
      </c>
      <c r="DZ10" s="39" t="s">
        <v>394</v>
      </c>
      <c r="EA10" s="39" t="s">
        <v>394</v>
      </c>
      <c r="EB10" s="39" t="s">
        <v>394</v>
      </c>
      <c r="EC10" s="91" t="s">
        <v>482</v>
      </c>
      <c r="ED10" s="39" t="s">
        <v>394</v>
      </c>
      <c r="EE10" s="39" t="s">
        <v>476</v>
      </c>
      <c r="EF10" s="39">
        <v>0</v>
      </c>
      <c r="EG10" s="39" t="s">
        <v>394</v>
      </c>
      <c r="EH10" s="39" t="s">
        <v>394</v>
      </c>
      <c r="EI10" s="39" t="s">
        <v>394</v>
      </c>
      <c r="EJ10" s="89" t="s">
        <v>439</v>
      </c>
      <c r="EK10" s="39" t="s">
        <v>394</v>
      </c>
      <c r="EL10" s="39" t="s">
        <v>394</v>
      </c>
      <c r="EM10" s="39" t="s">
        <v>394</v>
      </c>
      <c r="EN10" s="91" t="s">
        <v>483</v>
      </c>
      <c r="EO10" s="39" t="s">
        <v>394</v>
      </c>
      <c r="EP10" s="39" t="s">
        <v>476</v>
      </c>
      <c r="EQ10" s="39">
        <v>0</v>
      </c>
      <c r="ER10" s="39" t="s">
        <v>394</v>
      </c>
      <c r="ES10" s="39" t="s">
        <v>394</v>
      </c>
      <c r="ET10" s="39" t="s">
        <v>394</v>
      </c>
      <c r="EU10" s="89" t="s">
        <v>441</v>
      </c>
      <c r="EV10" s="39" t="s">
        <v>394</v>
      </c>
      <c r="EW10" s="39" t="s">
        <v>394</v>
      </c>
      <c r="EX10" s="39" t="s">
        <v>394</v>
      </c>
      <c r="EY10" s="91" t="s">
        <v>484</v>
      </c>
      <c r="EZ10" s="39" t="s">
        <v>394</v>
      </c>
      <c r="FA10" s="39" t="s">
        <v>476</v>
      </c>
      <c r="FB10" s="39">
        <v>0</v>
      </c>
      <c r="FC10" s="39" t="s">
        <v>394</v>
      </c>
      <c r="FD10" s="39" t="s">
        <v>394</v>
      </c>
      <c r="FE10" s="39" t="s">
        <v>394</v>
      </c>
      <c r="FF10" s="89" t="s">
        <v>477</v>
      </c>
      <c r="FG10" s="39" t="s">
        <v>394</v>
      </c>
      <c r="FH10" s="39" t="s">
        <v>394</v>
      </c>
      <c r="FI10" s="39" t="s">
        <v>394</v>
      </c>
      <c r="FJ10" s="91" t="s">
        <v>485</v>
      </c>
      <c r="FK10" s="39" t="s">
        <v>394</v>
      </c>
      <c r="FL10" s="39">
        <v>0</v>
      </c>
      <c r="FM10" s="39">
        <v>0</v>
      </c>
      <c r="FN10" s="39" t="s">
        <v>394</v>
      </c>
      <c r="FO10" s="39" t="s">
        <v>394</v>
      </c>
      <c r="FP10" s="39" t="s">
        <v>394</v>
      </c>
    </row>
    <row r="11" spans="1:172" s="39" customFormat="1" ht="99.95" customHeight="1" x14ac:dyDescent="0.25">
      <c r="A11" s="39" t="s">
        <v>235</v>
      </c>
      <c r="B11" s="39" t="s">
        <v>369</v>
      </c>
      <c r="C11" s="39" t="s">
        <v>237</v>
      </c>
      <c r="D11" s="39" t="s">
        <v>237</v>
      </c>
      <c r="E11" s="39" t="s">
        <v>0</v>
      </c>
      <c r="G11" s="88" t="s">
        <v>540</v>
      </c>
      <c r="H11" s="88" t="s">
        <v>539</v>
      </c>
      <c r="I11" s="89" t="s">
        <v>381</v>
      </c>
      <c r="J11" s="39" t="s">
        <v>394</v>
      </c>
      <c r="K11" s="39" t="s">
        <v>394</v>
      </c>
      <c r="L11" s="39" t="s">
        <v>394</v>
      </c>
      <c r="M11" s="39" t="s">
        <v>394</v>
      </c>
      <c r="N11" s="39" t="s">
        <v>394</v>
      </c>
      <c r="O11" s="39" t="s">
        <v>394</v>
      </c>
      <c r="P11" s="39" t="s">
        <v>394</v>
      </c>
      <c r="Q11" s="39" t="s">
        <v>394</v>
      </c>
      <c r="R11" s="39" t="s">
        <v>394</v>
      </c>
      <c r="S11" s="89" t="s">
        <v>407</v>
      </c>
      <c r="T11" s="39" t="str">
        <f>'Dynamic Banners'!$L$6</f>
        <v>Cyber-monday-3.png</v>
      </c>
      <c r="U11" s="39" t="str">
        <f>'Dynamic Banners'!$M$6</f>
        <v>Cyber Monday is over. But, Cyber Week is still on.</v>
      </c>
      <c r="V11" s="39" t="s">
        <v>394</v>
      </c>
      <c r="W11" s="39" t="str">
        <f>'Dynamic Banners'!$N$6</f>
        <v xml:space="preserve">Shop amazing offers on showstopping products while supplies last. </v>
      </c>
      <c r="X11" s="39" t="s">
        <v>394</v>
      </c>
      <c r="Y11" s="39" t="str">
        <f>[1]MiscBanners!$B$4</f>
        <v>https://www.samsung.com/us/shop/all-deals/</v>
      </c>
      <c r="Z1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1" s="39" t="s">
        <v>394</v>
      </c>
      <c r="AB11" s="39" t="s">
        <v>394</v>
      </c>
      <c r="AC11" s="39" t="s">
        <v>394</v>
      </c>
      <c r="AD11" s="89" t="s">
        <v>408</v>
      </c>
      <c r="AE11" s="39" t="s">
        <v>394</v>
      </c>
      <c r="AF11" s="39" t="s">
        <v>394</v>
      </c>
      <c r="AG11" s="7" t="s">
        <v>559</v>
      </c>
      <c r="AH11" s="39" t="s">
        <v>561</v>
      </c>
      <c r="AI11" s="39" t="s">
        <v>394</v>
      </c>
      <c r="AJ11" s="39" t="str">
        <f>[1]MiscBanners!$B$4</f>
        <v>https://www.samsung.com/us/shop/all-deals/</v>
      </c>
      <c r="AK1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1" s="39" t="s">
        <v>394</v>
      </c>
      <c r="AM11" s="39" t="s">
        <v>394</v>
      </c>
      <c r="AN11" s="39" t="s">
        <v>394</v>
      </c>
      <c r="AO11" s="89" t="s">
        <v>279</v>
      </c>
      <c r="AP11" s="39" t="str">
        <f>CCModuleCopy!$B$9</f>
        <v>HA_HeadImage_Shop_HA_500xV.jpg</v>
      </c>
      <c r="AQ11" s="39" t="str">
        <f>CCModuleCopy!$C$9</f>
        <v>Save up to 50% on everything you need to upgrade your home and home care</v>
      </c>
      <c r="AR11" s="39" t="str">
        <f>CCModuleCopy!$D$9</f>
        <v>NULL</v>
      </c>
      <c r="AS11"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11" s="39" t="str">
        <f>CCModuleCopy!$F$9</f>
        <v>Shop all</v>
      </c>
      <c r="AU11" s="39" t="str">
        <f>CCModuleCopy!$G$9</f>
        <v>https://www.samsung.com/us/shop/all-deals/home-appliance-and-smart-home-sales/</v>
      </c>
      <c r="AV11"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AW11" s="39" t="str">
        <f>CCModuleCopy!$I$9</f>
        <v>NULL</v>
      </c>
      <c r="AX11" s="39" t="str">
        <f>CCModuleCopy!$J$9</f>
        <v>NULL</v>
      </c>
      <c r="AY11" s="39" t="str">
        <f>CCModuleCopy!$K$9</f>
        <v>NULL</v>
      </c>
      <c r="AZ11" s="89" t="s">
        <v>267</v>
      </c>
      <c r="BA11" s="39" t="str">
        <f>CCModuleCopy!$B$3</f>
        <v>IM_HeadImage_Shop_Phones_500xV.jpg</v>
      </c>
      <c r="BB11" s="39" t="str">
        <f>CCModuleCopy!$C$3</f>
        <v>Save up to $1000 instantly on the latest and greatest Galaxy smartphones</v>
      </c>
      <c r="BC11" s="39" t="str">
        <f>CCModuleCopy!$D$3</f>
        <v>NULL</v>
      </c>
      <c r="BD11"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1" s="39" t="str">
        <f>CCModuleCopy!$F$3</f>
        <v>Shop all</v>
      </c>
      <c r="BF11" s="39" t="str">
        <f>CCModuleCopy!$G$3</f>
        <v>https://www.samsung.com/us/shop/all-deals/cell-phone-deals/</v>
      </c>
      <c r="BG11"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1" s="39" t="str">
        <f>CCModuleCopy!$I$3</f>
        <v>NULL</v>
      </c>
      <c r="BI11" s="39" t="str">
        <f>CCModuleCopy!$J$3</f>
        <v>NULL</v>
      </c>
      <c r="BJ11" s="39" t="str">
        <f>CCModuleCopy!$K$3</f>
        <v>NULL</v>
      </c>
      <c r="BK11" s="89" t="s">
        <v>265</v>
      </c>
      <c r="BL11" s="39" t="str">
        <f>CCModuleCopy!$B$7</f>
        <v>HE_HeadImage_Shop_TVs_500xV.jpg</v>
      </c>
      <c r="BM11" s="39" t="str">
        <f>CCModuleCopy!$C$7</f>
        <v>Get up to $3000 off select 8K, 4K and Lifestyle TVs</v>
      </c>
      <c r="BN11" s="39" t="str">
        <f>CCModuleCopy!$D$7</f>
        <v>NULL</v>
      </c>
      <c r="BO11"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1" s="39" t="str">
        <f>CCModuleCopy!$F$7</f>
        <v>Shop all</v>
      </c>
      <c r="BQ11" s="39" t="str">
        <f>CCModuleCopy!$G$7</f>
        <v>https://www.samsung.com/us/shop/all-deals/tv-and-home-theater-deals/</v>
      </c>
      <c r="BR11"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11" s="39" t="str">
        <f>CCModuleCopy!$I$7</f>
        <v>NULL</v>
      </c>
      <c r="BT11" s="39" t="str">
        <f>CCModuleCopy!$J$7</f>
        <v>NULL</v>
      </c>
      <c r="BU11" s="39" t="str">
        <f>CCModuleCopy!$K$7</f>
        <v>NULL</v>
      </c>
      <c r="BV11" s="89" t="s">
        <v>266</v>
      </c>
      <c r="BW11" s="39" t="str">
        <f>CCModuleCopy!$B$15</f>
        <v>Tablet-HeadImage-500xV.jpg</v>
      </c>
      <c r="BX11" s="39" t="str">
        <f>CCModuleCopy!$C$15</f>
        <v>Save up to $150 on select tablets</v>
      </c>
      <c r="BY11" s="39" t="str">
        <f>CCModuleCopy!$D$15</f>
        <v>NULL</v>
      </c>
      <c r="BZ11" s="39" t="str">
        <f>CCModuleCopy!$E$15</f>
        <v xml:space="preserve">Empower how you create, learn, game and more with our powerful line of tablets. Shop offers on must-have products from the new Galaxy Tab S7+ to the Galaxy Tab S6 Lite. </v>
      </c>
      <c r="CA11" s="39" t="str">
        <f>CCModuleCopy!$F$15</f>
        <v>Shop all</v>
      </c>
      <c r="CB11" s="39" t="str">
        <f>CCModuleCopy!$G$15</f>
        <v>https://www.samsung.com/us/shop/all-deals/tablets-laptops-computers-deals/</v>
      </c>
      <c r="CC11"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11" s="39" t="str">
        <f>CCModuleCopy!$I$15</f>
        <v>NULL</v>
      </c>
      <c r="CE11" s="39" t="str">
        <f>CCModuleCopy!$J$15</f>
        <v>NULL</v>
      </c>
      <c r="CF11" s="39" t="str">
        <f>CCModuleCopy!$K$15</f>
        <v>NULL</v>
      </c>
      <c r="CG11" s="89" t="s">
        <v>367</v>
      </c>
      <c r="CH11" s="39" t="str">
        <f>CCModuleCopy!$B$11</f>
        <v>ME_HeadImage_Wearables_500xV.jpg</v>
      </c>
      <c r="CI11" s="39" t="str">
        <f>CCModuleCopy!$C$11</f>
        <v>Get up to $100 off select watches and earbuds</v>
      </c>
      <c r="CJ11" s="39" t="str">
        <f>CCModuleCopy!$D$11</f>
        <v>NULL</v>
      </c>
      <c r="CK11"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1" s="39" t="str">
        <f>CCModuleCopy!$F$11</f>
        <v>Shop all</v>
      </c>
      <c r="CM11" s="39" t="str">
        <f>CCModuleCopy!$G$11</f>
        <v>https://www.samsung.com/us/shop/all-deals/watches-audio-accessories-deals/</v>
      </c>
      <c r="CN11"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11" s="39" t="str">
        <f>CCModuleCopy!$I$11</f>
        <v>NULL</v>
      </c>
      <c r="CP11" s="39" t="str">
        <f>CCModuleCopy!$J$11</f>
        <v>NULL</v>
      </c>
      <c r="CQ11" s="39" t="str">
        <f>CCModuleCopy!$K$11</f>
        <v>NULL</v>
      </c>
      <c r="CR11" s="89" t="s">
        <v>368</v>
      </c>
      <c r="CS11" s="39" t="str">
        <f>CCModuleCopy!$B$13</f>
        <v>CE_HeadImage_Computing_500xV.jpg</v>
      </c>
      <c r="CT11" s="39" t="str">
        <f>CCModuleCopy!$C$13</f>
        <v>Get up to 60% off memory cards, SSD, monitors and more</v>
      </c>
      <c r="CU11" s="39" t="str">
        <f>CCModuleCopy!$D$13</f>
        <v>NULL</v>
      </c>
      <c r="CV11" s="39" t="str">
        <f>CCModuleCopy!$E$13</f>
        <v xml:space="preserve">Expand the way you play, store and create and get up to 30% off monitors, up to 60% off memory cards, up to 35% off SSD and more. Work and game smarter, not harder with these must-have computing offers. </v>
      </c>
      <c r="CW11" s="39" t="str">
        <f>CCModuleCopy!$F$13</f>
        <v>Shop all</v>
      </c>
      <c r="CX11" s="39" t="str">
        <f>CCModuleCopy!$G$13</f>
        <v>https://www.samsung.com/us/shop/all-deals/tablets-laptops-computers-deals/</v>
      </c>
      <c r="CY11"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Z11" s="39" t="str">
        <f>CCModuleCopy!$I$13</f>
        <v>NULL</v>
      </c>
      <c r="DA11" s="39" t="str">
        <f>CCModuleCopy!$J$13</f>
        <v>NULL</v>
      </c>
      <c r="DB11" s="39" t="str">
        <f>CCModuleCopy!$K$13</f>
        <v>NULL</v>
      </c>
      <c r="DC11" s="89" t="s">
        <v>280</v>
      </c>
      <c r="DD11" s="39" t="str">
        <f>MiscBanners!$H$4</f>
        <v>Give-wonder-500xV.jpg</v>
      </c>
      <c r="DE11" s="39" t="str">
        <f>MiscBanners!$I$4</f>
        <v>The gift that keeps on giving</v>
      </c>
      <c r="DF11" s="39" t="str">
        <f>MiscBanners!$J$4</f>
        <v>NULL</v>
      </c>
      <c r="DG11" s="91" t="str">
        <f>MiscBanners!$K$4</f>
        <v>Discover even more exclusive offers on your favorite products and unlock the power of smart and savvy gifting.</v>
      </c>
      <c r="DH11" s="39" t="str">
        <f>MiscBanners!$L$4</f>
        <v>Shop now</v>
      </c>
      <c r="DI11" s="39" t="str">
        <f>MiscBanners!$M$4</f>
        <v>https://www.samsung.com/us/gift-ideas/</v>
      </c>
      <c r="DJ11"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1" s="39" t="str">
        <f>MiscBanners!$O$4</f>
        <v>NULL</v>
      </c>
      <c r="DL11" s="39" t="str">
        <f>MiscBanners!$P$4</f>
        <v>NULL</v>
      </c>
      <c r="DM11" s="39" t="str">
        <f>MiscBanners!$Q$4</f>
        <v>NULL</v>
      </c>
      <c r="DN11" s="89" t="s">
        <v>273</v>
      </c>
      <c r="DR11" s="91"/>
      <c r="DY11" s="89" t="s">
        <v>481</v>
      </c>
      <c r="DZ11" s="39" t="s">
        <v>394</v>
      </c>
      <c r="EA11" s="39" t="s">
        <v>394</v>
      </c>
      <c r="EB11" s="39" t="s">
        <v>394</v>
      </c>
      <c r="EC11" s="91" t="s">
        <v>482</v>
      </c>
      <c r="ED11" s="39" t="s">
        <v>394</v>
      </c>
      <c r="EE11" s="39" t="s">
        <v>476</v>
      </c>
      <c r="EF11" s="39">
        <v>0</v>
      </c>
      <c r="EG11" s="39" t="s">
        <v>394</v>
      </c>
      <c r="EH11" s="39" t="s">
        <v>394</v>
      </c>
      <c r="EI11" s="39" t="s">
        <v>394</v>
      </c>
      <c r="EJ11" s="89" t="s">
        <v>439</v>
      </c>
      <c r="EK11" s="39" t="s">
        <v>394</v>
      </c>
      <c r="EL11" s="39" t="s">
        <v>394</v>
      </c>
      <c r="EM11" s="39" t="s">
        <v>394</v>
      </c>
      <c r="EN11" s="91" t="s">
        <v>483</v>
      </c>
      <c r="EO11" s="39" t="s">
        <v>394</v>
      </c>
      <c r="EP11" s="39" t="s">
        <v>476</v>
      </c>
      <c r="EQ11" s="39">
        <v>0</v>
      </c>
      <c r="ER11" s="39" t="s">
        <v>394</v>
      </c>
      <c r="ES11" s="39" t="s">
        <v>394</v>
      </c>
      <c r="ET11" s="39" t="s">
        <v>394</v>
      </c>
      <c r="EU11" s="89" t="s">
        <v>441</v>
      </c>
      <c r="EV11" s="39" t="s">
        <v>394</v>
      </c>
      <c r="EW11" s="39" t="s">
        <v>394</v>
      </c>
      <c r="EX11" s="39" t="s">
        <v>394</v>
      </c>
      <c r="EY11" s="91" t="s">
        <v>484</v>
      </c>
      <c r="EZ11" s="39" t="s">
        <v>394</v>
      </c>
      <c r="FA11" s="39" t="s">
        <v>476</v>
      </c>
      <c r="FB11" s="39">
        <v>0</v>
      </c>
      <c r="FC11" s="39" t="s">
        <v>394</v>
      </c>
      <c r="FD11" s="39" t="s">
        <v>394</v>
      </c>
      <c r="FE11" s="39" t="s">
        <v>394</v>
      </c>
      <c r="FF11" s="89" t="s">
        <v>477</v>
      </c>
      <c r="FG11" s="39" t="s">
        <v>394</v>
      </c>
      <c r="FH11" s="39" t="s">
        <v>394</v>
      </c>
      <c r="FI11" s="39" t="s">
        <v>394</v>
      </c>
      <c r="FJ11" s="91" t="s">
        <v>485</v>
      </c>
      <c r="FK11" s="39" t="s">
        <v>394</v>
      </c>
      <c r="FL11" s="39">
        <v>0</v>
      </c>
      <c r="FM11" s="39">
        <v>0</v>
      </c>
      <c r="FN11" s="39" t="s">
        <v>394</v>
      </c>
      <c r="FO11" s="39" t="s">
        <v>394</v>
      </c>
      <c r="FP11" s="39" t="s">
        <v>394</v>
      </c>
    </row>
    <row r="12" spans="1:172" s="39" customFormat="1" ht="99.95" customHeight="1" x14ac:dyDescent="0.25">
      <c r="A12" s="39" t="s">
        <v>235</v>
      </c>
      <c r="B12" s="39" t="s">
        <v>236</v>
      </c>
      <c r="C12" s="39" t="s">
        <v>237</v>
      </c>
      <c r="D12" s="39" t="s">
        <v>237</v>
      </c>
      <c r="E12" s="39" t="s">
        <v>370</v>
      </c>
      <c r="G12" s="88" t="s">
        <v>540</v>
      </c>
      <c r="H12" s="88" t="s">
        <v>539</v>
      </c>
      <c r="I12" s="89" t="s">
        <v>381</v>
      </c>
      <c r="J12" s="39" t="s">
        <v>394</v>
      </c>
      <c r="K12" s="39" t="s">
        <v>394</v>
      </c>
      <c r="L12" s="39" t="s">
        <v>394</v>
      </c>
      <c r="M12" s="39" t="s">
        <v>394</v>
      </c>
      <c r="N12" s="39" t="s">
        <v>394</v>
      </c>
      <c r="O12" s="39" t="s">
        <v>394</v>
      </c>
      <c r="P12" s="39" t="s">
        <v>394</v>
      </c>
      <c r="Q12" s="39" t="s">
        <v>394</v>
      </c>
      <c r="R12" s="39" t="s">
        <v>394</v>
      </c>
      <c r="S12" s="89" t="s">
        <v>407</v>
      </c>
      <c r="T12" s="39" t="str">
        <f>'Dynamic Banners'!$L$6</f>
        <v>Cyber-monday-3.png</v>
      </c>
      <c r="U12" s="39" t="str">
        <f>'Dynamic Banners'!$M$6</f>
        <v>Cyber Monday is over. But, Cyber Week is still on.</v>
      </c>
      <c r="V12" s="39" t="s">
        <v>394</v>
      </c>
      <c r="W12" s="39" t="str">
        <f>'Dynamic Banners'!$N$6</f>
        <v xml:space="preserve">Shop amazing offers on showstopping products while supplies last. </v>
      </c>
      <c r="X12" s="39" t="s">
        <v>394</v>
      </c>
      <c r="Y12" s="39" t="str">
        <f>[1]MiscBanners!$B$4</f>
        <v>https://www.samsung.com/us/shop/all-deals/</v>
      </c>
      <c r="Z1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2" s="39" t="s">
        <v>394</v>
      </c>
      <c r="AB12" s="39" t="s">
        <v>394</v>
      </c>
      <c r="AC12" s="39" t="s">
        <v>394</v>
      </c>
      <c r="AD12" s="89" t="s">
        <v>408</v>
      </c>
      <c r="AE12" s="39" t="s">
        <v>394</v>
      </c>
      <c r="AF12" s="39" t="s">
        <v>394</v>
      </c>
      <c r="AG12" s="7" t="s">
        <v>559</v>
      </c>
      <c r="AH12" s="39" t="s">
        <v>562</v>
      </c>
      <c r="AI12" s="39" t="s">
        <v>394</v>
      </c>
      <c r="AJ12" s="39" t="str">
        <f>[1]MiscBanners!$B$4</f>
        <v>https://www.samsung.com/us/shop/all-deals/</v>
      </c>
      <c r="AK1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2" s="39" t="s">
        <v>394</v>
      </c>
      <c r="AM12" s="39" t="s">
        <v>394</v>
      </c>
      <c r="AN12" s="39" t="s">
        <v>394</v>
      </c>
      <c r="AO12" s="89" t="s">
        <v>371</v>
      </c>
      <c r="AP12" s="39" t="str">
        <f>CCModuleCopy!$B$5</f>
        <v>IM_HeadImage_Shop_Phones_500xV.jpg</v>
      </c>
      <c r="AQ12" s="39" t="str">
        <f>CCModuleCopy!$C$5</f>
        <v>Save up to $1000 instantly on the latest and greatest Galaxy smartphones</v>
      </c>
      <c r="AR12" s="39" t="str">
        <f>CCModuleCopy!$D$5</f>
        <v>NULL</v>
      </c>
      <c r="AS12"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AT12" s="39" t="str">
        <f>CCModuleCopy!$L$5</f>
        <v>Shop all</v>
      </c>
      <c r="AU12" s="39" t="str">
        <f>CCModuleCopy!$M$5</f>
        <v>https://www.samsung.com/us/shop/all-deals/cell-phone-deals/</v>
      </c>
      <c r="AV12"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W12" s="39" t="str">
        <f>CCModuleCopy!$O$5</f>
        <v>NULL</v>
      </c>
      <c r="AX12" s="39" t="str">
        <f>CCModuleCopy!$P$5</f>
        <v>NULL</v>
      </c>
      <c r="AY12" s="39" t="str">
        <f>CCModuleCopy!$Q$5</f>
        <v>NULL</v>
      </c>
      <c r="AZ12" s="89" t="s">
        <v>265</v>
      </c>
      <c r="BA12" s="39" t="str">
        <f>CCModuleCopy!$B$7</f>
        <v>HE_HeadImage_Shop_TVs_500xV.jpg</v>
      </c>
      <c r="BB12" s="39" t="str">
        <f>CCModuleCopy!$C$7</f>
        <v>Get up to $3000 off select 8K, 4K and Lifestyle TVs</v>
      </c>
      <c r="BC12" s="39" t="str">
        <f>CCModuleCopy!$D$7</f>
        <v>NULL</v>
      </c>
      <c r="BD12"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12" s="39" t="str">
        <f>CCModuleCopy!$L$7</f>
        <v>Shop all</v>
      </c>
      <c r="BF12" s="39" t="str">
        <f>CCModuleCopy!$M$7</f>
        <v>https://www.samsung.com/us/shop/all-deals/tv-and-home-theater-deals/</v>
      </c>
      <c r="BG12"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H12" s="39" t="str">
        <f>CCModuleCopy!$O$7</f>
        <v>NULL</v>
      </c>
      <c r="BI12" s="39" t="str">
        <f>CCModuleCopy!$P$7</f>
        <v>NULL</v>
      </c>
      <c r="BJ12" s="39" t="str">
        <f>CCModuleCopy!$Q$7</f>
        <v>NULL</v>
      </c>
      <c r="BK12" s="89" t="s">
        <v>266</v>
      </c>
      <c r="BL12" s="39" t="str">
        <f>CCModuleCopy!$B$15</f>
        <v>Tablet-HeadImage-500xV.jpg</v>
      </c>
      <c r="BM12" s="39" t="str">
        <f>CCModuleCopy!$C$15</f>
        <v>Save up to $150 on select tablets</v>
      </c>
      <c r="BN12" s="39" t="str">
        <f>CCModuleCopy!$D$15</f>
        <v>NULL</v>
      </c>
      <c r="BO12" s="39" t="str">
        <f>CCModuleCopy!$E$15</f>
        <v xml:space="preserve">Empower how you create, learn, game and more with our powerful line of tablets. Shop offers on must-have products from the new Galaxy Tab S7+ to the Galaxy Tab S6 Lite. </v>
      </c>
      <c r="BP12" s="39" t="str">
        <f>CCModuleCopy!$L$15</f>
        <v>Shop all</v>
      </c>
      <c r="BQ12" s="39" t="str">
        <f>CCModuleCopy!$M$15</f>
        <v>https://www.samsung.com/us/shop/all-deals/tablets-laptops-computers-deals/</v>
      </c>
      <c r="BR12"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12" s="39" t="str">
        <f>CCModuleCopy!$O$15</f>
        <v>NULL</v>
      </c>
      <c r="BT12" s="39" t="str">
        <f>CCModuleCopy!$P$15</f>
        <v>NULL</v>
      </c>
      <c r="BU12" s="39" t="str">
        <f>CCModuleCopy!$Q$15</f>
        <v>NULL</v>
      </c>
      <c r="BV12" s="89" t="s">
        <v>367</v>
      </c>
      <c r="BW12" s="39" t="str">
        <f>CCModuleCopy!$B$11</f>
        <v>ME_HeadImage_Wearables_500xV.jpg</v>
      </c>
      <c r="BX12" s="39" t="str">
        <f>CCModuleCopy!$C$11</f>
        <v>Get up to $100 off select watches and earbuds</v>
      </c>
      <c r="BY12" s="39" t="str">
        <f>CCModuleCopy!$D$11</f>
        <v>NULL</v>
      </c>
      <c r="BZ12"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2" s="39" t="str">
        <f>CCModuleCopy!$L$11</f>
        <v>Shop all</v>
      </c>
      <c r="CB12" s="39" t="str">
        <f>CCModuleCopy!$M$11</f>
        <v>https://www.samsung.com/us/shop/all-deals/tablets-wearables-cell-phone-accessories-deals/</v>
      </c>
      <c r="CC12"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2" s="39" t="str">
        <f>CCModuleCopy!$O$11</f>
        <v>NULL</v>
      </c>
      <c r="CE12" s="39" t="str">
        <f>CCModuleCopy!$P$11</f>
        <v>NULL</v>
      </c>
      <c r="CF12" s="39" t="str">
        <f>CCModuleCopy!$Q$11</f>
        <v>NULL</v>
      </c>
      <c r="CG12" s="89" t="s">
        <v>368</v>
      </c>
      <c r="CH12" s="39" t="str">
        <f>CCModuleCopy!$B$13</f>
        <v>CE_HeadImage_Computing_500xV.jpg</v>
      </c>
      <c r="CI12" s="39" t="str">
        <f>CCModuleCopy!$C$13</f>
        <v>Get up to 60% off memory cards, SSD, monitors and more</v>
      </c>
      <c r="CJ12" s="39" t="str">
        <f>CCModuleCopy!$D$13</f>
        <v>NULL</v>
      </c>
      <c r="CK12" s="39" t="str">
        <f>CCModuleCopy!$E$13</f>
        <v xml:space="preserve">Expand the way you play, store and create and get up to 30% off monitors, up to 60% off memory cards, up to 35% off SSD and more. Work and game smarter, not harder with these must-have computing offers. </v>
      </c>
      <c r="CL12" s="39" t="str">
        <f>CCModuleCopy!$L$13</f>
        <v>Shop all</v>
      </c>
      <c r="CM12" s="39" t="str">
        <f>CCModuleCopy!$M$13</f>
        <v>https://www.samsung.com/us/shop/all-deals/laptop-and-computer-deals/</v>
      </c>
      <c r="CN12"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2" s="39" t="str">
        <f>CCModuleCopy!$O$13</f>
        <v>NULL</v>
      </c>
      <c r="CP12" s="39" t="str">
        <f>CCModuleCopy!$P$13</f>
        <v>NULL</v>
      </c>
      <c r="CQ12" s="39" t="str">
        <f>CCModuleCopy!$Q$13</f>
        <v>NULL</v>
      </c>
      <c r="CR12" s="89" t="s">
        <v>279</v>
      </c>
      <c r="CS12" s="39" t="str">
        <f>CCModuleCopy!$B$9</f>
        <v>HA_HeadImage_Shop_HA_500xV.jpg</v>
      </c>
      <c r="CT12" s="39" t="str">
        <f>CCModuleCopy!$C$9</f>
        <v>Save up to 50% on everything you need to upgrade your home and home care</v>
      </c>
      <c r="CU12" s="39" t="str">
        <f>CCModuleCopy!$D$9</f>
        <v>NULL</v>
      </c>
      <c r="CV12"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2" s="39" t="str">
        <f>CCModuleCopy!$L$9</f>
        <v>Shop all</v>
      </c>
      <c r="CX12" s="39" t="str">
        <f>CCModuleCopy!$M$9</f>
        <v>https://www.samsung.com/us/shop/all-deals/home-appliance-and-smart-home-sales/</v>
      </c>
      <c r="CY12"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2" s="39" t="str">
        <f>CCModuleCopy!$O$9</f>
        <v>NULL</v>
      </c>
      <c r="DA12" s="39" t="str">
        <f>CCModuleCopy!$P$9</f>
        <v>NULL</v>
      </c>
      <c r="DB12" s="39" t="str">
        <f>CCModuleCopy!$Q$9</f>
        <v>NULL</v>
      </c>
      <c r="DC12" s="89" t="s">
        <v>280</v>
      </c>
      <c r="DD12" s="39" t="str">
        <f>MiscBanners!$H$4</f>
        <v>Give-wonder-500xV.jpg</v>
      </c>
      <c r="DE12" s="39" t="str">
        <f>MiscBanners!$I$4</f>
        <v>The gift that keeps on giving</v>
      </c>
      <c r="DF12" s="39" t="str">
        <f>MiscBanners!$J$4</f>
        <v>NULL</v>
      </c>
      <c r="DG12" s="91" t="str">
        <f>MiscBanners!$K$4</f>
        <v>Discover even more exclusive offers on your favorite products and unlock the power of smart and savvy gifting.</v>
      </c>
      <c r="DH12" s="39" t="str">
        <f>MiscBanners!$L$4</f>
        <v>Shop now</v>
      </c>
      <c r="DI12" s="39" t="str">
        <f>MiscBanners!$M$4</f>
        <v>https://www.samsung.com/us/gift-ideas/</v>
      </c>
      <c r="DJ12"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2" s="39" t="str">
        <f>MiscBanners!$O$4</f>
        <v>NULL</v>
      </c>
      <c r="DL12" s="39" t="str">
        <f>MiscBanners!$P$4</f>
        <v>NULL</v>
      </c>
      <c r="DM12" s="39" t="str">
        <f>MiscBanners!$Q$4</f>
        <v>NULL</v>
      </c>
      <c r="DN12" s="89" t="s">
        <v>273</v>
      </c>
      <c r="DR12" s="91"/>
      <c r="DY12" s="89" t="s">
        <v>481</v>
      </c>
      <c r="DZ12" s="39" t="str">
        <f>TC!B4</f>
        <v>NULL</v>
      </c>
      <c r="EA12" s="39" t="str">
        <f>TC!C4</f>
        <v>NULL</v>
      </c>
      <c r="EB12" s="39" t="str">
        <f>TC!D4</f>
        <v>NULL</v>
      </c>
      <c r="EC12" s="91" t="str">
        <f>TC!E4</f>
        <v>§18+ &amp; 50 US/DC only. By 11/29/2020 11:59 PM EST, purchase a qualifying device on device installment plan, 2-year contract plan, lease or outright purchase at full retail price (“Qualifying Purchase”), &amp; receive a Samsung Credit of $100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D12" s="39" t="str">
        <f>TC!F4</f>
        <v>NULL</v>
      </c>
      <c r="EE12" s="39" t="str">
        <f>TC!G4</f>
        <v>https://www.samsung.com/us/</v>
      </c>
      <c r="EF12" s="39">
        <f>TC!H4</f>
        <v>0</v>
      </c>
      <c r="EG12" s="39" t="str">
        <f>TC!I4</f>
        <v>NULL</v>
      </c>
      <c r="EH12" s="39" t="str">
        <f>TC!J4</f>
        <v>NULL</v>
      </c>
      <c r="EI12" s="39" t="str">
        <f>TC!K4</f>
        <v>NULL</v>
      </c>
      <c r="EJ12" s="89" t="s">
        <v>439</v>
      </c>
      <c r="EK12" s="39" t="str">
        <f>TC!B5</f>
        <v>NULL</v>
      </c>
      <c r="EL12" s="39" t="str">
        <f>TC!C5</f>
        <v>NULL</v>
      </c>
      <c r="EM12" s="39" t="str">
        <f>TC!D5</f>
        <v>NULL</v>
      </c>
      <c r="EN12" s="91" t="str">
        <f>TC!E5</f>
        <v>†18+ &amp; 50 US/DC only. By 11/29/2020 11:59 PM EST, purchase a qualifying device on device installment plan, 2-year contract plan, lease or outright purchase at full retail price (“Qualifying Purchase”), &amp; receive a Samsung Credit of $30 (“Gift”)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O12" s="39" t="str">
        <f>TC!F5</f>
        <v>NULL</v>
      </c>
      <c r="EP12" s="39" t="str">
        <f>TC!G5</f>
        <v>https://www.samsung.com/us/</v>
      </c>
      <c r="EQ12" s="39">
        <f>TC!H5</f>
        <v>0</v>
      </c>
      <c r="ER12" s="39" t="str">
        <f>TC!I5</f>
        <v>NULL</v>
      </c>
      <c r="ES12" s="39" t="str">
        <f>TC!J5</f>
        <v>NULL</v>
      </c>
      <c r="ET12" s="39" t="str">
        <f>TC!K5</f>
        <v>NULL</v>
      </c>
      <c r="EU12" s="89" t="s">
        <v>441</v>
      </c>
      <c r="EV12" s="39" t="str">
        <f>TC!B7</f>
        <v>NULL</v>
      </c>
      <c r="EW12" s="39" t="str">
        <f>TC!C7</f>
        <v>NULL</v>
      </c>
      <c r="EX12" s="39" t="str">
        <f>TC!D7</f>
        <v>NULL</v>
      </c>
      <c r="EY12" s="91" t="str">
        <f>TC!E7</f>
        <v>αMust be an eligible legal resident of the 50 US/DC &amp; at least 18 years old to participate. Purchase at least 4 eligible Samsung Home Appliance products in the same transaction (Refrigerators, Ranges, Countertop Microwaves, Over-the-Range Microwave Ovens, Dishwashers, Wall Ovens, Cooktops, or Range Hoods) (“a Qualifying Purchase”) between 11/04/20 and 12/02/20 on Samsung.com, and you will receive a 10% instant rebate off of the pre-tax purchase price of your Qualifying Purchase (“Gift”). Purchases must include products from different product categories. If more than 4 eligible products are purchased, the additional products purchased are eligible for the discount as long as the eligibility requirements listed above and below are met. Eligible categories are Refrigerators, Ranges, Countertop Microwaves, Over-the-Range Microwave Ovens, Dishwashers, Wall Ovens, Cooktops, or Range Hoods. Samsung Chef Collection, Washers, Dryers, Pedestals, Vacuums, Air Purifiers, AirDresser, Wine Cooler, and all accessories are not eligible. Quantities limited; offer valid while supplies last. One claim per household. This Offer and instant rebate Gift redemption applies to Samsung.com only. Offer cannot be combined with other Samsung offers, rebates, programs, or promotions unless otherwise stated.</v>
      </c>
      <c r="EZ12" s="39" t="str">
        <f>TC!F7</f>
        <v>NULL</v>
      </c>
      <c r="FA12" s="39">
        <f>TC!G7</f>
        <v>0</v>
      </c>
      <c r="FB12" s="39">
        <f>TC!H7</f>
        <v>0</v>
      </c>
      <c r="FC12" s="39" t="str">
        <f>TC!I7</f>
        <v>NULL</v>
      </c>
      <c r="FD12" s="39" t="str">
        <f>TC!J7</f>
        <v>NULL</v>
      </c>
      <c r="FE12" s="39" t="str">
        <f>TC!K7</f>
        <v>NULL</v>
      </c>
      <c r="FF12" s="89"/>
      <c r="FJ12" s="91"/>
    </row>
    <row r="13" spans="1:172" s="39" customFormat="1" ht="99.95" customHeight="1" x14ac:dyDescent="0.25">
      <c r="A13" s="39" t="s">
        <v>235</v>
      </c>
      <c r="B13" s="39" t="s">
        <v>240</v>
      </c>
      <c r="C13" s="39" t="s">
        <v>237</v>
      </c>
      <c r="D13" s="39" t="s">
        <v>237</v>
      </c>
      <c r="E13" s="39" t="s">
        <v>370</v>
      </c>
      <c r="G13" s="88" t="s">
        <v>540</v>
      </c>
      <c r="H13" s="88" t="s">
        <v>539</v>
      </c>
      <c r="I13" s="89" t="s">
        <v>381</v>
      </c>
      <c r="J13" s="39" t="s">
        <v>394</v>
      </c>
      <c r="K13" s="39" t="s">
        <v>394</v>
      </c>
      <c r="L13" s="39" t="s">
        <v>394</v>
      </c>
      <c r="M13" s="39" t="s">
        <v>394</v>
      </c>
      <c r="N13" s="39" t="s">
        <v>394</v>
      </c>
      <c r="O13" s="39" t="s">
        <v>394</v>
      </c>
      <c r="P13" s="39" t="s">
        <v>394</v>
      </c>
      <c r="Q13" s="39" t="s">
        <v>394</v>
      </c>
      <c r="R13" s="39" t="s">
        <v>394</v>
      </c>
      <c r="S13" s="89" t="s">
        <v>407</v>
      </c>
      <c r="T13" s="39" t="str">
        <f>'Dynamic Banners'!$L$6</f>
        <v>Cyber-monday-3.png</v>
      </c>
      <c r="U13" s="39" t="str">
        <f>'Dynamic Banners'!$M$6</f>
        <v>Cyber Monday is over. But, Cyber Week is still on.</v>
      </c>
      <c r="V13" s="39" t="s">
        <v>394</v>
      </c>
      <c r="W13" s="39" t="str">
        <f>'Dynamic Banners'!$N$6</f>
        <v xml:space="preserve">Shop amazing offers on showstopping products while supplies last. </v>
      </c>
      <c r="X13" s="39" t="s">
        <v>394</v>
      </c>
      <c r="Y13" s="39" t="str">
        <f>[1]MiscBanners!$B$4</f>
        <v>https://www.samsung.com/us/shop/all-deals/</v>
      </c>
      <c r="Z1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3" s="39" t="s">
        <v>394</v>
      </c>
      <c r="AB13" s="39" t="s">
        <v>394</v>
      </c>
      <c r="AC13" s="39" t="s">
        <v>394</v>
      </c>
      <c r="AD13" s="89" t="s">
        <v>408</v>
      </c>
      <c r="AE13" s="39" t="s">
        <v>394</v>
      </c>
      <c r="AF13" s="39" t="s">
        <v>394</v>
      </c>
      <c r="AG13" s="7" t="s">
        <v>559</v>
      </c>
      <c r="AH13" s="39" t="s">
        <v>561</v>
      </c>
      <c r="AI13" s="39" t="s">
        <v>394</v>
      </c>
      <c r="AJ13" s="39" t="str">
        <f>[1]MiscBanners!$B$4</f>
        <v>https://www.samsung.com/us/shop/all-deals/</v>
      </c>
      <c r="AK1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3" s="39" t="s">
        <v>394</v>
      </c>
      <c r="AM13" s="39" t="s">
        <v>394</v>
      </c>
      <c r="AN13" s="39" t="s">
        <v>394</v>
      </c>
      <c r="AO13" s="89" t="s">
        <v>265</v>
      </c>
      <c r="AP13" s="39" t="str">
        <f>CCModuleCopy!$B$7</f>
        <v>HE_HeadImage_Shop_TVs_500xV.jpg</v>
      </c>
      <c r="AQ13" s="39" t="str">
        <f>CCModuleCopy!$C$7</f>
        <v>Get up to $3000 off select 8K, 4K and Lifestyle TVs</v>
      </c>
      <c r="AR13" s="39" t="str">
        <f>CCModuleCopy!$D$7</f>
        <v>NULL</v>
      </c>
      <c r="AS13"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13" s="39" t="str">
        <f>CCModuleCopy!$L$7</f>
        <v>Shop all</v>
      </c>
      <c r="AU13" s="39" t="str">
        <f>CCModuleCopy!$M$7</f>
        <v>https://www.samsung.com/us/shop/all-deals/tv-and-home-theater-deals/</v>
      </c>
      <c r="AV13"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W13" s="39" t="str">
        <f>CCModuleCopy!$O$7</f>
        <v>NULL</v>
      </c>
      <c r="AX13" s="39" t="str">
        <f>CCModuleCopy!$P$7</f>
        <v>NULL</v>
      </c>
      <c r="AY13" s="39" t="str">
        <f>CCModuleCopy!$Q$7</f>
        <v>NULL</v>
      </c>
      <c r="AZ13" s="89" t="s">
        <v>371</v>
      </c>
      <c r="BA13" s="39" t="str">
        <f>CCModuleCopy!$B$5</f>
        <v>IM_HeadImage_Shop_Phones_500xV.jpg</v>
      </c>
      <c r="BB13" s="39" t="str">
        <f>CCModuleCopy!$C$5</f>
        <v>Save up to $1000 instantly on the latest and greatest Galaxy smartphones</v>
      </c>
      <c r="BC13" s="39" t="str">
        <f>CCModuleCopy!$D$5</f>
        <v>NULL</v>
      </c>
      <c r="BD13"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3" s="39" t="str">
        <f>CCModuleCopy!$L$5</f>
        <v>Shop all</v>
      </c>
      <c r="BF13" s="39" t="str">
        <f>CCModuleCopy!$M$5</f>
        <v>https://www.samsung.com/us/shop/all-deals/cell-phone-deals/</v>
      </c>
      <c r="BG13"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3" s="39" t="str">
        <f>CCModuleCopy!$O$5</f>
        <v>NULL</v>
      </c>
      <c r="BI13" s="39" t="str">
        <f>CCModuleCopy!$P$5</f>
        <v>NULL</v>
      </c>
      <c r="BJ13" s="39" t="str">
        <f>CCModuleCopy!$Q$5</f>
        <v>NULL</v>
      </c>
      <c r="BK13" s="89" t="s">
        <v>266</v>
      </c>
      <c r="BL13" s="39" t="str">
        <f>CCModuleCopy!$B$15</f>
        <v>Tablet-HeadImage-500xV.jpg</v>
      </c>
      <c r="BM13" s="39" t="str">
        <f>CCModuleCopy!$C$15</f>
        <v>Save up to $150 on select tablets</v>
      </c>
      <c r="BN13" s="39" t="str">
        <f>CCModuleCopy!$D$15</f>
        <v>NULL</v>
      </c>
      <c r="BO13" s="39" t="str">
        <f>CCModuleCopy!$E$15</f>
        <v xml:space="preserve">Empower how you create, learn, game and more with our powerful line of tablets. Shop offers on must-have products from the new Galaxy Tab S7+ to the Galaxy Tab S6 Lite. </v>
      </c>
      <c r="BP13" s="39" t="str">
        <f>CCModuleCopy!$L$15</f>
        <v>Shop all</v>
      </c>
      <c r="BQ13" s="39" t="str">
        <f>CCModuleCopy!$M$15</f>
        <v>https://www.samsung.com/us/shop/all-deals/tablets-laptops-computers-deals/</v>
      </c>
      <c r="BR13"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13" s="39" t="str">
        <f>CCModuleCopy!$O$15</f>
        <v>NULL</v>
      </c>
      <c r="BT13" s="39" t="str">
        <f>CCModuleCopy!$P$15</f>
        <v>NULL</v>
      </c>
      <c r="BU13" s="39" t="str">
        <f>CCModuleCopy!$Q$15</f>
        <v>NULL</v>
      </c>
      <c r="BV13" s="89" t="s">
        <v>367</v>
      </c>
      <c r="BW13" s="39" t="str">
        <f>CCModuleCopy!$B$11</f>
        <v>ME_HeadImage_Wearables_500xV.jpg</v>
      </c>
      <c r="BX13" s="39" t="str">
        <f>CCModuleCopy!$C$11</f>
        <v>Get up to $100 off select watches and earbuds</v>
      </c>
      <c r="BY13" s="39" t="str">
        <f>CCModuleCopy!$D$11</f>
        <v>NULL</v>
      </c>
      <c r="BZ13"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3" s="39" t="str">
        <f>CCModuleCopy!$L$11</f>
        <v>Shop all</v>
      </c>
      <c r="CB13" s="39" t="str">
        <f>CCModuleCopy!$M$11</f>
        <v>https://www.samsung.com/us/shop/all-deals/tablets-wearables-cell-phone-accessories-deals/</v>
      </c>
      <c r="CC13"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3" s="39" t="str">
        <f>CCModuleCopy!$O$11</f>
        <v>NULL</v>
      </c>
      <c r="CE13" s="39" t="str">
        <f>CCModuleCopy!$P$11</f>
        <v>NULL</v>
      </c>
      <c r="CF13" s="39" t="str">
        <f>CCModuleCopy!$Q$11</f>
        <v>NULL</v>
      </c>
      <c r="CG13" s="89" t="s">
        <v>368</v>
      </c>
      <c r="CH13" s="39" t="str">
        <f>CCModuleCopy!$B$13</f>
        <v>CE_HeadImage_Computing_500xV.jpg</v>
      </c>
      <c r="CI13" s="39" t="str">
        <f>CCModuleCopy!$C$13</f>
        <v>Get up to 60% off memory cards, SSD, monitors and more</v>
      </c>
      <c r="CJ13" s="39" t="str">
        <f>CCModuleCopy!$D$13</f>
        <v>NULL</v>
      </c>
      <c r="CK13" s="39" t="str">
        <f>CCModuleCopy!$E$13</f>
        <v xml:space="preserve">Expand the way you play, store and create and get up to 30% off monitors, up to 60% off memory cards, up to 35% off SSD and more. Work and game smarter, not harder with these must-have computing offers. </v>
      </c>
      <c r="CL13" s="39" t="str">
        <f>CCModuleCopy!$L$13</f>
        <v>Shop all</v>
      </c>
      <c r="CM13" s="39" t="str">
        <f>CCModuleCopy!$M$13</f>
        <v>https://www.samsung.com/us/shop/all-deals/laptop-and-computer-deals/</v>
      </c>
      <c r="CN13"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3" s="39" t="str">
        <f>CCModuleCopy!$O$13</f>
        <v>NULL</v>
      </c>
      <c r="CP13" s="39" t="str">
        <f>CCModuleCopy!$P$13</f>
        <v>NULL</v>
      </c>
      <c r="CQ13" s="39" t="str">
        <f>CCModuleCopy!$Q$13</f>
        <v>NULL</v>
      </c>
      <c r="CR13" s="89" t="s">
        <v>279</v>
      </c>
      <c r="CS13" s="39" t="str">
        <f>CCModuleCopy!$B$9</f>
        <v>HA_HeadImage_Shop_HA_500xV.jpg</v>
      </c>
      <c r="CT13" s="39" t="str">
        <f>CCModuleCopy!$C$9</f>
        <v>Save up to 50% on everything you need to upgrade your home and home care</v>
      </c>
      <c r="CU13" s="39" t="str">
        <f>CCModuleCopy!$D$9</f>
        <v>NULL</v>
      </c>
      <c r="CV13"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3" s="39" t="str">
        <f>CCModuleCopy!$L$9</f>
        <v>Shop all</v>
      </c>
      <c r="CX13" s="39" t="str">
        <f>CCModuleCopy!$M$9</f>
        <v>https://www.samsung.com/us/shop/all-deals/home-appliance-and-smart-home-sales/</v>
      </c>
      <c r="CY13"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3" s="39" t="str">
        <f>CCModuleCopy!$O$9</f>
        <v>NULL</v>
      </c>
      <c r="DA13" s="39" t="str">
        <f>CCModuleCopy!$P$9</f>
        <v>NULL</v>
      </c>
      <c r="DB13" s="39" t="str">
        <f>CCModuleCopy!$Q$9</f>
        <v>NULL</v>
      </c>
      <c r="DC13" s="89" t="s">
        <v>280</v>
      </c>
      <c r="DD13" s="39" t="str">
        <f>MiscBanners!$H$4</f>
        <v>Give-wonder-500xV.jpg</v>
      </c>
      <c r="DE13" s="39" t="str">
        <f>MiscBanners!$I$4</f>
        <v>The gift that keeps on giving</v>
      </c>
      <c r="DF13" s="39" t="str">
        <f>MiscBanners!$J$4</f>
        <v>NULL</v>
      </c>
      <c r="DG13" s="91" t="str">
        <f>MiscBanners!$K$4</f>
        <v>Discover even more exclusive offers on your favorite products and unlock the power of smart and savvy gifting.</v>
      </c>
      <c r="DH13" s="39" t="str">
        <f>MiscBanners!$L$4</f>
        <v>Shop now</v>
      </c>
      <c r="DI13" s="39" t="str">
        <f>MiscBanners!$M$4</f>
        <v>https://www.samsung.com/us/gift-ideas/</v>
      </c>
      <c r="DJ13"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3" s="39" t="str">
        <f>MiscBanners!$O$4</f>
        <v>NULL</v>
      </c>
      <c r="DL13" s="39" t="str">
        <f>MiscBanners!$P$4</f>
        <v>NULL</v>
      </c>
      <c r="DM13" s="39" t="str">
        <f>MiscBanners!$Q$4</f>
        <v>NULL</v>
      </c>
      <c r="DN13" s="89" t="s">
        <v>273</v>
      </c>
      <c r="DR13" s="91"/>
      <c r="DY13" s="89" t="s">
        <v>481</v>
      </c>
      <c r="DZ13" s="39" t="s">
        <v>394</v>
      </c>
      <c r="EA13" s="39" t="s">
        <v>394</v>
      </c>
      <c r="EB13" s="39" t="s">
        <v>394</v>
      </c>
      <c r="EC13" s="91" t="s">
        <v>482</v>
      </c>
      <c r="ED13" s="39" t="s">
        <v>394</v>
      </c>
      <c r="EE13" s="39" t="s">
        <v>476</v>
      </c>
      <c r="EF13" s="39">
        <v>0</v>
      </c>
      <c r="EG13" s="39" t="s">
        <v>394</v>
      </c>
      <c r="EH13" s="39" t="s">
        <v>394</v>
      </c>
      <c r="EI13" s="39" t="s">
        <v>394</v>
      </c>
      <c r="EJ13" s="89" t="s">
        <v>439</v>
      </c>
      <c r="EK13" s="39" t="s">
        <v>394</v>
      </c>
      <c r="EL13" s="39" t="s">
        <v>394</v>
      </c>
      <c r="EM13" s="39" t="s">
        <v>394</v>
      </c>
      <c r="EN13" s="91" t="s">
        <v>483</v>
      </c>
      <c r="EO13" s="39" t="s">
        <v>394</v>
      </c>
      <c r="EP13" s="39" t="s">
        <v>476</v>
      </c>
      <c r="EQ13" s="39">
        <v>0</v>
      </c>
      <c r="ER13" s="39" t="s">
        <v>394</v>
      </c>
      <c r="ES13" s="39" t="s">
        <v>394</v>
      </c>
      <c r="ET13" s="39" t="s">
        <v>394</v>
      </c>
      <c r="EU13" s="89" t="s">
        <v>441</v>
      </c>
      <c r="EV13" s="39" t="s">
        <v>394</v>
      </c>
      <c r="EW13" s="39" t="s">
        <v>394</v>
      </c>
      <c r="EX13" s="39" t="s">
        <v>394</v>
      </c>
      <c r="EY13" s="91" t="s">
        <v>485</v>
      </c>
      <c r="EZ13" s="39" t="s">
        <v>394</v>
      </c>
      <c r="FA13" s="39">
        <v>0</v>
      </c>
      <c r="FB13" s="39">
        <v>0</v>
      </c>
      <c r="FC13" s="39" t="s">
        <v>394</v>
      </c>
      <c r="FD13" s="39" t="s">
        <v>394</v>
      </c>
      <c r="FE13" s="39" t="s">
        <v>394</v>
      </c>
      <c r="FF13" s="89"/>
      <c r="FJ13" s="91"/>
    </row>
    <row r="14" spans="1:172" s="39" customFormat="1" ht="99.95" customHeight="1" x14ac:dyDescent="0.25">
      <c r="A14" s="39" t="s">
        <v>235</v>
      </c>
      <c r="B14" s="92" t="s">
        <v>241</v>
      </c>
      <c r="C14" s="39" t="s">
        <v>237</v>
      </c>
      <c r="D14" s="39" t="s">
        <v>237</v>
      </c>
      <c r="E14" s="39" t="s">
        <v>370</v>
      </c>
      <c r="G14" s="88" t="s">
        <v>540</v>
      </c>
      <c r="H14" s="88" t="s">
        <v>539</v>
      </c>
      <c r="I14" s="89" t="s">
        <v>381</v>
      </c>
      <c r="J14" s="39" t="s">
        <v>394</v>
      </c>
      <c r="K14" s="39" t="s">
        <v>394</v>
      </c>
      <c r="L14" s="39" t="s">
        <v>394</v>
      </c>
      <c r="M14" s="39" t="s">
        <v>394</v>
      </c>
      <c r="N14" s="39" t="s">
        <v>394</v>
      </c>
      <c r="O14" s="39" t="s">
        <v>394</v>
      </c>
      <c r="P14" s="39" t="s">
        <v>394</v>
      </c>
      <c r="Q14" s="39" t="s">
        <v>394</v>
      </c>
      <c r="R14" s="39" t="s">
        <v>394</v>
      </c>
      <c r="S14" s="89" t="s">
        <v>407</v>
      </c>
      <c r="T14" s="39" t="str">
        <f>'Dynamic Banners'!$L$6</f>
        <v>Cyber-monday-3.png</v>
      </c>
      <c r="U14" s="39" t="str">
        <f>'Dynamic Banners'!$M$6</f>
        <v>Cyber Monday is over. But, Cyber Week is still on.</v>
      </c>
      <c r="V14" s="39" t="s">
        <v>394</v>
      </c>
      <c r="W14" s="39" t="str">
        <f>'Dynamic Banners'!$N$6</f>
        <v xml:space="preserve">Shop amazing offers on showstopping products while supplies last. </v>
      </c>
      <c r="X14" s="39" t="s">
        <v>394</v>
      </c>
      <c r="Y14" s="39" t="str">
        <f>[1]MiscBanners!$B$4</f>
        <v>https://www.samsung.com/us/shop/all-deals/</v>
      </c>
      <c r="Z1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4" s="39" t="s">
        <v>394</v>
      </c>
      <c r="AB14" s="39" t="s">
        <v>394</v>
      </c>
      <c r="AC14" s="39" t="s">
        <v>394</v>
      </c>
      <c r="AD14" s="89" t="s">
        <v>408</v>
      </c>
      <c r="AE14" s="39" t="s">
        <v>394</v>
      </c>
      <c r="AF14" s="39" t="s">
        <v>394</v>
      </c>
      <c r="AG14" s="7" t="s">
        <v>559</v>
      </c>
      <c r="AH14" s="39" t="s">
        <v>561</v>
      </c>
      <c r="AI14" s="39" t="s">
        <v>394</v>
      </c>
      <c r="AJ14" s="39" t="str">
        <f>[1]MiscBanners!$B$4</f>
        <v>https://www.samsung.com/us/shop/all-deals/</v>
      </c>
      <c r="AK1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4" s="39" t="s">
        <v>394</v>
      </c>
      <c r="AM14" s="39" t="s">
        <v>394</v>
      </c>
      <c r="AN14" s="39" t="s">
        <v>394</v>
      </c>
      <c r="AO14" s="89" t="s">
        <v>266</v>
      </c>
      <c r="AP14" s="39" t="str">
        <f>CCModuleCopy!$B$15</f>
        <v>Tablet-HeadImage-500xV.jpg</v>
      </c>
      <c r="AQ14" s="39" t="str">
        <f>CCModuleCopy!$C$15</f>
        <v>Save up to $150 on select tablets</v>
      </c>
      <c r="AR14" s="39" t="str">
        <f>CCModuleCopy!$D$15</f>
        <v>NULL</v>
      </c>
      <c r="AS14" s="39" t="str">
        <f>CCModuleCopy!$E$15</f>
        <v xml:space="preserve">Empower how you create, learn, game and more with our powerful line of tablets. Shop offers on must-have products from the new Galaxy Tab S7+ to the Galaxy Tab S6 Lite. </v>
      </c>
      <c r="AT14" s="39" t="str">
        <f>CCModuleCopy!$L$15</f>
        <v>Shop all</v>
      </c>
      <c r="AU14" s="39" t="str">
        <f>CCModuleCopy!$M$15</f>
        <v>https://www.samsung.com/us/shop/all-deals/tablets-laptops-computers-deals/</v>
      </c>
      <c r="AV14"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W14" s="39" t="str">
        <f>CCModuleCopy!$O$15</f>
        <v>NULL</v>
      </c>
      <c r="AX14" s="39" t="str">
        <f>CCModuleCopy!$P$15</f>
        <v>NULL</v>
      </c>
      <c r="AY14" s="39" t="str">
        <f>CCModuleCopy!$Q$15</f>
        <v>NULL</v>
      </c>
      <c r="AZ14" s="89" t="s">
        <v>371</v>
      </c>
      <c r="BA14" s="39" t="str">
        <f>CCModuleCopy!$B$5</f>
        <v>IM_HeadImage_Shop_Phones_500xV.jpg</v>
      </c>
      <c r="BB14" s="39" t="str">
        <f>CCModuleCopy!$C$5</f>
        <v>Save up to $1000 instantly on the latest and greatest Galaxy smartphones</v>
      </c>
      <c r="BC14" s="39" t="str">
        <f>CCModuleCopy!$D$5</f>
        <v>NULL</v>
      </c>
      <c r="BD14"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4" s="39" t="str">
        <f>CCModuleCopy!$L$5</f>
        <v>Shop all</v>
      </c>
      <c r="BF14" s="39" t="str">
        <f>CCModuleCopy!$M$5</f>
        <v>https://www.samsung.com/us/shop/all-deals/cell-phone-deals/</v>
      </c>
      <c r="BG14"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4" s="39" t="str">
        <f>CCModuleCopy!$O$5</f>
        <v>NULL</v>
      </c>
      <c r="BI14" s="39" t="str">
        <f>CCModuleCopy!$P$5</f>
        <v>NULL</v>
      </c>
      <c r="BJ14" s="39" t="str">
        <f>CCModuleCopy!$Q$5</f>
        <v>NULL</v>
      </c>
      <c r="BK14" s="89" t="s">
        <v>265</v>
      </c>
      <c r="BL14" s="39" t="str">
        <f>CCModuleCopy!$B$7</f>
        <v>HE_HeadImage_Shop_TVs_500xV.jpg</v>
      </c>
      <c r="BM14" s="39" t="str">
        <f>CCModuleCopy!$C$7</f>
        <v>Get up to $3000 off select 8K, 4K and Lifestyle TVs</v>
      </c>
      <c r="BN14" s="39" t="str">
        <f>CCModuleCopy!$D$7</f>
        <v>NULL</v>
      </c>
      <c r="BO14"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4" s="39" t="str">
        <f>CCModuleCopy!$L$7</f>
        <v>Shop all</v>
      </c>
      <c r="BQ14" s="39" t="str">
        <f>CCModuleCopy!$M$7</f>
        <v>https://www.samsung.com/us/shop/all-deals/tv-and-home-theater-deals/</v>
      </c>
      <c r="BR14"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4" s="39" t="str">
        <f>CCModuleCopy!$O$7</f>
        <v>NULL</v>
      </c>
      <c r="BT14" s="39" t="str">
        <f>CCModuleCopy!$P$7</f>
        <v>NULL</v>
      </c>
      <c r="BU14" s="39" t="str">
        <f>CCModuleCopy!$Q$7</f>
        <v>NULL</v>
      </c>
      <c r="BV14" s="89" t="s">
        <v>367</v>
      </c>
      <c r="BW14" s="39" t="str">
        <f>CCModuleCopy!$B$11</f>
        <v>ME_HeadImage_Wearables_500xV.jpg</v>
      </c>
      <c r="BX14" s="39" t="str">
        <f>CCModuleCopy!$C$11</f>
        <v>Get up to $100 off select watches and earbuds</v>
      </c>
      <c r="BY14" s="39" t="str">
        <f>CCModuleCopy!$D$11</f>
        <v>NULL</v>
      </c>
      <c r="BZ14"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4" s="39" t="str">
        <f>CCModuleCopy!$L$11</f>
        <v>Shop all</v>
      </c>
      <c r="CB14" s="39" t="str">
        <f>CCModuleCopy!$M$11</f>
        <v>https://www.samsung.com/us/shop/all-deals/tablets-wearables-cell-phone-accessories-deals/</v>
      </c>
      <c r="CC14"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14" s="39" t="str">
        <f>CCModuleCopy!$O$11</f>
        <v>NULL</v>
      </c>
      <c r="CE14" s="39" t="str">
        <f>CCModuleCopy!$P$11</f>
        <v>NULL</v>
      </c>
      <c r="CF14" s="39" t="str">
        <f>CCModuleCopy!$Q$11</f>
        <v>NULL</v>
      </c>
      <c r="CG14" s="89" t="s">
        <v>368</v>
      </c>
      <c r="CH14" s="39" t="str">
        <f>CCModuleCopy!$B$13</f>
        <v>CE_HeadImage_Computing_500xV.jpg</v>
      </c>
      <c r="CI14" s="39" t="str">
        <f>CCModuleCopy!$C$13</f>
        <v>Get up to 60% off memory cards, SSD, monitors and more</v>
      </c>
      <c r="CJ14" s="39" t="str">
        <f>CCModuleCopy!$D$13</f>
        <v>NULL</v>
      </c>
      <c r="CK14" s="39" t="str">
        <f>CCModuleCopy!$E$13</f>
        <v xml:space="preserve">Expand the way you play, store and create and get up to 30% off monitors, up to 60% off memory cards, up to 35% off SSD and more. Work and game smarter, not harder with these must-have computing offers. </v>
      </c>
      <c r="CL14" s="39" t="str">
        <f>CCModuleCopy!$L$13</f>
        <v>Shop all</v>
      </c>
      <c r="CM14" s="39" t="str">
        <f>CCModuleCopy!$M$13</f>
        <v>https://www.samsung.com/us/shop/all-deals/laptop-and-computer-deals/</v>
      </c>
      <c r="CN14"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4" s="39" t="str">
        <f>CCModuleCopy!$O$13</f>
        <v>NULL</v>
      </c>
      <c r="CP14" s="39" t="str">
        <f>CCModuleCopy!$P$13</f>
        <v>NULL</v>
      </c>
      <c r="CQ14" s="39" t="str">
        <f>CCModuleCopy!$Q$13</f>
        <v>NULL</v>
      </c>
      <c r="CR14" s="89" t="s">
        <v>279</v>
      </c>
      <c r="CS14" s="39" t="str">
        <f>CCModuleCopy!$B$9</f>
        <v>HA_HeadImage_Shop_HA_500xV.jpg</v>
      </c>
      <c r="CT14" s="39" t="str">
        <f>CCModuleCopy!$C$9</f>
        <v>Save up to 50% on everything you need to upgrade your home and home care</v>
      </c>
      <c r="CU14" s="39" t="str">
        <f>CCModuleCopy!$D$9</f>
        <v>NULL</v>
      </c>
      <c r="CV14"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4" s="39" t="str">
        <f>CCModuleCopy!$L$9</f>
        <v>Shop all</v>
      </c>
      <c r="CX14" s="39" t="str">
        <f>CCModuleCopy!$M$9</f>
        <v>https://www.samsung.com/us/shop/all-deals/home-appliance-and-smart-home-sales/</v>
      </c>
      <c r="CY14"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4" s="39" t="str">
        <f>CCModuleCopy!$O$9</f>
        <v>NULL</v>
      </c>
      <c r="DA14" s="39" t="str">
        <f>CCModuleCopy!$P$9</f>
        <v>NULL</v>
      </c>
      <c r="DB14" s="39" t="str">
        <f>CCModuleCopy!$Q$9</f>
        <v>NULL</v>
      </c>
      <c r="DC14" s="89" t="s">
        <v>280</v>
      </c>
      <c r="DD14" s="39" t="str">
        <f>MiscBanners!$H$4</f>
        <v>Give-wonder-500xV.jpg</v>
      </c>
      <c r="DE14" s="39" t="str">
        <f>MiscBanners!$I$4</f>
        <v>The gift that keeps on giving</v>
      </c>
      <c r="DF14" s="39" t="str">
        <f>MiscBanners!$J$4</f>
        <v>NULL</v>
      </c>
      <c r="DG14" s="91" t="str">
        <f>MiscBanners!$K$4</f>
        <v>Discover even more exclusive offers on your favorite products and unlock the power of smart and savvy gifting.</v>
      </c>
      <c r="DH14" s="39" t="str">
        <f>MiscBanners!$L$4</f>
        <v>Shop now</v>
      </c>
      <c r="DI14" s="39" t="str">
        <f>MiscBanners!$M$4</f>
        <v>https://www.samsung.com/us/gift-ideas/</v>
      </c>
      <c r="DJ14"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4" s="39" t="str">
        <f>MiscBanners!$O$4</f>
        <v>NULL</v>
      </c>
      <c r="DL14" s="39" t="str">
        <f>MiscBanners!$P$4</f>
        <v>NULL</v>
      </c>
      <c r="DM14" s="39" t="str">
        <f>MiscBanners!$Q$4</f>
        <v>NULL</v>
      </c>
      <c r="DN14" s="89" t="s">
        <v>273</v>
      </c>
      <c r="DR14" s="91"/>
      <c r="DY14" s="89" t="s">
        <v>481</v>
      </c>
      <c r="DZ14" s="39" t="s">
        <v>394</v>
      </c>
      <c r="EA14" s="39" t="s">
        <v>394</v>
      </c>
      <c r="EB14" s="39" t="s">
        <v>394</v>
      </c>
      <c r="EC14" s="91" t="s">
        <v>482</v>
      </c>
      <c r="ED14" s="39" t="s">
        <v>394</v>
      </c>
      <c r="EE14" s="39" t="s">
        <v>476</v>
      </c>
      <c r="EF14" s="39">
        <v>0</v>
      </c>
      <c r="EG14" s="39" t="s">
        <v>394</v>
      </c>
      <c r="EH14" s="39" t="s">
        <v>394</v>
      </c>
      <c r="EI14" s="39" t="s">
        <v>394</v>
      </c>
      <c r="EJ14" s="89" t="s">
        <v>439</v>
      </c>
      <c r="EK14" s="39" t="s">
        <v>394</v>
      </c>
      <c r="EL14" s="39" t="s">
        <v>394</v>
      </c>
      <c r="EM14" s="39" t="s">
        <v>394</v>
      </c>
      <c r="EN14" s="91" t="s">
        <v>483</v>
      </c>
      <c r="EO14" s="39" t="s">
        <v>394</v>
      </c>
      <c r="EP14" s="39" t="s">
        <v>476</v>
      </c>
      <c r="EQ14" s="39">
        <v>0</v>
      </c>
      <c r="ER14" s="39" t="s">
        <v>394</v>
      </c>
      <c r="ES14" s="39" t="s">
        <v>394</v>
      </c>
      <c r="ET14" s="39" t="s">
        <v>394</v>
      </c>
      <c r="EU14" s="89" t="s">
        <v>441</v>
      </c>
      <c r="EV14" s="39" t="s">
        <v>394</v>
      </c>
      <c r="EW14" s="39" t="s">
        <v>394</v>
      </c>
      <c r="EX14" s="39" t="s">
        <v>394</v>
      </c>
      <c r="EY14" s="91" t="s">
        <v>485</v>
      </c>
      <c r="EZ14" s="39" t="s">
        <v>394</v>
      </c>
      <c r="FA14" s="39">
        <v>0</v>
      </c>
      <c r="FB14" s="39">
        <v>0</v>
      </c>
      <c r="FC14" s="39" t="s">
        <v>394</v>
      </c>
      <c r="FD14" s="39" t="s">
        <v>394</v>
      </c>
      <c r="FE14" s="39" t="s">
        <v>394</v>
      </c>
      <c r="FF14" s="89"/>
      <c r="FJ14" s="91"/>
    </row>
    <row r="15" spans="1:172" s="39" customFormat="1" ht="99.95" customHeight="1" x14ac:dyDescent="0.25">
      <c r="A15" s="39" t="s">
        <v>235</v>
      </c>
      <c r="B15" s="39" t="s">
        <v>264</v>
      </c>
      <c r="C15" s="39" t="s">
        <v>237</v>
      </c>
      <c r="D15" s="39" t="s">
        <v>237</v>
      </c>
      <c r="E15" s="39" t="s">
        <v>370</v>
      </c>
      <c r="G15" s="88" t="s">
        <v>540</v>
      </c>
      <c r="H15" s="88" t="s">
        <v>539</v>
      </c>
      <c r="I15" s="89" t="s">
        <v>381</v>
      </c>
      <c r="J15" s="39" t="s">
        <v>394</v>
      </c>
      <c r="K15" s="39" t="s">
        <v>394</v>
      </c>
      <c r="L15" s="39" t="s">
        <v>394</v>
      </c>
      <c r="M15" s="39" t="s">
        <v>394</v>
      </c>
      <c r="N15" s="39" t="s">
        <v>394</v>
      </c>
      <c r="O15" s="39" t="s">
        <v>394</v>
      </c>
      <c r="P15" s="39" t="s">
        <v>394</v>
      </c>
      <c r="Q15" s="39" t="s">
        <v>394</v>
      </c>
      <c r="R15" s="39" t="s">
        <v>394</v>
      </c>
      <c r="S15" s="89" t="s">
        <v>407</v>
      </c>
      <c r="T15" s="39" t="str">
        <f>'Dynamic Banners'!$L$6</f>
        <v>Cyber-monday-3.png</v>
      </c>
      <c r="U15" s="39" t="str">
        <f>'Dynamic Banners'!$M$6</f>
        <v>Cyber Monday is over. But, Cyber Week is still on.</v>
      </c>
      <c r="V15" s="39" t="s">
        <v>394</v>
      </c>
      <c r="W15" s="39" t="str">
        <f>'Dynamic Banners'!$N$6</f>
        <v xml:space="preserve">Shop amazing offers on showstopping products while supplies last. </v>
      </c>
      <c r="X15" s="39" t="s">
        <v>394</v>
      </c>
      <c r="Y15" s="39" t="str">
        <f>[1]MiscBanners!$B$4</f>
        <v>https://www.samsung.com/us/shop/all-deals/</v>
      </c>
      <c r="Z1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5" s="39" t="s">
        <v>394</v>
      </c>
      <c r="AB15" s="39" t="s">
        <v>394</v>
      </c>
      <c r="AC15" s="39" t="s">
        <v>394</v>
      </c>
      <c r="AD15" s="89" t="s">
        <v>408</v>
      </c>
      <c r="AE15" s="39" t="s">
        <v>394</v>
      </c>
      <c r="AF15" s="39" t="s">
        <v>394</v>
      </c>
      <c r="AG15" s="7" t="s">
        <v>559</v>
      </c>
      <c r="AH15" s="39" t="s">
        <v>561</v>
      </c>
      <c r="AI15" s="39" t="s">
        <v>394</v>
      </c>
      <c r="AJ15" s="39" t="str">
        <f>[1]MiscBanners!$B$4</f>
        <v>https://www.samsung.com/us/shop/all-deals/</v>
      </c>
      <c r="AK1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5" s="39" t="s">
        <v>394</v>
      </c>
      <c r="AM15" s="39" t="s">
        <v>394</v>
      </c>
      <c r="AN15" s="39" t="s">
        <v>394</v>
      </c>
      <c r="AO15" s="89" t="s">
        <v>367</v>
      </c>
      <c r="AP15" s="39" t="str">
        <f>CCModuleCopy!$B$11</f>
        <v>ME_HeadImage_Wearables_500xV.jpg</v>
      </c>
      <c r="AQ15" s="39" t="str">
        <f>CCModuleCopy!$C$11</f>
        <v>Get up to $100 off select watches and earbuds</v>
      </c>
      <c r="AR15" s="39" t="str">
        <f>CCModuleCopy!$D$11</f>
        <v>NULL</v>
      </c>
      <c r="AS15"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15" s="39" t="str">
        <f>CCModuleCopy!$L$11</f>
        <v>Shop all</v>
      </c>
      <c r="AU15" s="39" t="str">
        <f>CCModuleCopy!$M$11</f>
        <v>https://www.samsung.com/us/shop/all-deals/tablets-wearables-cell-phone-accessories-deals/</v>
      </c>
      <c r="AV15"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W15" s="39" t="str">
        <f>CCModuleCopy!$O$11</f>
        <v>NULL</v>
      </c>
      <c r="AX15" s="39" t="str">
        <f>CCModuleCopy!$P$11</f>
        <v>NULL</v>
      </c>
      <c r="AY15" s="39" t="str">
        <f>CCModuleCopy!$Q$11</f>
        <v>NULL</v>
      </c>
      <c r="AZ15" s="89" t="s">
        <v>371</v>
      </c>
      <c r="BA15" s="39" t="str">
        <f>CCModuleCopy!$B$5</f>
        <v>IM_HeadImage_Shop_Phones_500xV.jpg</v>
      </c>
      <c r="BB15" s="39" t="str">
        <f>CCModuleCopy!$C$5</f>
        <v>Save up to $1000 instantly on the latest and greatest Galaxy smartphones</v>
      </c>
      <c r="BC15" s="39" t="str">
        <f>CCModuleCopy!$D$5</f>
        <v>NULL</v>
      </c>
      <c r="BD15"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5" s="39" t="str">
        <f>CCModuleCopy!$L$5</f>
        <v>Shop all</v>
      </c>
      <c r="BF15" s="39" t="str">
        <f>CCModuleCopy!$M$5</f>
        <v>https://www.samsung.com/us/shop/all-deals/cell-phone-deals/</v>
      </c>
      <c r="BG15"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5" s="39" t="str">
        <f>CCModuleCopy!$O$5</f>
        <v>NULL</v>
      </c>
      <c r="BI15" s="39" t="str">
        <f>CCModuleCopy!$P$5</f>
        <v>NULL</v>
      </c>
      <c r="BJ15" s="39" t="str">
        <f>CCModuleCopy!$Q$5</f>
        <v>NULL</v>
      </c>
      <c r="BK15" s="89" t="s">
        <v>265</v>
      </c>
      <c r="BL15" s="39" t="str">
        <f>CCModuleCopy!$B$7</f>
        <v>HE_HeadImage_Shop_TVs_500xV.jpg</v>
      </c>
      <c r="BM15" s="39" t="str">
        <f>CCModuleCopy!$C$7</f>
        <v>Get up to $3000 off select 8K, 4K and Lifestyle TVs</v>
      </c>
      <c r="BN15" s="39" t="str">
        <f>CCModuleCopy!$D$7</f>
        <v>NULL</v>
      </c>
      <c r="BO15"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5" s="39" t="str">
        <f>CCModuleCopy!$L$7</f>
        <v>Shop all</v>
      </c>
      <c r="BQ15" s="39" t="str">
        <f>CCModuleCopy!$M$7</f>
        <v>https://www.samsung.com/us/shop/all-deals/tv-and-home-theater-deals/</v>
      </c>
      <c r="BR15"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5" s="39" t="str">
        <f>CCModuleCopy!$O$7</f>
        <v>NULL</v>
      </c>
      <c r="BT15" s="39" t="str">
        <f>CCModuleCopy!$P$7</f>
        <v>NULL</v>
      </c>
      <c r="BU15" s="39" t="str">
        <f>CCModuleCopy!$Q$7</f>
        <v>NULL</v>
      </c>
      <c r="BV15" s="89" t="s">
        <v>266</v>
      </c>
      <c r="BW15" s="39" t="str">
        <f>CCModuleCopy!$B$15</f>
        <v>Tablet-HeadImage-500xV.jpg</v>
      </c>
      <c r="BX15" s="39" t="str">
        <f>CCModuleCopy!$C$15</f>
        <v>Save up to $150 on select tablets</v>
      </c>
      <c r="BY15" s="39" t="str">
        <f>CCModuleCopy!$D$15</f>
        <v>NULL</v>
      </c>
      <c r="BZ15" s="39" t="str">
        <f>CCModuleCopy!$E$15</f>
        <v xml:space="preserve">Empower how you create, learn, game and more with our powerful line of tablets. Shop offers on must-have products from the new Galaxy Tab S7+ to the Galaxy Tab S6 Lite. </v>
      </c>
      <c r="CA15" s="39" t="str">
        <f>CCModuleCopy!$L$15</f>
        <v>Shop all</v>
      </c>
      <c r="CB15" s="39" t="str">
        <f>CCModuleCopy!$M$15</f>
        <v>https://www.samsung.com/us/shop/all-deals/tablets-laptops-computers-deals/</v>
      </c>
      <c r="CC15"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5" s="39" t="str">
        <f>CCModuleCopy!$O$15</f>
        <v>NULL</v>
      </c>
      <c r="CE15" s="39" t="str">
        <f>CCModuleCopy!$P$15</f>
        <v>NULL</v>
      </c>
      <c r="CF15" s="39" t="str">
        <f>CCModuleCopy!$Q$15</f>
        <v>NULL</v>
      </c>
      <c r="CG15" s="89" t="s">
        <v>368</v>
      </c>
      <c r="CH15" s="39" t="str">
        <f>CCModuleCopy!$B$13</f>
        <v>CE_HeadImage_Computing_500xV.jpg</v>
      </c>
      <c r="CI15" s="39" t="str">
        <f>CCModuleCopy!$C$13</f>
        <v>Get up to 60% off memory cards, SSD, monitors and more</v>
      </c>
      <c r="CJ15" s="39" t="str">
        <f>CCModuleCopy!$D$13</f>
        <v>NULL</v>
      </c>
      <c r="CK15" s="39" t="str">
        <f>CCModuleCopy!$E$13</f>
        <v xml:space="preserve">Expand the way you play, store and create and get up to 30% off monitors, up to 60% off memory cards, up to 35% off SSD and more. Work and game smarter, not harder with these must-have computing offers. </v>
      </c>
      <c r="CL15" s="39" t="str">
        <f>CCModuleCopy!$L$13</f>
        <v>Shop all</v>
      </c>
      <c r="CM15" s="39" t="str">
        <f>CCModuleCopy!$M$13</f>
        <v>https://www.samsung.com/us/shop/all-deals/laptop-and-computer-deals/</v>
      </c>
      <c r="CN15"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15" s="39" t="str">
        <f>CCModuleCopy!$O$13</f>
        <v>NULL</v>
      </c>
      <c r="CP15" s="39" t="str">
        <f>CCModuleCopy!$P$13</f>
        <v>NULL</v>
      </c>
      <c r="CQ15" s="39" t="str">
        <f>CCModuleCopy!$Q$13</f>
        <v>NULL</v>
      </c>
      <c r="CR15" s="89" t="s">
        <v>279</v>
      </c>
      <c r="CS15" s="39" t="str">
        <f>CCModuleCopy!$B$9</f>
        <v>HA_HeadImage_Shop_HA_500xV.jpg</v>
      </c>
      <c r="CT15" s="39" t="str">
        <f>CCModuleCopy!$C$9</f>
        <v>Save up to 50% on everything you need to upgrade your home and home care</v>
      </c>
      <c r="CU15" s="39" t="str">
        <f>CCModuleCopy!$D$9</f>
        <v>NULL</v>
      </c>
      <c r="CV15"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5" s="39" t="str">
        <f>CCModuleCopy!$L$9</f>
        <v>Shop all</v>
      </c>
      <c r="CX15" s="39" t="str">
        <f>CCModuleCopy!$M$9</f>
        <v>https://www.samsung.com/us/shop/all-deals/home-appliance-and-smart-home-sales/</v>
      </c>
      <c r="CY15"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5" s="39" t="str">
        <f>CCModuleCopy!$O$9</f>
        <v>NULL</v>
      </c>
      <c r="DA15" s="39" t="str">
        <f>CCModuleCopy!$P$9</f>
        <v>NULL</v>
      </c>
      <c r="DB15" s="39" t="str">
        <f>CCModuleCopy!$Q$9</f>
        <v>NULL</v>
      </c>
      <c r="DC15" s="89" t="s">
        <v>280</v>
      </c>
      <c r="DD15" s="39" t="str">
        <f>MiscBanners!$H$4</f>
        <v>Give-wonder-500xV.jpg</v>
      </c>
      <c r="DE15" s="39" t="str">
        <f>MiscBanners!$I$4</f>
        <v>The gift that keeps on giving</v>
      </c>
      <c r="DF15" s="39" t="str">
        <f>MiscBanners!$J$4</f>
        <v>NULL</v>
      </c>
      <c r="DG15" s="91" t="str">
        <f>MiscBanners!$K$4</f>
        <v>Discover even more exclusive offers on your favorite products and unlock the power of smart and savvy gifting.</v>
      </c>
      <c r="DH15" s="39" t="str">
        <f>MiscBanners!$L$4</f>
        <v>Shop now</v>
      </c>
      <c r="DI15" s="39" t="str">
        <f>MiscBanners!$M$4</f>
        <v>https://www.samsung.com/us/gift-ideas/</v>
      </c>
      <c r="DJ15"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5" s="39" t="str">
        <f>MiscBanners!$O$4</f>
        <v>NULL</v>
      </c>
      <c r="DL15" s="39" t="str">
        <f>MiscBanners!$P$4</f>
        <v>NULL</v>
      </c>
      <c r="DM15" s="39" t="str">
        <f>MiscBanners!$Q$4</f>
        <v>NULL</v>
      </c>
      <c r="DN15" s="89" t="s">
        <v>273</v>
      </c>
      <c r="DR15" s="91"/>
      <c r="DY15" s="89" t="s">
        <v>481</v>
      </c>
      <c r="DZ15" s="39" t="s">
        <v>394</v>
      </c>
      <c r="EA15" s="39" t="s">
        <v>394</v>
      </c>
      <c r="EB15" s="39" t="s">
        <v>394</v>
      </c>
      <c r="EC15" s="91" t="s">
        <v>482</v>
      </c>
      <c r="ED15" s="39" t="s">
        <v>394</v>
      </c>
      <c r="EE15" s="39" t="s">
        <v>476</v>
      </c>
      <c r="EF15" s="39">
        <v>0</v>
      </c>
      <c r="EG15" s="39" t="s">
        <v>394</v>
      </c>
      <c r="EH15" s="39" t="s">
        <v>394</v>
      </c>
      <c r="EI15" s="39" t="s">
        <v>394</v>
      </c>
      <c r="EJ15" s="89" t="s">
        <v>439</v>
      </c>
      <c r="EK15" s="39" t="s">
        <v>394</v>
      </c>
      <c r="EL15" s="39" t="s">
        <v>394</v>
      </c>
      <c r="EM15" s="39" t="s">
        <v>394</v>
      </c>
      <c r="EN15" s="91" t="s">
        <v>483</v>
      </c>
      <c r="EO15" s="39" t="s">
        <v>394</v>
      </c>
      <c r="EP15" s="39" t="s">
        <v>476</v>
      </c>
      <c r="EQ15" s="39">
        <v>0</v>
      </c>
      <c r="ER15" s="39" t="s">
        <v>394</v>
      </c>
      <c r="ES15" s="39" t="s">
        <v>394</v>
      </c>
      <c r="ET15" s="39" t="s">
        <v>394</v>
      </c>
      <c r="EU15" s="89" t="s">
        <v>441</v>
      </c>
      <c r="EV15" s="39" t="s">
        <v>394</v>
      </c>
      <c r="EW15" s="39" t="s">
        <v>394</v>
      </c>
      <c r="EX15" s="39" t="s">
        <v>394</v>
      </c>
      <c r="EY15" s="91" t="s">
        <v>485</v>
      </c>
      <c r="EZ15" s="39" t="s">
        <v>394</v>
      </c>
      <c r="FA15" s="39">
        <v>0</v>
      </c>
      <c r="FB15" s="39">
        <v>0</v>
      </c>
      <c r="FC15" s="39" t="s">
        <v>394</v>
      </c>
      <c r="FD15" s="39" t="s">
        <v>394</v>
      </c>
      <c r="FE15" s="39" t="s">
        <v>394</v>
      </c>
      <c r="FF15" s="89"/>
      <c r="FJ15" s="91"/>
    </row>
    <row r="16" spans="1:172" s="39" customFormat="1" ht="99.95" customHeight="1" x14ac:dyDescent="0.25">
      <c r="A16" s="39" t="s">
        <v>235</v>
      </c>
      <c r="B16" s="39" t="s">
        <v>361</v>
      </c>
      <c r="C16" s="39" t="s">
        <v>237</v>
      </c>
      <c r="D16" s="39" t="s">
        <v>237</v>
      </c>
      <c r="E16" s="39" t="s">
        <v>370</v>
      </c>
      <c r="G16" s="88" t="s">
        <v>540</v>
      </c>
      <c r="H16" s="88" t="s">
        <v>539</v>
      </c>
      <c r="I16" s="89" t="s">
        <v>381</v>
      </c>
      <c r="J16" s="39" t="s">
        <v>394</v>
      </c>
      <c r="K16" s="39" t="s">
        <v>394</v>
      </c>
      <c r="L16" s="39" t="s">
        <v>394</v>
      </c>
      <c r="M16" s="39" t="s">
        <v>394</v>
      </c>
      <c r="N16" s="39" t="s">
        <v>394</v>
      </c>
      <c r="O16" s="39" t="s">
        <v>394</v>
      </c>
      <c r="P16" s="39" t="s">
        <v>394</v>
      </c>
      <c r="Q16" s="39" t="s">
        <v>394</v>
      </c>
      <c r="R16" s="39" t="s">
        <v>394</v>
      </c>
      <c r="S16" s="89" t="s">
        <v>407</v>
      </c>
      <c r="T16" s="39" t="str">
        <f>'Dynamic Banners'!$L$6</f>
        <v>Cyber-monday-3.png</v>
      </c>
      <c r="U16" s="39" t="str">
        <f>'Dynamic Banners'!$M$6</f>
        <v>Cyber Monday is over. But, Cyber Week is still on.</v>
      </c>
      <c r="V16" s="39" t="s">
        <v>394</v>
      </c>
      <c r="W16" s="39" t="str">
        <f>'Dynamic Banners'!$N$6</f>
        <v xml:space="preserve">Shop amazing offers on showstopping products while supplies last. </v>
      </c>
      <c r="X16" s="39" t="s">
        <v>394</v>
      </c>
      <c r="Y16" s="39" t="str">
        <f>[1]MiscBanners!$B$4</f>
        <v>https://www.samsung.com/us/shop/all-deals/</v>
      </c>
      <c r="Z1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6" s="39" t="s">
        <v>394</v>
      </c>
      <c r="AB16" s="39" t="s">
        <v>394</v>
      </c>
      <c r="AC16" s="39" t="s">
        <v>394</v>
      </c>
      <c r="AD16" s="89" t="s">
        <v>408</v>
      </c>
      <c r="AE16" s="39" t="s">
        <v>394</v>
      </c>
      <c r="AF16" s="39" t="s">
        <v>394</v>
      </c>
      <c r="AG16" s="7" t="s">
        <v>559</v>
      </c>
      <c r="AH16" s="39" t="s">
        <v>561</v>
      </c>
      <c r="AI16" s="39" t="s">
        <v>394</v>
      </c>
      <c r="AJ16" s="39" t="str">
        <f>[1]MiscBanners!$B$4</f>
        <v>https://www.samsung.com/us/shop/all-deals/</v>
      </c>
      <c r="AK1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6" s="39" t="s">
        <v>394</v>
      </c>
      <c r="AM16" s="39" t="s">
        <v>394</v>
      </c>
      <c r="AN16" s="39" t="s">
        <v>394</v>
      </c>
      <c r="AO16" s="89" t="s">
        <v>368</v>
      </c>
      <c r="AP16" s="39" t="str">
        <f>CCModuleCopy!$B$13</f>
        <v>CE_HeadImage_Computing_500xV.jpg</v>
      </c>
      <c r="AQ16" s="39" t="str">
        <f>CCModuleCopy!$C$13</f>
        <v>Get up to 60% off memory cards, SSD, monitors and more</v>
      </c>
      <c r="AR16" s="39" t="str">
        <f>CCModuleCopy!$D$13</f>
        <v>NULL</v>
      </c>
      <c r="AS16" s="39" t="str">
        <f>CCModuleCopy!$E$13</f>
        <v xml:space="preserve">Expand the way you play, store and create and get up to 30% off monitors, up to 60% off memory cards, up to 35% off SSD and more. Work and game smarter, not harder with these must-have computing offers. </v>
      </c>
      <c r="AT16" s="39" t="str">
        <f>CCModuleCopy!$L$13</f>
        <v>Shop all</v>
      </c>
      <c r="AU16" s="39" t="str">
        <f>CCModuleCopy!$M$13</f>
        <v>https://www.samsung.com/us/shop/all-deals/laptop-and-computer-deals/</v>
      </c>
      <c r="AV16"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W16" s="39" t="str">
        <f>CCModuleCopy!$O$13</f>
        <v>NULL</v>
      </c>
      <c r="AX16" s="39" t="str">
        <f>CCModuleCopy!$P$13</f>
        <v>NULL</v>
      </c>
      <c r="AY16" s="39" t="str">
        <f>CCModuleCopy!$Q$13</f>
        <v>NULL</v>
      </c>
      <c r="AZ16" s="89" t="s">
        <v>371</v>
      </c>
      <c r="BA16" s="39" t="str">
        <f>CCModuleCopy!$B$5</f>
        <v>IM_HeadImage_Shop_Phones_500xV.jpg</v>
      </c>
      <c r="BB16" s="39" t="str">
        <f>CCModuleCopy!$C$5</f>
        <v>Save up to $1000 instantly on the latest and greatest Galaxy smartphones</v>
      </c>
      <c r="BC16" s="39" t="str">
        <f>CCModuleCopy!$D$5</f>
        <v>NULL</v>
      </c>
      <c r="BD16"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6" s="39" t="str">
        <f>CCModuleCopy!$L$5</f>
        <v>Shop all</v>
      </c>
      <c r="BF16" s="39" t="str">
        <f>CCModuleCopy!$M$5</f>
        <v>https://www.samsung.com/us/shop/all-deals/cell-phone-deals/</v>
      </c>
      <c r="BG16"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6" s="39" t="str">
        <f>CCModuleCopy!$O$5</f>
        <v>NULL</v>
      </c>
      <c r="BI16" s="39" t="str">
        <f>CCModuleCopy!$P$5</f>
        <v>NULL</v>
      </c>
      <c r="BJ16" s="39" t="str">
        <f>CCModuleCopy!$Q$5</f>
        <v>NULL</v>
      </c>
      <c r="BK16" s="89" t="s">
        <v>265</v>
      </c>
      <c r="BL16" s="39" t="str">
        <f>CCModuleCopy!$B$7</f>
        <v>HE_HeadImage_Shop_TVs_500xV.jpg</v>
      </c>
      <c r="BM16" s="39" t="str">
        <f>CCModuleCopy!$C$7</f>
        <v>Get up to $3000 off select 8K, 4K and Lifestyle TVs</v>
      </c>
      <c r="BN16" s="39" t="str">
        <f>CCModuleCopy!$D$7</f>
        <v>NULL</v>
      </c>
      <c r="BO1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6" s="39" t="str">
        <f>CCModuleCopy!$L$7</f>
        <v>Shop all</v>
      </c>
      <c r="BQ16" s="39" t="str">
        <f>CCModuleCopy!$M$7</f>
        <v>https://www.samsung.com/us/shop/all-deals/tv-and-home-theater-deals/</v>
      </c>
      <c r="BR16"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6" s="39" t="str">
        <f>CCModuleCopy!$O$7</f>
        <v>NULL</v>
      </c>
      <c r="BT16" s="39" t="str">
        <f>CCModuleCopy!$P$7</f>
        <v>NULL</v>
      </c>
      <c r="BU16" s="39" t="str">
        <f>CCModuleCopy!$Q$7</f>
        <v>NULL</v>
      </c>
      <c r="BV16" s="89" t="s">
        <v>266</v>
      </c>
      <c r="BW16" s="39" t="str">
        <f>CCModuleCopy!$B$15</f>
        <v>Tablet-HeadImage-500xV.jpg</v>
      </c>
      <c r="BX16" s="39" t="str">
        <f>CCModuleCopy!$C$15</f>
        <v>Save up to $150 on select tablets</v>
      </c>
      <c r="BY16" s="39" t="str">
        <f>CCModuleCopy!$D$15</f>
        <v>NULL</v>
      </c>
      <c r="BZ16" s="39" t="str">
        <f>CCModuleCopy!$E$15</f>
        <v xml:space="preserve">Empower how you create, learn, game and more with our powerful line of tablets. Shop offers on must-have products from the new Galaxy Tab S7+ to the Galaxy Tab S6 Lite. </v>
      </c>
      <c r="CA16" s="39" t="str">
        <f>CCModuleCopy!$L$15</f>
        <v>Shop all</v>
      </c>
      <c r="CB16" s="39" t="str">
        <f>CCModuleCopy!$M$15</f>
        <v>https://www.samsung.com/us/shop/all-deals/tablets-laptops-computers-deals/</v>
      </c>
      <c r="CC16"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6" s="39" t="str">
        <f>CCModuleCopy!$O$15</f>
        <v>NULL</v>
      </c>
      <c r="CE16" s="39" t="str">
        <f>CCModuleCopy!$P$15</f>
        <v>NULL</v>
      </c>
      <c r="CF16" s="39" t="str">
        <f>CCModuleCopy!$Q$15</f>
        <v>NULL</v>
      </c>
      <c r="CG16" s="89" t="s">
        <v>367</v>
      </c>
      <c r="CH16" s="39" t="str">
        <f>CCModuleCopy!$B$11</f>
        <v>ME_HeadImage_Wearables_500xV.jpg</v>
      </c>
      <c r="CI16" s="39" t="str">
        <f>CCModuleCopy!$C$11</f>
        <v>Get up to $100 off select watches and earbuds</v>
      </c>
      <c r="CJ16" s="39" t="str">
        <f>CCModuleCopy!$D$11</f>
        <v>NULL</v>
      </c>
      <c r="CK1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6" s="39" t="str">
        <f>CCModuleCopy!$L$11</f>
        <v>Shop all</v>
      </c>
      <c r="CM16" s="39" t="str">
        <f>CCModuleCopy!$M$11</f>
        <v>https://www.samsung.com/us/shop/all-deals/tablets-wearables-cell-phone-accessories-deals/</v>
      </c>
      <c r="CN16"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16" s="39" t="str">
        <f>CCModuleCopy!$O$11</f>
        <v>NULL</v>
      </c>
      <c r="CP16" s="39" t="str">
        <f>CCModuleCopy!$P$11</f>
        <v>NULL</v>
      </c>
      <c r="CQ16" s="39" t="str">
        <f>CCModuleCopy!$Q$11</f>
        <v>NULL</v>
      </c>
      <c r="CR16" s="89" t="s">
        <v>279</v>
      </c>
      <c r="CS16" s="39" t="str">
        <f>CCModuleCopy!$B$9</f>
        <v>HA_HeadImage_Shop_HA_500xV.jpg</v>
      </c>
      <c r="CT16" s="39" t="str">
        <f>CCModuleCopy!$C$9</f>
        <v>Save up to 50% on everything you need to upgrade your home and home care</v>
      </c>
      <c r="CU16" s="39" t="str">
        <f>CCModuleCopy!$D$9</f>
        <v>NULL</v>
      </c>
      <c r="CV1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6" s="39" t="str">
        <f>CCModuleCopy!$L$9</f>
        <v>Shop all</v>
      </c>
      <c r="CX16" s="39" t="str">
        <f>CCModuleCopy!$M$9</f>
        <v>https://www.samsung.com/us/shop/all-deals/home-appliance-and-smart-home-sales/</v>
      </c>
      <c r="CY16"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16" s="39" t="str">
        <f>CCModuleCopy!$O$9</f>
        <v>NULL</v>
      </c>
      <c r="DA16" s="39" t="str">
        <f>CCModuleCopy!$P$9</f>
        <v>NULL</v>
      </c>
      <c r="DB16" s="39" t="str">
        <f>CCModuleCopy!$Q$9</f>
        <v>NULL</v>
      </c>
      <c r="DC16" s="89" t="s">
        <v>280</v>
      </c>
      <c r="DD16" s="39" t="str">
        <f>MiscBanners!$H$4</f>
        <v>Give-wonder-500xV.jpg</v>
      </c>
      <c r="DE16" s="39" t="str">
        <f>MiscBanners!$I$4</f>
        <v>The gift that keeps on giving</v>
      </c>
      <c r="DF16" s="39" t="str">
        <f>MiscBanners!$J$4</f>
        <v>NULL</v>
      </c>
      <c r="DG16" s="91" t="str">
        <f>MiscBanners!$K$4</f>
        <v>Discover even more exclusive offers on your favorite products and unlock the power of smart and savvy gifting.</v>
      </c>
      <c r="DH16" s="39" t="str">
        <f>MiscBanners!$L$4</f>
        <v>Shop now</v>
      </c>
      <c r="DI16" s="39" t="str">
        <f>MiscBanners!$M$4</f>
        <v>https://www.samsung.com/us/gift-ideas/</v>
      </c>
      <c r="DJ16"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6" s="39" t="str">
        <f>MiscBanners!$O$4</f>
        <v>NULL</v>
      </c>
      <c r="DL16" s="39" t="str">
        <f>MiscBanners!$P$4</f>
        <v>NULL</v>
      </c>
      <c r="DM16" s="39" t="str">
        <f>MiscBanners!$Q$4</f>
        <v>NULL</v>
      </c>
      <c r="DN16" s="89" t="s">
        <v>273</v>
      </c>
      <c r="DR16" s="91"/>
      <c r="DY16" s="89" t="s">
        <v>481</v>
      </c>
      <c r="DZ16" s="39" t="s">
        <v>394</v>
      </c>
      <c r="EA16" s="39" t="s">
        <v>394</v>
      </c>
      <c r="EB16" s="39" t="s">
        <v>394</v>
      </c>
      <c r="EC16" s="91" t="s">
        <v>482</v>
      </c>
      <c r="ED16" s="39" t="s">
        <v>394</v>
      </c>
      <c r="EE16" s="39" t="s">
        <v>476</v>
      </c>
      <c r="EF16" s="39">
        <v>0</v>
      </c>
      <c r="EG16" s="39" t="s">
        <v>394</v>
      </c>
      <c r="EH16" s="39" t="s">
        <v>394</v>
      </c>
      <c r="EI16" s="39" t="s">
        <v>394</v>
      </c>
      <c r="EJ16" s="89" t="s">
        <v>439</v>
      </c>
      <c r="EK16" s="39" t="s">
        <v>394</v>
      </c>
      <c r="EL16" s="39" t="s">
        <v>394</v>
      </c>
      <c r="EM16" s="39" t="s">
        <v>394</v>
      </c>
      <c r="EN16" s="91" t="s">
        <v>483</v>
      </c>
      <c r="EO16" s="39" t="s">
        <v>394</v>
      </c>
      <c r="EP16" s="39" t="s">
        <v>476</v>
      </c>
      <c r="EQ16" s="39">
        <v>0</v>
      </c>
      <c r="ER16" s="39" t="s">
        <v>394</v>
      </c>
      <c r="ES16" s="39" t="s">
        <v>394</v>
      </c>
      <c r="ET16" s="39" t="s">
        <v>394</v>
      </c>
      <c r="EU16" s="89" t="s">
        <v>441</v>
      </c>
      <c r="EV16" s="39" t="s">
        <v>394</v>
      </c>
      <c r="EW16" s="39" t="s">
        <v>394</v>
      </c>
      <c r="EX16" s="39" t="s">
        <v>394</v>
      </c>
      <c r="EY16" s="91" t="s">
        <v>485</v>
      </c>
      <c r="EZ16" s="39" t="s">
        <v>394</v>
      </c>
      <c r="FA16" s="39">
        <v>0</v>
      </c>
      <c r="FB16" s="39">
        <v>0</v>
      </c>
      <c r="FC16" s="39" t="s">
        <v>394</v>
      </c>
      <c r="FD16" s="39" t="s">
        <v>394</v>
      </c>
      <c r="FE16" s="39" t="s">
        <v>394</v>
      </c>
      <c r="FF16" s="89"/>
      <c r="FJ16" s="91"/>
    </row>
    <row r="17" spans="1:172" s="39" customFormat="1" ht="99.95" customHeight="1" x14ac:dyDescent="0.25">
      <c r="A17" s="39" t="s">
        <v>235</v>
      </c>
      <c r="B17" s="39" t="s">
        <v>369</v>
      </c>
      <c r="C17" s="39" t="s">
        <v>237</v>
      </c>
      <c r="D17" s="39" t="s">
        <v>237</v>
      </c>
      <c r="E17" s="39" t="s">
        <v>370</v>
      </c>
      <c r="G17" s="88" t="s">
        <v>540</v>
      </c>
      <c r="H17" s="88" t="s">
        <v>539</v>
      </c>
      <c r="I17" s="89" t="s">
        <v>381</v>
      </c>
      <c r="J17" s="39" t="s">
        <v>394</v>
      </c>
      <c r="K17" s="39" t="s">
        <v>394</v>
      </c>
      <c r="L17" s="39" t="s">
        <v>394</v>
      </c>
      <c r="M17" s="39" t="s">
        <v>394</v>
      </c>
      <c r="N17" s="39" t="s">
        <v>394</v>
      </c>
      <c r="O17" s="39" t="s">
        <v>394</v>
      </c>
      <c r="P17" s="39" t="s">
        <v>394</v>
      </c>
      <c r="Q17" s="39" t="s">
        <v>394</v>
      </c>
      <c r="R17" s="39" t="s">
        <v>394</v>
      </c>
      <c r="S17" s="89" t="s">
        <v>407</v>
      </c>
      <c r="T17" s="39" t="str">
        <f>'Dynamic Banners'!$L$6</f>
        <v>Cyber-monday-3.png</v>
      </c>
      <c r="U17" s="39" t="str">
        <f>'Dynamic Banners'!$M$6</f>
        <v>Cyber Monday is over. But, Cyber Week is still on.</v>
      </c>
      <c r="V17" s="39" t="s">
        <v>394</v>
      </c>
      <c r="W17" s="39" t="str">
        <f>'Dynamic Banners'!$N$6</f>
        <v xml:space="preserve">Shop amazing offers on showstopping products while supplies last. </v>
      </c>
      <c r="X17" s="39" t="s">
        <v>394</v>
      </c>
      <c r="Y17" s="39" t="str">
        <f>[1]MiscBanners!$B$4</f>
        <v>https://www.samsung.com/us/shop/all-deals/</v>
      </c>
      <c r="Z1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7" s="39" t="s">
        <v>394</v>
      </c>
      <c r="AB17" s="39" t="s">
        <v>394</v>
      </c>
      <c r="AC17" s="39" t="s">
        <v>394</v>
      </c>
      <c r="AD17" s="89" t="s">
        <v>408</v>
      </c>
      <c r="AE17" s="39" t="s">
        <v>394</v>
      </c>
      <c r="AF17" s="39" t="s">
        <v>394</v>
      </c>
      <c r="AG17" s="7" t="s">
        <v>559</v>
      </c>
      <c r="AH17" s="39" t="s">
        <v>561</v>
      </c>
      <c r="AI17" s="39" t="s">
        <v>394</v>
      </c>
      <c r="AJ17" s="39" t="str">
        <f>[1]MiscBanners!$B$4</f>
        <v>https://www.samsung.com/us/shop/all-deals/</v>
      </c>
      <c r="AK1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7" s="39" t="s">
        <v>394</v>
      </c>
      <c r="AM17" s="39" t="s">
        <v>394</v>
      </c>
      <c r="AN17" s="39" t="s">
        <v>394</v>
      </c>
      <c r="AO17" s="89" t="s">
        <v>279</v>
      </c>
      <c r="AP17" s="39" t="str">
        <f>CCModuleCopy!$B$9</f>
        <v>HA_HeadImage_Shop_HA_500xV.jpg</v>
      </c>
      <c r="AQ17" s="39" t="str">
        <f>CCModuleCopy!$C$9</f>
        <v>Save up to 50% on everything you need to upgrade your home and home care</v>
      </c>
      <c r="AR17" s="39" t="str">
        <f>CCModuleCopy!$D$9</f>
        <v>NULL</v>
      </c>
      <c r="AS1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17" s="39" t="str">
        <f>CCModuleCopy!$L$9</f>
        <v>Shop all</v>
      </c>
      <c r="AU17" s="39" t="str">
        <f>CCModuleCopy!$M$9</f>
        <v>https://www.samsung.com/us/shop/all-deals/home-appliance-and-smart-home-sales/</v>
      </c>
      <c r="AV17"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AW17" s="39" t="str">
        <f>CCModuleCopy!$O$9</f>
        <v>NULL</v>
      </c>
      <c r="AX17" s="39" t="str">
        <f>CCModuleCopy!$P$9</f>
        <v>NULL</v>
      </c>
      <c r="AY17" s="39" t="str">
        <f>CCModuleCopy!$Q$9</f>
        <v>NULL</v>
      </c>
      <c r="AZ17" s="89" t="s">
        <v>371</v>
      </c>
      <c r="BA17" s="39" t="str">
        <f>CCModuleCopy!$B$5</f>
        <v>IM_HeadImage_Shop_Phones_500xV.jpg</v>
      </c>
      <c r="BB17" s="39" t="str">
        <f>CCModuleCopy!$C$5</f>
        <v>Save up to $1000 instantly on the latest and greatest Galaxy smartphones</v>
      </c>
      <c r="BC17" s="39" t="str">
        <f>CCModuleCopy!$D$5</f>
        <v>NULL</v>
      </c>
      <c r="BD17"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17" s="39" t="str">
        <f>CCModuleCopy!$L$5</f>
        <v>Shop all</v>
      </c>
      <c r="BF17" s="39" t="str">
        <f>CCModuleCopy!$M$5</f>
        <v>https://www.samsung.com/us/shop/all-deals/cell-phone-deals/</v>
      </c>
      <c r="BG17"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17" s="39" t="str">
        <f>CCModuleCopy!$O$5</f>
        <v>NULL</v>
      </c>
      <c r="BI17" s="39" t="str">
        <f>CCModuleCopy!$P$5</f>
        <v>NULL</v>
      </c>
      <c r="BJ17" s="39" t="str">
        <f>CCModuleCopy!$Q$5</f>
        <v>NULL</v>
      </c>
      <c r="BK17" s="89" t="s">
        <v>265</v>
      </c>
      <c r="BL17" s="39" t="str">
        <f>CCModuleCopy!$B$7</f>
        <v>HE_HeadImage_Shop_TVs_500xV.jpg</v>
      </c>
      <c r="BM17" s="39" t="str">
        <f>CCModuleCopy!$C$7</f>
        <v>Get up to $3000 off select 8K, 4K and Lifestyle TVs</v>
      </c>
      <c r="BN17" s="39" t="str">
        <f>CCModuleCopy!$D$7</f>
        <v>NULL</v>
      </c>
      <c r="BO1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17" s="39" t="str">
        <f>CCModuleCopy!$L$7</f>
        <v>Shop all</v>
      </c>
      <c r="BQ17" s="39" t="str">
        <f>CCModuleCopy!$M$7</f>
        <v>https://www.samsung.com/us/shop/all-deals/tv-and-home-theater-deals/</v>
      </c>
      <c r="BR17"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17" s="39" t="str">
        <f>CCModuleCopy!$O$7</f>
        <v>NULL</v>
      </c>
      <c r="BT17" s="39" t="str">
        <f>CCModuleCopy!$P$7</f>
        <v>NULL</v>
      </c>
      <c r="BU17" s="39" t="str">
        <f>CCModuleCopy!$Q$7</f>
        <v>NULL</v>
      </c>
      <c r="BV17" s="89" t="s">
        <v>266</v>
      </c>
      <c r="BW17" s="39" t="str">
        <f>CCModuleCopy!$B$15</f>
        <v>Tablet-HeadImage-500xV.jpg</v>
      </c>
      <c r="BX17" s="39" t="str">
        <f>CCModuleCopy!$C$15</f>
        <v>Save up to $150 on select tablets</v>
      </c>
      <c r="BY17" s="39" t="str">
        <f>CCModuleCopy!$D$15</f>
        <v>NULL</v>
      </c>
      <c r="BZ17" s="39" t="str">
        <f>CCModuleCopy!$E$15</f>
        <v xml:space="preserve">Empower how you create, learn, game and more with our powerful line of tablets. Shop offers on must-have products from the new Galaxy Tab S7+ to the Galaxy Tab S6 Lite. </v>
      </c>
      <c r="CA17" s="39" t="str">
        <f>CCModuleCopy!$L$15</f>
        <v>Shop all</v>
      </c>
      <c r="CB17" s="39" t="str">
        <f>CCModuleCopy!$M$15</f>
        <v>https://www.samsung.com/us/shop/all-deals/tablets-laptops-computers-deals/</v>
      </c>
      <c r="CC17"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17" s="39" t="str">
        <f>CCModuleCopy!$O$15</f>
        <v>NULL</v>
      </c>
      <c r="CE17" s="39" t="str">
        <f>CCModuleCopy!$P$15</f>
        <v>NULL</v>
      </c>
      <c r="CF17" s="39" t="str">
        <f>CCModuleCopy!$Q$15</f>
        <v>NULL</v>
      </c>
      <c r="CG17" s="89" t="s">
        <v>367</v>
      </c>
      <c r="CH17" s="39" t="str">
        <f>CCModuleCopy!$B$11</f>
        <v>ME_HeadImage_Wearables_500xV.jpg</v>
      </c>
      <c r="CI17" s="39" t="str">
        <f>CCModuleCopy!$C$11</f>
        <v>Get up to $100 off select watches and earbuds</v>
      </c>
      <c r="CJ17" s="39" t="str">
        <f>CCModuleCopy!$D$11</f>
        <v>NULL</v>
      </c>
      <c r="CK1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17" s="39" t="str">
        <f>CCModuleCopy!$L$11</f>
        <v>Shop all</v>
      </c>
      <c r="CM17" s="39" t="str">
        <f>CCModuleCopy!$M$11</f>
        <v>https://www.samsung.com/us/shop/all-deals/tablets-wearables-cell-phone-accessories-deals/</v>
      </c>
      <c r="CN17"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17" s="39" t="str">
        <f>CCModuleCopy!$O$11</f>
        <v>NULL</v>
      </c>
      <c r="CP17" s="39" t="str">
        <f>CCModuleCopy!$P$11</f>
        <v>NULL</v>
      </c>
      <c r="CQ17" s="39" t="str">
        <f>CCModuleCopy!$Q$11</f>
        <v>NULL</v>
      </c>
      <c r="CR17" s="89" t="s">
        <v>368</v>
      </c>
      <c r="CS17" s="39" t="str">
        <f>CCModuleCopy!$B$13</f>
        <v>CE_HeadImage_Computing_500xV.jpg</v>
      </c>
      <c r="CT17" s="39" t="str">
        <f>CCModuleCopy!$C$13</f>
        <v>Get up to 60% off memory cards, SSD, monitors and more</v>
      </c>
      <c r="CU17" s="39" t="str">
        <f>CCModuleCopy!$D$13</f>
        <v>NULL</v>
      </c>
      <c r="CV17" s="39" t="str">
        <f>CCModuleCopy!$E$13</f>
        <v xml:space="preserve">Expand the way you play, store and create and get up to 30% off monitors, up to 60% off memory cards, up to 35% off SSD and more. Work and game smarter, not harder with these must-have computing offers. </v>
      </c>
      <c r="CW17" s="39" t="str">
        <f>CCModuleCopy!$L$13</f>
        <v>Shop all</v>
      </c>
      <c r="CX17" s="39" t="str">
        <f>CCModuleCopy!$M$13</f>
        <v>https://www.samsung.com/us/shop/all-deals/laptop-and-computer-deals/</v>
      </c>
      <c r="CY17"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Z17" s="39" t="str">
        <f>CCModuleCopy!$O$13</f>
        <v>NULL</v>
      </c>
      <c r="DA17" s="39" t="str">
        <f>CCModuleCopy!$P$13</f>
        <v>NULL</v>
      </c>
      <c r="DB17" s="39" t="str">
        <f>CCModuleCopy!$Q$13</f>
        <v>NULL</v>
      </c>
      <c r="DC17" s="89" t="s">
        <v>280</v>
      </c>
      <c r="DD17" s="39" t="str">
        <f>MiscBanners!$H$4</f>
        <v>Give-wonder-500xV.jpg</v>
      </c>
      <c r="DE17" s="39" t="str">
        <f>MiscBanners!$I$4</f>
        <v>The gift that keeps on giving</v>
      </c>
      <c r="DF17" s="39" t="str">
        <f>MiscBanners!$J$4</f>
        <v>NULL</v>
      </c>
      <c r="DG17" s="91" t="str">
        <f>MiscBanners!$K$4</f>
        <v>Discover even more exclusive offers on your favorite products and unlock the power of smart and savvy gifting.</v>
      </c>
      <c r="DH17" s="39" t="str">
        <f>MiscBanners!$L$4</f>
        <v>Shop now</v>
      </c>
      <c r="DI17" s="39" t="str">
        <f>MiscBanners!$M$4</f>
        <v>https://www.samsung.com/us/gift-ideas/</v>
      </c>
      <c r="DJ17"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17" s="39" t="str">
        <f>MiscBanners!$O$4</f>
        <v>NULL</v>
      </c>
      <c r="DL17" s="39" t="str">
        <f>MiscBanners!$P$4</f>
        <v>NULL</v>
      </c>
      <c r="DM17" s="39" t="str">
        <f>MiscBanners!$Q$4</f>
        <v>NULL</v>
      </c>
      <c r="DN17" s="89" t="s">
        <v>273</v>
      </c>
      <c r="DR17" s="91"/>
      <c r="DY17" s="89" t="s">
        <v>481</v>
      </c>
      <c r="DZ17" s="39" t="s">
        <v>394</v>
      </c>
      <c r="EA17" s="39" t="s">
        <v>394</v>
      </c>
      <c r="EB17" s="39" t="s">
        <v>394</v>
      </c>
      <c r="EC17" s="91" t="s">
        <v>482</v>
      </c>
      <c r="ED17" s="39" t="s">
        <v>394</v>
      </c>
      <c r="EE17" s="39" t="s">
        <v>476</v>
      </c>
      <c r="EF17" s="39">
        <v>0</v>
      </c>
      <c r="EG17" s="39" t="s">
        <v>394</v>
      </c>
      <c r="EH17" s="39" t="s">
        <v>394</v>
      </c>
      <c r="EI17" s="39" t="s">
        <v>394</v>
      </c>
      <c r="EJ17" s="89" t="s">
        <v>439</v>
      </c>
      <c r="EK17" s="39" t="s">
        <v>394</v>
      </c>
      <c r="EL17" s="39" t="s">
        <v>394</v>
      </c>
      <c r="EM17" s="39" t="s">
        <v>394</v>
      </c>
      <c r="EN17" s="91" t="s">
        <v>483</v>
      </c>
      <c r="EO17" s="39" t="s">
        <v>394</v>
      </c>
      <c r="EP17" s="39" t="s">
        <v>476</v>
      </c>
      <c r="EQ17" s="39">
        <v>0</v>
      </c>
      <c r="ER17" s="39" t="s">
        <v>394</v>
      </c>
      <c r="ES17" s="39" t="s">
        <v>394</v>
      </c>
      <c r="ET17" s="39" t="s">
        <v>394</v>
      </c>
      <c r="EU17" s="89" t="s">
        <v>441</v>
      </c>
      <c r="EV17" s="39" t="s">
        <v>394</v>
      </c>
      <c r="EW17" s="39" t="s">
        <v>394</v>
      </c>
      <c r="EX17" s="39" t="s">
        <v>394</v>
      </c>
      <c r="EY17" s="91" t="s">
        <v>485</v>
      </c>
      <c r="EZ17" s="39" t="s">
        <v>394</v>
      </c>
      <c r="FA17" s="39">
        <v>0</v>
      </c>
      <c r="FB17" s="39">
        <v>0</v>
      </c>
      <c r="FC17" s="39" t="s">
        <v>394</v>
      </c>
      <c r="FD17" s="39" t="s">
        <v>394</v>
      </c>
      <c r="FE17" s="39" t="s">
        <v>394</v>
      </c>
      <c r="FF17" s="89"/>
      <c r="FJ17" s="91"/>
    </row>
    <row r="18" spans="1:172" s="39" customFormat="1" ht="99.95" customHeight="1" x14ac:dyDescent="0.25">
      <c r="A18" s="39" t="s">
        <v>235</v>
      </c>
      <c r="B18" s="39" t="s">
        <v>236</v>
      </c>
      <c r="C18" s="39" t="s">
        <v>237</v>
      </c>
      <c r="D18" s="39" t="s">
        <v>237</v>
      </c>
      <c r="E18" s="39" t="s">
        <v>382</v>
      </c>
      <c r="G18" s="88" t="s">
        <v>540</v>
      </c>
      <c r="H18" s="88" t="s">
        <v>539</v>
      </c>
      <c r="I18" s="89" t="s">
        <v>381</v>
      </c>
      <c r="J18" s="39" t="str">
        <f>[1]MiscBanners!$G$4</f>
        <v>Cross-Category_Black_Friday_Week_01.jpg</v>
      </c>
      <c r="K18" s="92" t="s">
        <v>392</v>
      </c>
      <c r="L18" s="92" t="s">
        <v>393</v>
      </c>
      <c r="M18" s="39" t="s">
        <v>394</v>
      </c>
      <c r="N18" s="39" t="s">
        <v>394</v>
      </c>
      <c r="O18" s="39" t="str">
        <f>[1]MiscBanners!$B$4</f>
        <v>https://www.samsung.com/us/shop/all-deals/</v>
      </c>
      <c r="P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18" s="39" t="s">
        <v>394</v>
      </c>
      <c r="R18" s="39" t="s">
        <v>394</v>
      </c>
      <c r="S18" s="89" t="s">
        <v>407</v>
      </c>
      <c r="T18" s="39" t="str">
        <f>'Dynamic Banners'!$L$6</f>
        <v>Cyber-monday-3.png</v>
      </c>
      <c r="U18" s="39" t="str">
        <f>'Dynamic Banners'!$M$6</f>
        <v>Cyber Monday is over. But, Cyber Week is still on.</v>
      </c>
      <c r="V18" s="39" t="s">
        <v>394</v>
      </c>
      <c r="W18" s="39" t="str">
        <f>'Dynamic Banners'!$N$6</f>
        <v xml:space="preserve">Shop amazing offers on showstopping products while supplies last. </v>
      </c>
      <c r="X18" s="39" t="s">
        <v>394</v>
      </c>
      <c r="Y18" s="39" t="str">
        <f>[1]MiscBanners!$B$4</f>
        <v>https://www.samsung.com/us/shop/all-deals/</v>
      </c>
      <c r="Z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8" s="39" t="s">
        <v>394</v>
      </c>
      <c r="AB18" s="39" t="s">
        <v>394</v>
      </c>
      <c r="AC18" s="39" t="s">
        <v>394</v>
      </c>
      <c r="AD18" s="89" t="s">
        <v>408</v>
      </c>
      <c r="AE18" s="39" t="s">
        <v>394</v>
      </c>
      <c r="AF18" s="39" t="s">
        <v>394</v>
      </c>
      <c r="AG18" s="7" t="s">
        <v>559</v>
      </c>
      <c r="AH18" s="39" t="s">
        <v>563</v>
      </c>
      <c r="AI18" s="39" t="s">
        <v>394</v>
      </c>
      <c r="AJ18" s="39" t="str">
        <f>[1]MiscBanners!$B$4</f>
        <v>https://www.samsung.com/us/shop/all-deals/</v>
      </c>
      <c r="AK1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8" s="39" t="s">
        <v>394</v>
      </c>
      <c r="AM18" s="39" t="s">
        <v>394</v>
      </c>
      <c r="AN18" s="39" t="s">
        <v>394</v>
      </c>
      <c r="AO18" s="89" t="s">
        <v>267</v>
      </c>
      <c r="AP18" s="39" t="str">
        <f>CCModuleCopy!$B$3</f>
        <v>IM_HeadImage_Shop_Phones_500xV.jpg</v>
      </c>
      <c r="AQ18" s="39" t="str">
        <f>CCModuleCopy!$C$3</f>
        <v>Save up to $1000 instantly on the latest and greatest Galaxy smartphones</v>
      </c>
      <c r="AR18" s="39" t="str">
        <f>CCModuleCopy!$D$3</f>
        <v>NULL</v>
      </c>
      <c r="AS18"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AT18" s="39" t="str">
        <f>CCModuleCopy!$F$3</f>
        <v>Shop all</v>
      </c>
      <c r="AU18" s="39" t="str">
        <f>CCModuleCopy!$G$3</f>
        <v>https://www.samsung.com/us/shop/all-deals/cell-phone-deals/</v>
      </c>
      <c r="AV18"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W18" s="39" t="str">
        <f>CCModuleCopy!$I$3</f>
        <v>NULL</v>
      </c>
      <c r="AX18" s="39" t="str">
        <f>CCModuleCopy!$J$3</f>
        <v>NULL</v>
      </c>
      <c r="AY18" s="39" t="str">
        <f>CCModuleCopy!$K$3</f>
        <v>NULL</v>
      </c>
      <c r="AZ18" s="89" t="s">
        <v>265</v>
      </c>
      <c r="BA18" s="39" t="str">
        <f>CCModuleCopy!$B$7</f>
        <v>HE_HeadImage_Shop_TVs_500xV.jpg</v>
      </c>
      <c r="BB18" s="39" t="str">
        <f>CCModuleCopy!$C$7</f>
        <v>Get up to $3000 off select 8K, 4K and Lifestyle TVs</v>
      </c>
      <c r="BC18" s="39" t="str">
        <f>CCModuleCopy!$D$7</f>
        <v>NULL</v>
      </c>
      <c r="BD1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18" s="39" t="str">
        <f>CCModuleCopy!$F$7</f>
        <v>Shop all</v>
      </c>
      <c r="BF18" s="39" t="str">
        <f>CCModuleCopy!$G$7</f>
        <v>https://www.samsung.com/us/shop/all-deals/tv-and-home-theater-deals/</v>
      </c>
      <c r="BG18"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H18" s="39" t="str">
        <f>CCModuleCopy!$I$7</f>
        <v>NULL</v>
      </c>
      <c r="BI18" s="39" t="str">
        <f>CCModuleCopy!$J$7</f>
        <v>NULL</v>
      </c>
      <c r="BJ18" s="39" t="str">
        <f>CCModuleCopy!$K$7</f>
        <v>NULL</v>
      </c>
      <c r="BK18" s="89" t="s">
        <v>266</v>
      </c>
      <c r="BL18" s="39" t="str">
        <f>CCModuleCopy!$B$15</f>
        <v>Tablet-HeadImage-500xV.jpg</v>
      </c>
      <c r="BM18" s="39" t="str">
        <f>CCModuleCopy!$C$15</f>
        <v>Save up to $150 on select tablets</v>
      </c>
      <c r="BN18" s="39" t="str">
        <f>CCModuleCopy!$D$15</f>
        <v>NULL</v>
      </c>
      <c r="BO18" s="39" t="str">
        <f>CCModuleCopy!$E$15</f>
        <v xml:space="preserve">Empower how you create, learn, game and more with our powerful line of tablets. Shop offers on must-have products from the new Galaxy Tab S7+ to the Galaxy Tab S6 Lite. </v>
      </c>
      <c r="BP18" s="39" t="str">
        <f>CCModuleCopy!$F$15</f>
        <v>Shop all</v>
      </c>
      <c r="BQ18" s="39" t="str">
        <f>CCModuleCopy!$G$15</f>
        <v>https://www.samsung.com/us/shop/all-deals/tablets-laptops-computers-deals/</v>
      </c>
      <c r="BR18"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18" s="39" t="str">
        <f>CCModuleCopy!$I$15</f>
        <v>NULL</v>
      </c>
      <c r="BT18" s="39" t="str">
        <f>CCModuleCopy!$J$15</f>
        <v>NULL</v>
      </c>
      <c r="BU18" s="39" t="str">
        <f>CCModuleCopy!$K$15</f>
        <v>NULL</v>
      </c>
      <c r="BV18" s="89" t="s">
        <v>367</v>
      </c>
      <c r="BW18" s="39" t="str">
        <f>CCModuleCopy!$B$11</f>
        <v>ME_HeadImage_Wearables_500xV.jpg</v>
      </c>
      <c r="BX18" s="39" t="str">
        <f>CCModuleCopy!$C$11</f>
        <v>Get up to $100 off select watches and earbuds</v>
      </c>
      <c r="BY18" s="39" t="str">
        <f>CCModuleCopy!$D$11</f>
        <v>NULL</v>
      </c>
      <c r="BZ1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8" s="39" t="str">
        <f>CCModuleCopy!$F$11</f>
        <v>Shop all</v>
      </c>
      <c r="CB18" s="39" t="str">
        <f>CCModuleCopy!$G$11</f>
        <v>https://www.samsung.com/us/shop/all-deals/watches-audio-accessories-deals/</v>
      </c>
      <c r="CC18"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18" s="39" t="str">
        <f>CCModuleCopy!$I$11</f>
        <v>NULL</v>
      </c>
      <c r="CE18" s="39" t="str">
        <f>CCModuleCopy!$J$11</f>
        <v>NULL</v>
      </c>
      <c r="CF18" s="39" t="str">
        <f>CCModuleCopy!$K$11</f>
        <v>NULL</v>
      </c>
      <c r="CG18" s="89" t="s">
        <v>368</v>
      </c>
      <c r="CH18" s="39" t="str">
        <f>CCModuleCopy!$B$13</f>
        <v>CE_HeadImage_Computing_500xV.jpg</v>
      </c>
      <c r="CI18" s="39" t="str">
        <f>CCModuleCopy!$C$13</f>
        <v>Get up to 60% off memory cards, SSD, monitors and more</v>
      </c>
      <c r="CJ18" s="39" t="str">
        <f>CCModuleCopy!$D$13</f>
        <v>NULL</v>
      </c>
      <c r="CK18" s="39" t="str">
        <f>CCModuleCopy!$E$13</f>
        <v xml:space="preserve">Expand the way you play, store and create and get up to 30% off monitors, up to 60% off memory cards, up to 35% off SSD and more. Work and game smarter, not harder with these must-have computing offers. </v>
      </c>
      <c r="CL18" s="39" t="str">
        <f>CCModuleCopy!$F$13</f>
        <v>Shop all</v>
      </c>
      <c r="CM18" s="39" t="str">
        <f>CCModuleCopy!$G$13</f>
        <v>https://www.samsung.com/us/shop/all-deals/tablets-laptops-computers-deals/</v>
      </c>
      <c r="CN18"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18" s="39" t="str">
        <f>CCModuleCopy!$I$13</f>
        <v>NULL</v>
      </c>
      <c r="CP18" s="39" t="str">
        <f>CCModuleCopy!$J$13</f>
        <v>NULL</v>
      </c>
      <c r="CQ18" s="39" t="str">
        <f>CCModuleCopy!$K$13</f>
        <v>NULL</v>
      </c>
      <c r="CR18" s="89" t="s">
        <v>279</v>
      </c>
      <c r="CS18" s="39" t="str">
        <f>CCModuleCopy!$B$9</f>
        <v>HA_HeadImage_Shop_HA_500xV.jpg</v>
      </c>
      <c r="CT18" s="39" t="str">
        <f>CCModuleCopy!$C$9</f>
        <v>Save up to 50% on everything you need to upgrade your home and home care</v>
      </c>
      <c r="CU18" s="39" t="str">
        <f>CCModuleCopy!$D$9</f>
        <v>NULL</v>
      </c>
      <c r="CV1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8" s="39" t="str">
        <f>CCModuleCopy!$F$9</f>
        <v>Shop all</v>
      </c>
      <c r="CX18" s="39" t="str">
        <f>CCModuleCopy!$G$9</f>
        <v>https://www.samsung.com/us/shop/all-deals/home-appliance-and-smart-home-sales/</v>
      </c>
      <c r="CY18"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8" s="39" t="str">
        <f>CCModuleCopy!$I$9</f>
        <v>NULL</v>
      </c>
      <c r="DA18" s="39" t="str">
        <f>CCModuleCopy!$J$9</f>
        <v>NULL</v>
      </c>
      <c r="DB18" s="39" t="str">
        <f>CCModuleCopy!$K$9</f>
        <v>NULL</v>
      </c>
      <c r="DC18" s="89" t="s">
        <v>280</v>
      </c>
      <c r="DD18" s="39" t="str">
        <f>MiscBanners!$H$4</f>
        <v>Give-wonder-500xV.jpg</v>
      </c>
      <c r="DE18" s="39" t="str">
        <f>MiscBanners!$I$4</f>
        <v>The gift that keeps on giving</v>
      </c>
      <c r="DF18" s="39" t="str">
        <f>MiscBanners!$J$4</f>
        <v>NULL</v>
      </c>
      <c r="DG18" s="91" t="str">
        <f>MiscBanners!$K$4</f>
        <v>Discover even more exclusive offers on your favorite products and unlock the power of smart and savvy gifting.</v>
      </c>
      <c r="DH18" s="39" t="str">
        <f>MiscBanners!$L$4</f>
        <v>Shop now</v>
      </c>
      <c r="DI18" s="39" t="str">
        <f>MiscBanners!$M$4</f>
        <v>https://www.samsung.com/us/gift-ideas/</v>
      </c>
      <c r="DJ18"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8" s="39" t="str">
        <f>MiscBanners!$O$4</f>
        <v>NULL</v>
      </c>
      <c r="DL18" s="39" t="str">
        <f>MiscBanners!$P$4</f>
        <v>NULL</v>
      </c>
      <c r="DM18" s="39" t="str">
        <f>MiscBanners!$Q$4</f>
        <v>NULL</v>
      </c>
      <c r="DN18" s="89" t="s">
        <v>273</v>
      </c>
      <c r="DR18" s="91"/>
      <c r="DY18" s="89" t="s">
        <v>481</v>
      </c>
      <c r="DZ18" s="39" t="s">
        <v>394</v>
      </c>
      <c r="EA18" s="39" t="s">
        <v>394</v>
      </c>
      <c r="EB18" s="39" t="s">
        <v>394</v>
      </c>
      <c r="EC18" s="91" t="s">
        <v>482</v>
      </c>
      <c r="ED18" s="39" t="s">
        <v>394</v>
      </c>
      <c r="EE18" s="39" t="s">
        <v>476</v>
      </c>
      <c r="EF18" s="39">
        <v>0</v>
      </c>
      <c r="EG18" s="39" t="s">
        <v>394</v>
      </c>
      <c r="EH18" s="39" t="s">
        <v>394</v>
      </c>
      <c r="EI18" s="39" t="s">
        <v>394</v>
      </c>
      <c r="EJ18" s="89" t="s">
        <v>439</v>
      </c>
      <c r="EK18" s="39" t="s">
        <v>394</v>
      </c>
      <c r="EL18" s="39" t="s">
        <v>394</v>
      </c>
      <c r="EM18" s="39" t="s">
        <v>394</v>
      </c>
      <c r="EN18" s="91" t="s">
        <v>483</v>
      </c>
      <c r="EO18" s="39" t="s">
        <v>394</v>
      </c>
      <c r="EP18" s="39" t="s">
        <v>476</v>
      </c>
      <c r="EQ18" s="39">
        <v>0</v>
      </c>
      <c r="ER18" s="39" t="s">
        <v>394</v>
      </c>
      <c r="ES18" s="39" t="s">
        <v>394</v>
      </c>
      <c r="ET18" s="39" t="s">
        <v>394</v>
      </c>
      <c r="EU18" s="89" t="s">
        <v>441</v>
      </c>
      <c r="EV18" s="39" t="s">
        <v>394</v>
      </c>
      <c r="EW18" s="39" t="s">
        <v>394</v>
      </c>
      <c r="EX18" s="39" t="s">
        <v>394</v>
      </c>
      <c r="EY18" s="91" t="s">
        <v>484</v>
      </c>
      <c r="EZ18" s="39" t="s">
        <v>394</v>
      </c>
      <c r="FA18" s="39" t="s">
        <v>476</v>
      </c>
      <c r="FB18" s="39">
        <v>0</v>
      </c>
      <c r="FC18" s="39" t="s">
        <v>394</v>
      </c>
      <c r="FD18" s="39" t="s">
        <v>394</v>
      </c>
      <c r="FE18" s="39" t="s">
        <v>394</v>
      </c>
      <c r="FF18" s="89" t="s">
        <v>477</v>
      </c>
      <c r="FG18" s="39" t="s">
        <v>394</v>
      </c>
      <c r="FH18" s="39" t="s">
        <v>394</v>
      </c>
      <c r="FI18" s="39" t="s">
        <v>394</v>
      </c>
      <c r="FJ18" s="91" t="s">
        <v>485</v>
      </c>
      <c r="FK18" s="39" t="s">
        <v>394</v>
      </c>
      <c r="FL18" s="39">
        <v>0</v>
      </c>
      <c r="FM18" s="39">
        <v>0</v>
      </c>
      <c r="FN18" s="39" t="s">
        <v>394</v>
      </c>
      <c r="FO18" s="39" t="s">
        <v>394</v>
      </c>
      <c r="FP18" s="39" t="s">
        <v>394</v>
      </c>
    </row>
    <row r="19" spans="1:172" s="39" customFormat="1" ht="99.95" customHeight="1" x14ac:dyDescent="0.25">
      <c r="A19" s="39" t="s">
        <v>235</v>
      </c>
      <c r="B19" s="39" t="s">
        <v>240</v>
      </c>
      <c r="C19" s="39" t="s">
        <v>237</v>
      </c>
      <c r="D19" s="39" t="s">
        <v>237</v>
      </c>
      <c r="E19" s="39" t="s">
        <v>382</v>
      </c>
      <c r="G19" s="88" t="s">
        <v>540</v>
      </c>
      <c r="H19" s="88" t="s">
        <v>539</v>
      </c>
      <c r="I19" s="89" t="s">
        <v>381</v>
      </c>
      <c r="J19" s="39" t="str">
        <f>[1]MiscBanners!$G$4</f>
        <v>Cross-Category_Black_Friday_Week_01.jpg</v>
      </c>
      <c r="K19" s="92" t="s">
        <v>392</v>
      </c>
      <c r="L19" s="92" t="s">
        <v>393</v>
      </c>
      <c r="M19" s="39" t="s">
        <v>394</v>
      </c>
      <c r="N19" s="39" t="s">
        <v>394</v>
      </c>
      <c r="O19" s="39" t="str">
        <f>[1]MiscBanners!$B$4</f>
        <v>https://www.samsung.com/us/shop/all-deals/</v>
      </c>
      <c r="P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19" s="39" t="s">
        <v>394</v>
      </c>
      <c r="R19" s="39" t="s">
        <v>394</v>
      </c>
      <c r="S19" s="89" t="s">
        <v>407</v>
      </c>
      <c r="T19" s="39" t="str">
        <f>'Dynamic Banners'!$L$6</f>
        <v>Cyber-monday-3.png</v>
      </c>
      <c r="U19" s="39" t="str">
        <f>'Dynamic Banners'!$M$6</f>
        <v>Cyber Monday is over. But, Cyber Week is still on.</v>
      </c>
      <c r="V19" s="39" t="s">
        <v>394</v>
      </c>
      <c r="W19" s="39" t="str">
        <f>'Dynamic Banners'!$N$6</f>
        <v xml:space="preserve">Shop amazing offers on showstopping products while supplies last. </v>
      </c>
      <c r="X19" s="39" t="s">
        <v>394</v>
      </c>
      <c r="Y19" s="39" t="str">
        <f>[1]MiscBanners!$B$4</f>
        <v>https://www.samsung.com/us/shop/all-deals/</v>
      </c>
      <c r="Z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19" s="39" t="s">
        <v>394</v>
      </c>
      <c r="AB19" s="39" t="s">
        <v>394</v>
      </c>
      <c r="AC19" s="39" t="s">
        <v>394</v>
      </c>
      <c r="AD19" s="89" t="s">
        <v>408</v>
      </c>
      <c r="AE19" s="39" t="s">
        <v>394</v>
      </c>
      <c r="AF19" s="39" t="s">
        <v>394</v>
      </c>
      <c r="AG19" s="7" t="s">
        <v>559</v>
      </c>
      <c r="AH19" s="39" t="s">
        <v>561</v>
      </c>
      <c r="AI19" s="39" t="s">
        <v>394</v>
      </c>
      <c r="AJ19" s="39" t="str">
        <f>[1]MiscBanners!$B$4</f>
        <v>https://www.samsung.com/us/shop/all-deals/</v>
      </c>
      <c r="AK1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19" s="39" t="s">
        <v>394</v>
      </c>
      <c r="AM19" s="39" t="s">
        <v>394</v>
      </c>
      <c r="AN19" s="39" t="s">
        <v>394</v>
      </c>
      <c r="AO19" s="89" t="s">
        <v>265</v>
      </c>
      <c r="AP19" s="39" t="str">
        <f>CCModuleCopy!$B$7</f>
        <v>HE_HeadImage_Shop_TVs_500xV.jpg</v>
      </c>
      <c r="AQ19" s="39" t="str">
        <f>CCModuleCopy!$C$7</f>
        <v>Get up to $3000 off select 8K, 4K and Lifestyle TVs</v>
      </c>
      <c r="AR19" s="39" t="str">
        <f>CCModuleCopy!$D$7</f>
        <v>NULL</v>
      </c>
      <c r="AS1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19" s="39" t="str">
        <f>CCModuleCopy!$F$7</f>
        <v>Shop all</v>
      </c>
      <c r="AU19" s="39" t="str">
        <f>CCModuleCopy!$G$7</f>
        <v>https://www.samsung.com/us/shop/all-deals/tv-and-home-theater-deals/</v>
      </c>
      <c r="AV19"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AW19" s="39" t="str">
        <f>CCModuleCopy!$I$7</f>
        <v>NULL</v>
      </c>
      <c r="AX19" s="39" t="str">
        <f>CCModuleCopy!$J$7</f>
        <v>NULL</v>
      </c>
      <c r="AY19" s="39" t="str">
        <f>CCModuleCopy!$K$7</f>
        <v>NULL</v>
      </c>
      <c r="AZ19" s="89" t="s">
        <v>267</v>
      </c>
      <c r="BA19" s="39" t="str">
        <f>CCModuleCopy!$B$3</f>
        <v>IM_HeadImage_Shop_Phones_500xV.jpg</v>
      </c>
      <c r="BB19" s="39" t="str">
        <f>CCModuleCopy!$C$3</f>
        <v>Save up to $1000 instantly on the latest and greatest Galaxy smartphones</v>
      </c>
      <c r="BC19" s="39" t="str">
        <f>CCModuleCopy!$D$3</f>
        <v>NULL</v>
      </c>
      <c r="BD19"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19" s="39" t="str">
        <f>CCModuleCopy!$F$3</f>
        <v>Shop all</v>
      </c>
      <c r="BF19" s="39" t="str">
        <f>CCModuleCopy!$G$3</f>
        <v>https://www.samsung.com/us/shop/all-deals/cell-phone-deals/</v>
      </c>
      <c r="BG19"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19" s="39" t="str">
        <f>CCModuleCopy!$I$3</f>
        <v>NULL</v>
      </c>
      <c r="BI19" s="39" t="str">
        <f>CCModuleCopy!$J$3</f>
        <v>NULL</v>
      </c>
      <c r="BJ19" s="39" t="str">
        <f>CCModuleCopy!$K$3</f>
        <v>NULL</v>
      </c>
      <c r="BK19" s="89" t="s">
        <v>266</v>
      </c>
      <c r="BL19" s="39" t="str">
        <f>CCModuleCopy!$B$15</f>
        <v>Tablet-HeadImage-500xV.jpg</v>
      </c>
      <c r="BM19" s="39" t="str">
        <f>CCModuleCopy!$C$15</f>
        <v>Save up to $150 on select tablets</v>
      </c>
      <c r="BN19" s="39" t="str">
        <f>CCModuleCopy!$D$15</f>
        <v>NULL</v>
      </c>
      <c r="BO19" s="39" t="str">
        <f>CCModuleCopy!$E$15</f>
        <v xml:space="preserve">Empower how you create, learn, game and more with our powerful line of tablets. Shop offers on must-have products from the new Galaxy Tab S7+ to the Galaxy Tab S6 Lite. </v>
      </c>
      <c r="BP19" s="39" t="str">
        <f>CCModuleCopy!$F$15</f>
        <v>Shop all</v>
      </c>
      <c r="BQ19" s="39" t="str">
        <f>CCModuleCopy!$G$15</f>
        <v>https://www.samsung.com/us/shop/all-deals/tablets-laptops-computers-deals/</v>
      </c>
      <c r="BR19"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S19" s="39" t="str">
        <f>CCModuleCopy!$I$15</f>
        <v>NULL</v>
      </c>
      <c r="BT19" s="39" t="str">
        <f>CCModuleCopy!$J$15</f>
        <v>NULL</v>
      </c>
      <c r="BU19" s="39" t="str">
        <f>CCModuleCopy!$K$15</f>
        <v>NULL</v>
      </c>
      <c r="BV19" s="89" t="s">
        <v>367</v>
      </c>
      <c r="BW19" s="39" t="str">
        <f>CCModuleCopy!$B$11</f>
        <v>ME_HeadImage_Wearables_500xV.jpg</v>
      </c>
      <c r="BX19" s="39" t="str">
        <f>CCModuleCopy!$C$11</f>
        <v>Get up to $100 off select watches and earbuds</v>
      </c>
      <c r="BY19" s="39" t="str">
        <f>CCModuleCopy!$D$11</f>
        <v>NULL</v>
      </c>
      <c r="BZ1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19" s="39" t="str">
        <f>CCModuleCopy!$F$11</f>
        <v>Shop all</v>
      </c>
      <c r="CB19" s="39" t="str">
        <f>CCModuleCopy!$G$11</f>
        <v>https://www.samsung.com/us/shop/all-deals/watches-audio-accessories-deals/</v>
      </c>
      <c r="CC19"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19" s="39" t="str">
        <f>CCModuleCopy!$I$11</f>
        <v>NULL</v>
      </c>
      <c r="CE19" s="39" t="str">
        <f>CCModuleCopy!$J$11</f>
        <v>NULL</v>
      </c>
      <c r="CF19" s="39" t="str">
        <f>CCModuleCopy!$K$11</f>
        <v>NULL</v>
      </c>
      <c r="CG19" s="89" t="s">
        <v>368</v>
      </c>
      <c r="CH19" s="39" t="str">
        <f>CCModuleCopy!$B$13</f>
        <v>CE_HeadImage_Computing_500xV.jpg</v>
      </c>
      <c r="CI19" s="39" t="str">
        <f>CCModuleCopy!$C$13</f>
        <v>Get up to 60% off memory cards, SSD, monitors and more</v>
      </c>
      <c r="CJ19" s="39" t="str">
        <f>CCModuleCopy!$D$13</f>
        <v>NULL</v>
      </c>
      <c r="CK19" s="39" t="str">
        <f>CCModuleCopy!$E$13</f>
        <v xml:space="preserve">Expand the way you play, store and create and get up to 30% off monitors, up to 60% off memory cards, up to 35% off SSD and more. Work and game smarter, not harder with these must-have computing offers. </v>
      </c>
      <c r="CL19" s="39" t="str">
        <f>CCModuleCopy!$F$13</f>
        <v>Shop all</v>
      </c>
      <c r="CM19" s="39" t="str">
        <f>CCModuleCopy!$G$13</f>
        <v>https://www.samsung.com/us/shop/all-deals/tablets-laptops-computers-deals/</v>
      </c>
      <c r="CN19"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19" s="39" t="str">
        <f>CCModuleCopy!$I$13</f>
        <v>NULL</v>
      </c>
      <c r="CP19" s="39" t="str">
        <f>CCModuleCopy!$J$13</f>
        <v>NULL</v>
      </c>
      <c r="CQ19" s="39" t="str">
        <f>CCModuleCopy!$K$13</f>
        <v>NULL</v>
      </c>
      <c r="CR19" s="89" t="s">
        <v>279</v>
      </c>
      <c r="CS19" s="39" t="str">
        <f>CCModuleCopy!$B$9</f>
        <v>HA_HeadImage_Shop_HA_500xV.jpg</v>
      </c>
      <c r="CT19" s="39" t="str">
        <f>CCModuleCopy!$C$9</f>
        <v>Save up to 50% on everything you need to upgrade your home and home care</v>
      </c>
      <c r="CU19" s="39" t="str">
        <f>CCModuleCopy!$D$9</f>
        <v>NULL</v>
      </c>
      <c r="CV1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19" s="39" t="str">
        <f>CCModuleCopy!$F$9</f>
        <v>Shop all</v>
      </c>
      <c r="CX19" s="39" t="str">
        <f>CCModuleCopy!$G$9</f>
        <v>https://www.samsung.com/us/shop/all-deals/home-appliance-and-smart-home-sales/</v>
      </c>
      <c r="CY19"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19" s="39" t="str">
        <f>CCModuleCopy!$I$9</f>
        <v>NULL</v>
      </c>
      <c r="DA19" s="39" t="str">
        <f>CCModuleCopy!$J$9</f>
        <v>NULL</v>
      </c>
      <c r="DB19" s="39" t="str">
        <f>CCModuleCopy!$K$9</f>
        <v>NULL</v>
      </c>
      <c r="DC19" s="89" t="s">
        <v>280</v>
      </c>
      <c r="DD19" s="39" t="str">
        <f>MiscBanners!$H$4</f>
        <v>Give-wonder-500xV.jpg</v>
      </c>
      <c r="DE19" s="39" t="str">
        <f>MiscBanners!$I$4</f>
        <v>The gift that keeps on giving</v>
      </c>
      <c r="DF19" s="39" t="str">
        <f>MiscBanners!$J$4</f>
        <v>NULL</v>
      </c>
      <c r="DG19" s="91" t="str">
        <f>MiscBanners!$K$4</f>
        <v>Discover even more exclusive offers on your favorite products and unlock the power of smart and savvy gifting.</v>
      </c>
      <c r="DH19" s="39" t="str">
        <f>MiscBanners!$L$4</f>
        <v>Shop now</v>
      </c>
      <c r="DI19" s="39" t="str">
        <f>MiscBanners!$M$4</f>
        <v>https://www.samsung.com/us/gift-ideas/</v>
      </c>
      <c r="DJ19"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19" s="39" t="str">
        <f>MiscBanners!$O$4</f>
        <v>NULL</v>
      </c>
      <c r="DL19" s="39" t="str">
        <f>MiscBanners!$P$4</f>
        <v>NULL</v>
      </c>
      <c r="DM19" s="39" t="str">
        <f>MiscBanners!$Q$4</f>
        <v>NULL</v>
      </c>
      <c r="DN19" s="89" t="s">
        <v>273</v>
      </c>
      <c r="DR19" s="91"/>
      <c r="DY19" s="89" t="s">
        <v>481</v>
      </c>
      <c r="DZ19" s="39" t="s">
        <v>394</v>
      </c>
      <c r="EA19" s="39" t="s">
        <v>394</v>
      </c>
      <c r="EB19" s="39" t="s">
        <v>394</v>
      </c>
      <c r="EC19" s="91" t="s">
        <v>482</v>
      </c>
      <c r="ED19" s="39" t="s">
        <v>394</v>
      </c>
      <c r="EE19" s="39" t="s">
        <v>476</v>
      </c>
      <c r="EF19" s="39">
        <v>0</v>
      </c>
      <c r="EG19" s="39" t="s">
        <v>394</v>
      </c>
      <c r="EH19" s="39" t="s">
        <v>394</v>
      </c>
      <c r="EI19" s="39" t="s">
        <v>394</v>
      </c>
      <c r="EJ19" s="89" t="s">
        <v>439</v>
      </c>
      <c r="EK19" s="39" t="s">
        <v>394</v>
      </c>
      <c r="EL19" s="39" t="s">
        <v>394</v>
      </c>
      <c r="EM19" s="39" t="s">
        <v>394</v>
      </c>
      <c r="EN19" s="91" t="s">
        <v>483</v>
      </c>
      <c r="EO19" s="39" t="s">
        <v>394</v>
      </c>
      <c r="EP19" s="39" t="s">
        <v>476</v>
      </c>
      <c r="EQ19" s="39">
        <v>0</v>
      </c>
      <c r="ER19" s="39" t="s">
        <v>394</v>
      </c>
      <c r="ES19" s="39" t="s">
        <v>394</v>
      </c>
      <c r="ET19" s="39" t="s">
        <v>394</v>
      </c>
      <c r="EU19" s="89" t="s">
        <v>441</v>
      </c>
      <c r="EV19" s="39" t="s">
        <v>394</v>
      </c>
      <c r="EW19" s="39" t="s">
        <v>394</v>
      </c>
      <c r="EX19" s="39" t="s">
        <v>394</v>
      </c>
      <c r="EY19" s="91" t="s">
        <v>484</v>
      </c>
      <c r="EZ19" s="39" t="s">
        <v>394</v>
      </c>
      <c r="FA19" s="39" t="s">
        <v>476</v>
      </c>
      <c r="FB19" s="39">
        <v>0</v>
      </c>
      <c r="FC19" s="39" t="s">
        <v>394</v>
      </c>
      <c r="FD19" s="39" t="s">
        <v>394</v>
      </c>
      <c r="FE19" s="39" t="s">
        <v>394</v>
      </c>
      <c r="FF19" s="89" t="s">
        <v>477</v>
      </c>
      <c r="FG19" s="39" t="s">
        <v>394</v>
      </c>
      <c r="FH19" s="39" t="s">
        <v>394</v>
      </c>
      <c r="FI19" s="39" t="s">
        <v>394</v>
      </c>
      <c r="FJ19" s="91" t="s">
        <v>485</v>
      </c>
      <c r="FK19" s="39" t="s">
        <v>394</v>
      </c>
      <c r="FL19" s="39">
        <v>0</v>
      </c>
      <c r="FM19" s="39">
        <v>0</v>
      </c>
      <c r="FN19" s="39" t="s">
        <v>394</v>
      </c>
      <c r="FO19" s="39" t="s">
        <v>394</v>
      </c>
      <c r="FP19" s="39" t="s">
        <v>394</v>
      </c>
    </row>
    <row r="20" spans="1:172" s="39" customFormat="1" ht="99.95" customHeight="1" x14ac:dyDescent="0.25">
      <c r="A20" s="39" t="s">
        <v>235</v>
      </c>
      <c r="B20" s="92" t="s">
        <v>241</v>
      </c>
      <c r="C20" s="39" t="s">
        <v>237</v>
      </c>
      <c r="D20" s="39" t="s">
        <v>237</v>
      </c>
      <c r="E20" s="39" t="s">
        <v>382</v>
      </c>
      <c r="G20" s="88" t="s">
        <v>540</v>
      </c>
      <c r="H20" s="88" t="s">
        <v>539</v>
      </c>
      <c r="I20" s="89" t="s">
        <v>381</v>
      </c>
      <c r="J20" s="39" t="str">
        <f>[1]MiscBanners!$G$4</f>
        <v>Cross-Category_Black_Friday_Week_01.jpg</v>
      </c>
      <c r="K20" s="92" t="s">
        <v>392</v>
      </c>
      <c r="L20" s="92" t="s">
        <v>393</v>
      </c>
      <c r="M20" s="39" t="s">
        <v>394</v>
      </c>
      <c r="N20" s="39" t="s">
        <v>394</v>
      </c>
      <c r="O20" s="39" t="str">
        <f>[1]MiscBanners!$B$4</f>
        <v>https://www.samsung.com/us/shop/all-deals/</v>
      </c>
      <c r="P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0" s="39" t="s">
        <v>394</v>
      </c>
      <c r="R20" s="39" t="s">
        <v>394</v>
      </c>
      <c r="S20" s="89" t="s">
        <v>407</v>
      </c>
      <c r="T20" s="39" t="str">
        <f>'Dynamic Banners'!$L$6</f>
        <v>Cyber-monday-3.png</v>
      </c>
      <c r="U20" s="39" t="str">
        <f>'Dynamic Banners'!$M$6</f>
        <v>Cyber Monday is over. But, Cyber Week is still on.</v>
      </c>
      <c r="V20" s="39" t="s">
        <v>394</v>
      </c>
      <c r="W20" s="39" t="str">
        <f>'Dynamic Banners'!$N$6</f>
        <v xml:space="preserve">Shop amazing offers on showstopping products while supplies last. </v>
      </c>
      <c r="X20" s="39" t="s">
        <v>394</v>
      </c>
      <c r="Y20" s="39" t="str">
        <f>[1]MiscBanners!$B$4</f>
        <v>https://www.samsung.com/us/shop/all-deals/</v>
      </c>
      <c r="Z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0" s="39" t="s">
        <v>394</v>
      </c>
      <c r="AB20" s="39" t="s">
        <v>394</v>
      </c>
      <c r="AC20" s="39" t="s">
        <v>394</v>
      </c>
      <c r="AD20" s="89" t="s">
        <v>408</v>
      </c>
      <c r="AE20" s="39" t="s">
        <v>394</v>
      </c>
      <c r="AF20" s="39" t="s">
        <v>394</v>
      </c>
      <c r="AG20" s="7" t="s">
        <v>559</v>
      </c>
      <c r="AH20" s="39" t="s">
        <v>561</v>
      </c>
      <c r="AI20" s="39" t="s">
        <v>394</v>
      </c>
      <c r="AJ20" s="39" t="str">
        <f>[1]MiscBanners!$B$4</f>
        <v>https://www.samsung.com/us/shop/all-deals/</v>
      </c>
      <c r="AK20"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0" s="39" t="s">
        <v>394</v>
      </c>
      <c r="AM20" s="39" t="s">
        <v>394</v>
      </c>
      <c r="AN20" s="39" t="s">
        <v>394</v>
      </c>
      <c r="AO20" s="89" t="s">
        <v>266</v>
      </c>
      <c r="AP20" s="39" t="str">
        <f>CCModuleCopy!$B$15</f>
        <v>Tablet-HeadImage-500xV.jpg</v>
      </c>
      <c r="AQ20" s="39" t="str">
        <f>CCModuleCopy!$C$15</f>
        <v>Save up to $150 on select tablets</v>
      </c>
      <c r="AR20" s="39" t="str">
        <f>CCModuleCopy!$D$15</f>
        <v>NULL</v>
      </c>
      <c r="AS20" s="39" t="str">
        <f>CCModuleCopy!$E$15</f>
        <v xml:space="preserve">Empower how you create, learn, game and more with our powerful line of tablets. Shop offers on must-have products from the new Galaxy Tab S7+ to the Galaxy Tab S6 Lite. </v>
      </c>
      <c r="AT20" s="39" t="str">
        <f>CCModuleCopy!$F$15</f>
        <v>Shop all</v>
      </c>
      <c r="AU20" s="39" t="str">
        <f>CCModuleCopy!$G$15</f>
        <v>https://www.samsung.com/us/shop/all-deals/tablets-laptops-computers-deals/</v>
      </c>
      <c r="AV20" s="39"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W20" s="39" t="str">
        <f>CCModuleCopy!$I$15</f>
        <v>NULL</v>
      </c>
      <c r="AX20" s="39" t="str">
        <f>CCModuleCopy!$J$15</f>
        <v>NULL</v>
      </c>
      <c r="AY20" s="39" t="str">
        <f>CCModuleCopy!$K$15</f>
        <v>NULL</v>
      </c>
      <c r="AZ20" s="89" t="s">
        <v>267</v>
      </c>
      <c r="BA20" s="39" t="str">
        <f>CCModuleCopy!$B$3</f>
        <v>IM_HeadImage_Shop_Phones_500xV.jpg</v>
      </c>
      <c r="BB20" s="39" t="str">
        <f>CCModuleCopy!$C$3</f>
        <v>Save up to $1000 instantly on the latest and greatest Galaxy smartphones</v>
      </c>
      <c r="BC20" s="39" t="str">
        <f>CCModuleCopy!$D$3</f>
        <v>NULL</v>
      </c>
      <c r="BD20"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0" s="39" t="str">
        <f>CCModuleCopy!$F$3</f>
        <v>Shop all</v>
      </c>
      <c r="BF20" s="39" t="str">
        <f>CCModuleCopy!$G$3</f>
        <v>https://www.samsung.com/us/shop/all-deals/cell-phone-deals/</v>
      </c>
      <c r="BG20"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0" s="39" t="str">
        <f>CCModuleCopy!$I$3</f>
        <v>NULL</v>
      </c>
      <c r="BI20" s="39" t="str">
        <f>CCModuleCopy!$J$3</f>
        <v>NULL</v>
      </c>
      <c r="BJ20" s="39" t="str">
        <f>CCModuleCopy!$K$3</f>
        <v>NULL</v>
      </c>
      <c r="BK20" s="89" t="s">
        <v>265</v>
      </c>
      <c r="BL20" s="39" t="str">
        <f>CCModuleCopy!$B$7</f>
        <v>HE_HeadImage_Shop_TVs_500xV.jpg</v>
      </c>
      <c r="BM20" s="39" t="str">
        <f>CCModuleCopy!$C$7</f>
        <v>Get up to $3000 off select 8K, 4K and Lifestyle TVs</v>
      </c>
      <c r="BN20" s="39" t="str">
        <f>CCModuleCopy!$D$7</f>
        <v>NULL</v>
      </c>
      <c r="BO20"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0" s="39" t="str">
        <f>CCModuleCopy!$F$7</f>
        <v>Shop all</v>
      </c>
      <c r="BQ20" s="39" t="str">
        <f>CCModuleCopy!$G$7</f>
        <v>https://www.samsung.com/us/shop/all-deals/tv-and-home-theater-deals/</v>
      </c>
      <c r="BR20"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0" s="39" t="str">
        <f>CCModuleCopy!$I$7</f>
        <v>NULL</v>
      </c>
      <c r="BT20" s="39" t="str">
        <f>CCModuleCopy!$J$7</f>
        <v>NULL</v>
      </c>
      <c r="BU20" s="39" t="str">
        <f>CCModuleCopy!$K$7</f>
        <v>NULL</v>
      </c>
      <c r="BV20" s="89" t="s">
        <v>367</v>
      </c>
      <c r="BW20" s="39" t="str">
        <f>CCModuleCopy!$B$11</f>
        <v>ME_HeadImage_Wearables_500xV.jpg</v>
      </c>
      <c r="BX20" s="39" t="str">
        <f>CCModuleCopy!$C$11</f>
        <v>Get up to $100 off select watches and earbuds</v>
      </c>
      <c r="BY20" s="39" t="str">
        <f>CCModuleCopy!$D$11</f>
        <v>NULL</v>
      </c>
      <c r="BZ20"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0" s="39" t="str">
        <f>CCModuleCopy!$F$11</f>
        <v>Shop all</v>
      </c>
      <c r="CB20" s="39" t="str">
        <f>CCModuleCopy!$G$11</f>
        <v>https://www.samsung.com/us/shop/all-deals/watches-audio-accessories-deals/</v>
      </c>
      <c r="CC20" s="91"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D20" s="39" t="str">
        <f>CCModuleCopy!$I$11</f>
        <v>NULL</v>
      </c>
      <c r="CE20" s="39" t="str">
        <f>CCModuleCopy!$J$11</f>
        <v>NULL</v>
      </c>
      <c r="CF20" s="39" t="str">
        <f>CCModuleCopy!$K$11</f>
        <v>NULL</v>
      </c>
      <c r="CG20" s="89" t="s">
        <v>368</v>
      </c>
      <c r="CH20" s="39" t="str">
        <f>CCModuleCopy!$B$13</f>
        <v>CE_HeadImage_Computing_500xV.jpg</v>
      </c>
      <c r="CI20" s="39" t="str">
        <f>CCModuleCopy!$C$13</f>
        <v>Get up to 60% off memory cards, SSD, monitors and more</v>
      </c>
      <c r="CJ20" s="39" t="str">
        <f>CCModuleCopy!$D$13</f>
        <v>NULL</v>
      </c>
      <c r="CK20" s="39" t="str">
        <f>CCModuleCopy!$E$13</f>
        <v xml:space="preserve">Expand the way you play, store and create and get up to 30% off monitors, up to 60% off memory cards, up to 35% off SSD and more. Work and game smarter, not harder with these must-have computing offers. </v>
      </c>
      <c r="CL20" s="39" t="str">
        <f>CCModuleCopy!$F$13</f>
        <v>Shop all</v>
      </c>
      <c r="CM20" s="39" t="str">
        <f>CCModuleCopy!$G$13</f>
        <v>https://www.samsung.com/us/shop/all-deals/tablets-laptops-computers-deals/</v>
      </c>
      <c r="CN20"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20" s="39" t="str">
        <f>CCModuleCopy!$I$13</f>
        <v>NULL</v>
      </c>
      <c r="CP20" s="39" t="str">
        <f>CCModuleCopy!$J$13</f>
        <v>NULL</v>
      </c>
      <c r="CQ20" s="39" t="str">
        <f>CCModuleCopy!$K$13</f>
        <v>NULL</v>
      </c>
      <c r="CR20" s="89" t="s">
        <v>279</v>
      </c>
      <c r="CS20" s="39" t="str">
        <f>CCModuleCopy!$B$9</f>
        <v>HA_HeadImage_Shop_HA_500xV.jpg</v>
      </c>
      <c r="CT20" s="39" t="str">
        <f>CCModuleCopy!$C$9</f>
        <v>Save up to 50% on everything you need to upgrade your home and home care</v>
      </c>
      <c r="CU20" s="39" t="str">
        <f>CCModuleCopy!$D$9</f>
        <v>NULL</v>
      </c>
      <c r="CV20"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0" s="39" t="str">
        <f>CCModuleCopy!$F$9</f>
        <v>Shop all</v>
      </c>
      <c r="CX20" s="39" t="str">
        <f>CCModuleCopy!$G$9</f>
        <v>https://www.samsung.com/us/shop/all-deals/home-appliance-and-smart-home-sales/</v>
      </c>
      <c r="CY20"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0" s="39" t="str">
        <f>CCModuleCopy!$I$9</f>
        <v>NULL</v>
      </c>
      <c r="DA20" s="39" t="str">
        <f>CCModuleCopy!$J$9</f>
        <v>NULL</v>
      </c>
      <c r="DB20" s="39" t="str">
        <f>CCModuleCopy!$K$9</f>
        <v>NULL</v>
      </c>
      <c r="DC20" s="89" t="s">
        <v>280</v>
      </c>
      <c r="DD20" s="39" t="str">
        <f>MiscBanners!$H$4</f>
        <v>Give-wonder-500xV.jpg</v>
      </c>
      <c r="DE20" s="39" t="str">
        <f>MiscBanners!$I$4</f>
        <v>The gift that keeps on giving</v>
      </c>
      <c r="DF20" s="39" t="str">
        <f>MiscBanners!$J$4</f>
        <v>NULL</v>
      </c>
      <c r="DG20" s="91" t="str">
        <f>MiscBanners!$K$4</f>
        <v>Discover even more exclusive offers on your favorite products and unlock the power of smart and savvy gifting.</v>
      </c>
      <c r="DH20" s="39" t="str">
        <f>MiscBanners!$L$4</f>
        <v>Shop now</v>
      </c>
      <c r="DI20" s="39" t="str">
        <f>MiscBanners!$M$4</f>
        <v>https://www.samsung.com/us/gift-ideas/</v>
      </c>
      <c r="DJ20"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0" s="39" t="str">
        <f>MiscBanners!$O$4</f>
        <v>NULL</v>
      </c>
      <c r="DL20" s="39" t="str">
        <f>MiscBanners!$P$4</f>
        <v>NULL</v>
      </c>
      <c r="DM20" s="39" t="str">
        <f>MiscBanners!$Q$4</f>
        <v>NULL</v>
      </c>
      <c r="DN20" s="89" t="s">
        <v>273</v>
      </c>
      <c r="DR20" s="91"/>
      <c r="DY20" s="89" t="s">
        <v>481</v>
      </c>
      <c r="DZ20" s="39" t="s">
        <v>394</v>
      </c>
      <c r="EA20" s="39" t="s">
        <v>394</v>
      </c>
      <c r="EB20" s="39" t="s">
        <v>394</v>
      </c>
      <c r="EC20" s="91" t="s">
        <v>482</v>
      </c>
      <c r="ED20" s="39" t="s">
        <v>394</v>
      </c>
      <c r="EE20" s="39" t="s">
        <v>476</v>
      </c>
      <c r="EF20" s="39">
        <v>0</v>
      </c>
      <c r="EG20" s="39" t="s">
        <v>394</v>
      </c>
      <c r="EH20" s="39" t="s">
        <v>394</v>
      </c>
      <c r="EI20" s="39" t="s">
        <v>394</v>
      </c>
      <c r="EJ20" s="89" t="s">
        <v>439</v>
      </c>
      <c r="EK20" s="39" t="s">
        <v>394</v>
      </c>
      <c r="EL20" s="39" t="s">
        <v>394</v>
      </c>
      <c r="EM20" s="39" t="s">
        <v>394</v>
      </c>
      <c r="EN20" s="91" t="s">
        <v>483</v>
      </c>
      <c r="EO20" s="39" t="s">
        <v>394</v>
      </c>
      <c r="EP20" s="39" t="s">
        <v>476</v>
      </c>
      <c r="EQ20" s="39">
        <v>0</v>
      </c>
      <c r="ER20" s="39" t="s">
        <v>394</v>
      </c>
      <c r="ES20" s="39" t="s">
        <v>394</v>
      </c>
      <c r="ET20" s="39" t="s">
        <v>394</v>
      </c>
      <c r="EU20" s="89" t="s">
        <v>441</v>
      </c>
      <c r="EV20" s="39" t="s">
        <v>394</v>
      </c>
      <c r="EW20" s="39" t="s">
        <v>394</v>
      </c>
      <c r="EX20" s="39" t="s">
        <v>394</v>
      </c>
      <c r="EY20" s="91" t="s">
        <v>484</v>
      </c>
      <c r="EZ20" s="39" t="s">
        <v>394</v>
      </c>
      <c r="FA20" s="39" t="s">
        <v>476</v>
      </c>
      <c r="FB20" s="39">
        <v>0</v>
      </c>
      <c r="FC20" s="39" t="s">
        <v>394</v>
      </c>
      <c r="FD20" s="39" t="s">
        <v>394</v>
      </c>
      <c r="FE20" s="39" t="s">
        <v>394</v>
      </c>
      <c r="FF20" s="89" t="s">
        <v>477</v>
      </c>
      <c r="FG20" s="39" t="s">
        <v>394</v>
      </c>
      <c r="FH20" s="39" t="s">
        <v>394</v>
      </c>
      <c r="FI20" s="39" t="s">
        <v>394</v>
      </c>
      <c r="FJ20" s="91" t="s">
        <v>485</v>
      </c>
      <c r="FK20" s="39" t="s">
        <v>394</v>
      </c>
      <c r="FL20" s="39">
        <v>0</v>
      </c>
      <c r="FM20" s="39">
        <v>0</v>
      </c>
      <c r="FN20" s="39" t="s">
        <v>394</v>
      </c>
      <c r="FO20" s="39" t="s">
        <v>394</v>
      </c>
      <c r="FP20" s="39" t="s">
        <v>394</v>
      </c>
    </row>
    <row r="21" spans="1:172" s="39" customFormat="1" ht="99.95" customHeight="1" x14ac:dyDescent="0.25">
      <c r="A21" s="39" t="s">
        <v>235</v>
      </c>
      <c r="B21" s="39" t="s">
        <v>264</v>
      </c>
      <c r="C21" s="39" t="s">
        <v>237</v>
      </c>
      <c r="D21" s="39" t="s">
        <v>237</v>
      </c>
      <c r="E21" s="39" t="s">
        <v>382</v>
      </c>
      <c r="G21" s="88" t="s">
        <v>540</v>
      </c>
      <c r="H21" s="88" t="s">
        <v>539</v>
      </c>
      <c r="I21" s="89" t="s">
        <v>381</v>
      </c>
      <c r="J21" s="39" t="str">
        <f>[1]MiscBanners!$G$4</f>
        <v>Cross-Category_Black_Friday_Week_01.jpg</v>
      </c>
      <c r="K21" s="92" t="s">
        <v>392</v>
      </c>
      <c r="L21" s="92" t="s">
        <v>393</v>
      </c>
      <c r="M21" s="39" t="s">
        <v>394</v>
      </c>
      <c r="N21" s="39" t="s">
        <v>394</v>
      </c>
      <c r="O21" s="39" t="str">
        <f>[1]MiscBanners!$B$4</f>
        <v>https://www.samsung.com/us/shop/all-deals/</v>
      </c>
      <c r="P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1" s="39" t="s">
        <v>394</v>
      </c>
      <c r="R21" s="39" t="s">
        <v>394</v>
      </c>
      <c r="S21" s="89" t="s">
        <v>407</v>
      </c>
      <c r="T21" s="39" t="str">
        <f>'Dynamic Banners'!$L$6</f>
        <v>Cyber-monday-3.png</v>
      </c>
      <c r="U21" s="39" t="str">
        <f>'Dynamic Banners'!$M$6</f>
        <v>Cyber Monday is over. But, Cyber Week is still on.</v>
      </c>
      <c r="V21" s="39" t="s">
        <v>394</v>
      </c>
      <c r="W21" s="39" t="str">
        <f>'Dynamic Banners'!$N$6</f>
        <v xml:space="preserve">Shop amazing offers on showstopping products while supplies last. </v>
      </c>
      <c r="X21" s="39" t="s">
        <v>394</v>
      </c>
      <c r="Y21" s="39" t="str">
        <f>[1]MiscBanners!$B$4</f>
        <v>https://www.samsung.com/us/shop/all-deals/</v>
      </c>
      <c r="Z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1" s="39" t="s">
        <v>394</v>
      </c>
      <c r="AB21" s="39" t="s">
        <v>394</v>
      </c>
      <c r="AC21" s="39" t="s">
        <v>394</v>
      </c>
      <c r="AD21" s="89" t="s">
        <v>408</v>
      </c>
      <c r="AE21" s="39" t="s">
        <v>394</v>
      </c>
      <c r="AF21" s="39" t="s">
        <v>394</v>
      </c>
      <c r="AG21" s="7" t="s">
        <v>559</v>
      </c>
      <c r="AH21" s="39" t="s">
        <v>561</v>
      </c>
      <c r="AI21" s="39" t="s">
        <v>394</v>
      </c>
      <c r="AJ21" s="39" t="str">
        <f>[1]MiscBanners!$B$4</f>
        <v>https://www.samsung.com/us/shop/all-deals/</v>
      </c>
      <c r="AK21"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1" s="39" t="s">
        <v>394</v>
      </c>
      <c r="AM21" s="39" t="s">
        <v>394</v>
      </c>
      <c r="AN21" s="39" t="s">
        <v>394</v>
      </c>
      <c r="AO21" s="89" t="s">
        <v>367</v>
      </c>
      <c r="AP21" s="39" t="str">
        <f>CCModuleCopy!$B$11</f>
        <v>ME_HeadImage_Wearables_500xV.jpg</v>
      </c>
      <c r="AQ21" s="39" t="str">
        <f>CCModuleCopy!$C$11</f>
        <v>Get up to $100 off select watches and earbuds</v>
      </c>
      <c r="AR21" s="39" t="str">
        <f>CCModuleCopy!$D$11</f>
        <v>NULL</v>
      </c>
      <c r="AS21"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21" s="39" t="str">
        <f>CCModuleCopy!$F$11</f>
        <v>Shop all</v>
      </c>
      <c r="AU21" s="39" t="str">
        <f>CCModuleCopy!$G$11</f>
        <v>https://www.samsung.com/us/shop/all-deals/watches-audio-accessories-deals/</v>
      </c>
      <c r="AV21"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AW21" s="39" t="str">
        <f>CCModuleCopy!$I$11</f>
        <v>NULL</v>
      </c>
      <c r="AX21" s="39" t="str">
        <f>CCModuleCopy!$J$11</f>
        <v>NULL</v>
      </c>
      <c r="AY21" s="39" t="str">
        <f>CCModuleCopy!$K$11</f>
        <v>NULL</v>
      </c>
      <c r="AZ21" s="89" t="s">
        <v>267</v>
      </c>
      <c r="BA21" s="39" t="str">
        <f>CCModuleCopy!$B$3</f>
        <v>IM_HeadImage_Shop_Phones_500xV.jpg</v>
      </c>
      <c r="BB21" s="39" t="str">
        <f>CCModuleCopy!$C$3</f>
        <v>Save up to $1000 instantly on the latest and greatest Galaxy smartphones</v>
      </c>
      <c r="BC21" s="39" t="str">
        <f>CCModuleCopy!$D$3</f>
        <v>NULL</v>
      </c>
      <c r="BD21"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1" s="39" t="str">
        <f>CCModuleCopy!$F$3</f>
        <v>Shop all</v>
      </c>
      <c r="BF21" s="39" t="str">
        <f>CCModuleCopy!$G$3</f>
        <v>https://www.samsung.com/us/shop/all-deals/cell-phone-deals/</v>
      </c>
      <c r="BG21"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1" s="39" t="str">
        <f>CCModuleCopy!$I$3</f>
        <v>NULL</v>
      </c>
      <c r="BI21" s="39" t="str">
        <f>CCModuleCopy!$J$3</f>
        <v>NULL</v>
      </c>
      <c r="BJ21" s="39" t="str">
        <f>CCModuleCopy!$K$3</f>
        <v>NULL</v>
      </c>
      <c r="BK21" s="89" t="s">
        <v>265</v>
      </c>
      <c r="BL21" s="39" t="str">
        <f>CCModuleCopy!$B$7</f>
        <v>HE_HeadImage_Shop_TVs_500xV.jpg</v>
      </c>
      <c r="BM21" s="39" t="str">
        <f>CCModuleCopy!$C$7</f>
        <v>Get up to $3000 off select 8K, 4K and Lifestyle TVs</v>
      </c>
      <c r="BN21" s="39" t="str">
        <f>CCModuleCopy!$D$7</f>
        <v>NULL</v>
      </c>
      <c r="BO21"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1" s="39" t="str">
        <f>CCModuleCopy!$F$7</f>
        <v>Shop all</v>
      </c>
      <c r="BQ21" s="39" t="str">
        <f>CCModuleCopy!$G$7</f>
        <v>https://www.samsung.com/us/shop/all-deals/tv-and-home-theater-deals/</v>
      </c>
      <c r="BR21"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1" s="39" t="str">
        <f>CCModuleCopy!$I$7</f>
        <v>NULL</v>
      </c>
      <c r="BT21" s="39" t="str">
        <f>CCModuleCopy!$J$7</f>
        <v>NULL</v>
      </c>
      <c r="BU21" s="39" t="str">
        <f>CCModuleCopy!$K$7</f>
        <v>NULL</v>
      </c>
      <c r="BV21" s="89" t="s">
        <v>266</v>
      </c>
      <c r="BW21" s="39" t="str">
        <f>CCModuleCopy!$B$15</f>
        <v>Tablet-HeadImage-500xV.jpg</v>
      </c>
      <c r="BX21" s="39" t="str">
        <f>CCModuleCopy!$C$15</f>
        <v>Save up to $150 on select tablets</v>
      </c>
      <c r="BY21" s="39" t="str">
        <f>CCModuleCopy!$D$15</f>
        <v>NULL</v>
      </c>
      <c r="BZ21" s="39" t="str">
        <f>CCModuleCopy!$E$15</f>
        <v xml:space="preserve">Empower how you create, learn, game and more with our powerful line of tablets. Shop offers on must-have products from the new Galaxy Tab S7+ to the Galaxy Tab S6 Lite. </v>
      </c>
      <c r="CA21" s="39" t="str">
        <f>CCModuleCopy!$F$15</f>
        <v>Shop all</v>
      </c>
      <c r="CB21" s="39" t="str">
        <f>CCModuleCopy!$G$15</f>
        <v>https://www.samsung.com/us/shop/all-deals/tablets-laptops-computers-deals/</v>
      </c>
      <c r="CC21"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1" s="39" t="str">
        <f>CCModuleCopy!$I$15</f>
        <v>NULL</v>
      </c>
      <c r="CE21" s="39" t="str">
        <f>CCModuleCopy!$J$15</f>
        <v>NULL</v>
      </c>
      <c r="CF21" s="39" t="str">
        <f>CCModuleCopy!$K$15</f>
        <v>NULL</v>
      </c>
      <c r="CG21" s="89" t="s">
        <v>368</v>
      </c>
      <c r="CH21" s="39" t="str">
        <f>CCModuleCopy!$B$13</f>
        <v>CE_HeadImage_Computing_500xV.jpg</v>
      </c>
      <c r="CI21" s="39" t="str">
        <f>CCModuleCopy!$C$13</f>
        <v>Get up to 60% off memory cards, SSD, monitors and more</v>
      </c>
      <c r="CJ21" s="39" t="str">
        <f>CCModuleCopy!$D$13</f>
        <v>NULL</v>
      </c>
      <c r="CK21" s="39" t="str">
        <f>CCModuleCopy!$E$13</f>
        <v xml:space="preserve">Expand the way you play, store and create and get up to 30% off monitors, up to 60% off memory cards, up to 35% off SSD and more. Work and game smarter, not harder with these must-have computing offers. </v>
      </c>
      <c r="CL21" s="39" t="str">
        <f>CCModuleCopy!$F$13</f>
        <v>Shop all</v>
      </c>
      <c r="CM21" s="39" t="str">
        <f>CCModuleCopy!$G$13</f>
        <v>https://www.samsung.com/us/shop/all-deals/tablets-laptops-computers-deals/</v>
      </c>
      <c r="CN21"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O21" s="39" t="str">
        <f>CCModuleCopy!$I$13</f>
        <v>NULL</v>
      </c>
      <c r="CP21" s="39" t="str">
        <f>CCModuleCopy!$J$13</f>
        <v>NULL</v>
      </c>
      <c r="CQ21" s="39" t="str">
        <f>CCModuleCopy!$K$13</f>
        <v>NULL</v>
      </c>
      <c r="CR21" s="89" t="s">
        <v>279</v>
      </c>
      <c r="CS21" s="39" t="str">
        <f>CCModuleCopy!$B$9</f>
        <v>HA_HeadImage_Shop_HA_500xV.jpg</v>
      </c>
      <c r="CT21" s="39" t="str">
        <f>CCModuleCopy!$C$9</f>
        <v>Save up to 50% on everything you need to upgrade your home and home care</v>
      </c>
      <c r="CU21" s="39" t="str">
        <f>CCModuleCopy!$D$9</f>
        <v>NULL</v>
      </c>
      <c r="CV21"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1" s="39" t="str">
        <f>CCModuleCopy!$F$9</f>
        <v>Shop all</v>
      </c>
      <c r="CX21" s="39" t="str">
        <f>CCModuleCopy!$G$9</f>
        <v>https://www.samsung.com/us/shop/all-deals/home-appliance-and-smart-home-sales/</v>
      </c>
      <c r="CY21"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1" s="39" t="str">
        <f>CCModuleCopy!$I$9</f>
        <v>NULL</v>
      </c>
      <c r="DA21" s="39" t="str">
        <f>CCModuleCopy!$J$9</f>
        <v>NULL</v>
      </c>
      <c r="DB21" s="39" t="str">
        <f>CCModuleCopy!$K$9</f>
        <v>NULL</v>
      </c>
      <c r="DC21" s="89" t="s">
        <v>280</v>
      </c>
      <c r="DD21" s="39" t="str">
        <f>MiscBanners!$H$4</f>
        <v>Give-wonder-500xV.jpg</v>
      </c>
      <c r="DE21" s="39" t="str">
        <f>MiscBanners!$I$4</f>
        <v>The gift that keeps on giving</v>
      </c>
      <c r="DF21" s="39" t="str">
        <f>MiscBanners!$J$4</f>
        <v>NULL</v>
      </c>
      <c r="DG21" s="91" t="str">
        <f>MiscBanners!$K$4</f>
        <v>Discover even more exclusive offers on your favorite products and unlock the power of smart and savvy gifting.</v>
      </c>
      <c r="DH21" s="39" t="str">
        <f>MiscBanners!$L$4</f>
        <v>Shop now</v>
      </c>
      <c r="DI21" s="39" t="str">
        <f>MiscBanners!$M$4</f>
        <v>https://www.samsung.com/us/gift-ideas/</v>
      </c>
      <c r="DJ21"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1" s="39" t="str">
        <f>MiscBanners!$O$4</f>
        <v>NULL</v>
      </c>
      <c r="DL21" s="39" t="str">
        <f>MiscBanners!$P$4</f>
        <v>NULL</v>
      </c>
      <c r="DM21" s="39" t="str">
        <f>MiscBanners!$Q$4</f>
        <v>NULL</v>
      </c>
      <c r="DN21" s="89" t="s">
        <v>273</v>
      </c>
      <c r="DR21" s="91"/>
      <c r="DY21" s="89" t="s">
        <v>481</v>
      </c>
      <c r="DZ21" s="39" t="s">
        <v>394</v>
      </c>
      <c r="EA21" s="39" t="s">
        <v>394</v>
      </c>
      <c r="EB21" s="39" t="s">
        <v>394</v>
      </c>
      <c r="EC21" s="91" t="s">
        <v>482</v>
      </c>
      <c r="ED21" s="39" t="s">
        <v>394</v>
      </c>
      <c r="EE21" s="39" t="s">
        <v>476</v>
      </c>
      <c r="EF21" s="39">
        <v>0</v>
      </c>
      <c r="EG21" s="39" t="s">
        <v>394</v>
      </c>
      <c r="EH21" s="39" t="s">
        <v>394</v>
      </c>
      <c r="EI21" s="39" t="s">
        <v>394</v>
      </c>
      <c r="EJ21" s="89" t="s">
        <v>439</v>
      </c>
      <c r="EK21" s="39" t="s">
        <v>394</v>
      </c>
      <c r="EL21" s="39" t="s">
        <v>394</v>
      </c>
      <c r="EM21" s="39" t="s">
        <v>394</v>
      </c>
      <c r="EN21" s="91" t="s">
        <v>483</v>
      </c>
      <c r="EO21" s="39" t="s">
        <v>394</v>
      </c>
      <c r="EP21" s="39" t="s">
        <v>476</v>
      </c>
      <c r="EQ21" s="39">
        <v>0</v>
      </c>
      <c r="ER21" s="39" t="s">
        <v>394</v>
      </c>
      <c r="ES21" s="39" t="s">
        <v>394</v>
      </c>
      <c r="ET21" s="39" t="s">
        <v>394</v>
      </c>
      <c r="EU21" s="89" t="s">
        <v>441</v>
      </c>
      <c r="EV21" s="39" t="s">
        <v>394</v>
      </c>
      <c r="EW21" s="39" t="s">
        <v>394</v>
      </c>
      <c r="EX21" s="39" t="s">
        <v>394</v>
      </c>
      <c r="EY21" s="91" t="s">
        <v>484</v>
      </c>
      <c r="EZ21" s="39" t="s">
        <v>394</v>
      </c>
      <c r="FA21" s="39" t="s">
        <v>476</v>
      </c>
      <c r="FB21" s="39">
        <v>0</v>
      </c>
      <c r="FC21" s="39" t="s">
        <v>394</v>
      </c>
      <c r="FD21" s="39" t="s">
        <v>394</v>
      </c>
      <c r="FE21" s="39" t="s">
        <v>394</v>
      </c>
      <c r="FF21" s="89" t="s">
        <v>477</v>
      </c>
      <c r="FG21" s="39" t="s">
        <v>394</v>
      </c>
      <c r="FH21" s="39" t="s">
        <v>394</v>
      </c>
      <c r="FI21" s="39" t="s">
        <v>394</v>
      </c>
      <c r="FJ21" s="91" t="s">
        <v>485</v>
      </c>
      <c r="FK21" s="39" t="s">
        <v>394</v>
      </c>
      <c r="FL21" s="39">
        <v>0</v>
      </c>
      <c r="FM21" s="39">
        <v>0</v>
      </c>
      <c r="FN21" s="39" t="s">
        <v>394</v>
      </c>
      <c r="FO21" s="39" t="s">
        <v>394</v>
      </c>
      <c r="FP21" s="39" t="s">
        <v>394</v>
      </c>
    </row>
    <row r="22" spans="1:172" s="39" customFormat="1" ht="99.95" customHeight="1" x14ac:dyDescent="0.25">
      <c r="A22" s="39" t="s">
        <v>235</v>
      </c>
      <c r="B22" s="39" t="s">
        <v>361</v>
      </c>
      <c r="C22" s="39" t="s">
        <v>237</v>
      </c>
      <c r="D22" s="39" t="s">
        <v>237</v>
      </c>
      <c r="E22" s="39" t="s">
        <v>382</v>
      </c>
      <c r="G22" s="88" t="s">
        <v>540</v>
      </c>
      <c r="H22" s="88" t="s">
        <v>539</v>
      </c>
      <c r="I22" s="89" t="s">
        <v>381</v>
      </c>
      <c r="J22" s="39" t="str">
        <f>[1]MiscBanners!$G$4</f>
        <v>Cross-Category_Black_Friday_Week_01.jpg</v>
      </c>
      <c r="K22" s="92" t="s">
        <v>392</v>
      </c>
      <c r="L22" s="92" t="s">
        <v>393</v>
      </c>
      <c r="M22" s="39" t="s">
        <v>394</v>
      </c>
      <c r="N22" s="39" t="s">
        <v>394</v>
      </c>
      <c r="O22" s="39" t="str">
        <f>[1]MiscBanners!$B$4</f>
        <v>https://www.samsung.com/us/shop/all-deals/</v>
      </c>
      <c r="P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2" s="39" t="s">
        <v>394</v>
      </c>
      <c r="R22" s="39" t="s">
        <v>394</v>
      </c>
      <c r="S22" s="89" t="s">
        <v>407</v>
      </c>
      <c r="T22" s="39" t="str">
        <f>'Dynamic Banners'!$L$6</f>
        <v>Cyber-monday-3.png</v>
      </c>
      <c r="U22" s="39" t="str">
        <f>'Dynamic Banners'!$M$6</f>
        <v>Cyber Monday is over. But, Cyber Week is still on.</v>
      </c>
      <c r="V22" s="39" t="s">
        <v>394</v>
      </c>
      <c r="W22" s="39" t="str">
        <f>'Dynamic Banners'!$N$6</f>
        <v xml:space="preserve">Shop amazing offers on showstopping products while supplies last. </v>
      </c>
      <c r="X22" s="39" t="s">
        <v>394</v>
      </c>
      <c r="Y22" s="39" t="str">
        <f>[1]MiscBanners!$B$4</f>
        <v>https://www.samsung.com/us/shop/all-deals/</v>
      </c>
      <c r="Z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2" s="39" t="s">
        <v>394</v>
      </c>
      <c r="AB22" s="39" t="s">
        <v>394</v>
      </c>
      <c r="AC22" s="39" t="s">
        <v>394</v>
      </c>
      <c r="AD22" s="89" t="s">
        <v>408</v>
      </c>
      <c r="AE22" s="39" t="s">
        <v>394</v>
      </c>
      <c r="AF22" s="39" t="s">
        <v>394</v>
      </c>
      <c r="AG22" s="7" t="s">
        <v>559</v>
      </c>
      <c r="AH22" s="39" t="s">
        <v>561</v>
      </c>
      <c r="AI22" s="39" t="s">
        <v>394</v>
      </c>
      <c r="AJ22" s="39" t="str">
        <f>[1]MiscBanners!$B$4</f>
        <v>https://www.samsung.com/us/shop/all-deals/</v>
      </c>
      <c r="AK22"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2" s="39" t="s">
        <v>394</v>
      </c>
      <c r="AM22" s="39" t="s">
        <v>394</v>
      </c>
      <c r="AN22" s="39" t="s">
        <v>394</v>
      </c>
      <c r="AO22" s="89" t="s">
        <v>368</v>
      </c>
      <c r="AP22" s="39" t="str">
        <f>CCModuleCopy!$B$13</f>
        <v>CE_HeadImage_Computing_500xV.jpg</v>
      </c>
      <c r="AQ22" s="39" t="str">
        <f>CCModuleCopy!$C$13</f>
        <v>Get up to 60% off memory cards, SSD, monitors and more</v>
      </c>
      <c r="AR22" s="39" t="str">
        <f>CCModuleCopy!$D$13</f>
        <v>NULL</v>
      </c>
      <c r="AS22" s="39" t="str">
        <f>CCModuleCopy!$E$13</f>
        <v xml:space="preserve">Expand the way you play, store and create and get up to 30% off monitors, up to 60% off memory cards, up to 35% off SSD and more. Work and game smarter, not harder with these must-have computing offers. </v>
      </c>
      <c r="AT22" s="39" t="str">
        <f>CCModuleCopy!$F$13</f>
        <v>Shop all</v>
      </c>
      <c r="AU22" s="39" t="str">
        <f>CCModuleCopy!$G$13</f>
        <v>https://www.samsung.com/us/shop/all-deals/tablets-laptops-computers-deals/</v>
      </c>
      <c r="AV22"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AW22" s="39" t="str">
        <f>CCModuleCopy!$I$13</f>
        <v>NULL</v>
      </c>
      <c r="AX22" s="39" t="str">
        <f>CCModuleCopy!$J$13</f>
        <v>NULL</v>
      </c>
      <c r="AY22" s="39" t="str">
        <f>CCModuleCopy!$K$13</f>
        <v>NULL</v>
      </c>
      <c r="AZ22" s="89" t="s">
        <v>267</v>
      </c>
      <c r="BA22" s="39" t="str">
        <f>CCModuleCopy!$B$3</f>
        <v>IM_HeadImage_Shop_Phones_500xV.jpg</v>
      </c>
      <c r="BB22" s="39" t="str">
        <f>CCModuleCopy!$C$3</f>
        <v>Save up to $1000 instantly on the latest and greatest Galaxy smartphones</v>
      </c>
      <c r="BC22" s="39" t="str">
        <f>CCModuleCopy!$D$3</f>
        <v>NULL</v>
      </c>
      <c r="BD22"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2" s="39" t="str">
        <f>CCModuleCopy!$F$3</f>
        <v>Shop all</v>
      </c>
      <c r="BF22" s="39" t="str">
        <f>CCModuleCopy!$G$3</f>
        <v>https://www.samsung.com/us/shop/all-deals/cell-phone-deals/</v>
      </c>
      <c r="BG22"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2" s="39" t="str">
        <f>CCModuleCopy!$I$3</f>
        <v>NULL</v>
      </c>
      <c r="BI22" s="39" t="str">
        <f>CCModuleCopy!$J$3</f>
        <v>NULL</v>
      </c>
      <c r="BJ22" s="39" t="str">
        <f>CCModuleCopy!$K$3</f>
        <v>NULL</v>
      </c>
      <c r="BK22" s="89" t="s">
        <v>265</v>
      </c>
      <c r="BL22" s="39" t="str">
        <f>CCModuleCopy!$B$7</f>
        <v>HE_HeadImage_Shop_TVs_500xV.jpg</v>
      </c>
      <c r="BM22" s="39" t="str">
        <f>CCModuleCopy!$C$7</f>
        <v>Get up to $3000 off select 8K, 4K and Lifestyle TVs</v>
      </c>
      <c r="BN22" s="39" t="str">
        <f>CCModuleCopy!$D$7</f>
        <v>NULL</v>
      </c>
      <c r="BO22"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2" s="39" t="str">
        <f>CCModuleCopy!$F$7</f>
        <v>Shop all</v>
      </c>
      <c r="BQ22" s="39" t="str">
        <f>CCModuleCopy!$G$7</f>
        <v>https://www.samsung.com/us/shop/all-deals/tv-and-home-theater-deals/</v>
      </c>
      <c r="BR22"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2" s="39" t="str">
        <f>CCModuleCopy!$I$7</f>
        <v>NULL</v>
      </c>
      <c r="BT22" s="39" t="str">
        <f>CCModuleCopy!$J$7</f>
        <v>NULL</v>
      </c>
      <c r="BU22" s="39" t="str">
        <f>CCModuleCopy!$K$7</f>
        <v>NULL</v>
      </c>
      <c r="BV22" s="89" t="s">
        <v>266</v>
      </c>
      <c r="BW22" s="39" t="str">
        <f>CCModuleCopy!$B$15</f>
        <v>Tablet-HeadImage-500xV.jpg</v>
      </c>
      <c r="BX22" s="39" t="str">
        <f>CCModuleCopy!$C$15</f>
        <v>Save up to $150 on select tablets</v>
      </c>
      <c r="BY22" s="39" t="str">
        <f>CCModuleCopy!$D$15</f>
        <v>NULL</v>
      </c>
      <c r="BZ22" s="39" t="str">
        <f>CCModuleCopy!$E$15</f>
        <v xml:space="preserve">Empower how you create, learn, game and more with our powerful line of tablets. Shop offers on must-have products from the new Galaxy Tab S7+ to the Galaxy Tab S6 Lite. </v>
      </c>
      <c r="CA22" s="39" t="str">
        <f>CCModuleCopy!$F$15</f>
        <v>Shop all</v>
      </c>
      <c r="CB22" s="39" t="str">
        <f>CCModuleCopy!$G$15</f>
        <v>https://www.samsung.com/us/shop/all-deals/tablets-laptops-computers-deals/</v>
      </c>
      <c r="CC22"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2" s="39" t="str">
        <f>CCModuleCopy!$I$15</f>
        <v>NULL</v>
      </c>
      <c r="CE22" s="39" t="str">
        <f>CCModuleCopy!$J$15</f>
        <v>NULL</v>
      </c>
      <c r="CF22" s="39" t="str">
        <f>CCModuleCopy!$K$15</f>
        <v>NULL</v>
      </c>
      <c r="CG22" s="89" t="s">
        <v>367</v>
      </c>
      <c r="CH22" s="39" t="str">
        <f>CCModuleCopy!$B$11</f>
        <v>ME_HeadImage_Wearables_500xV.jpg</v>
      </c>
      <c r="CI22" s="39" t="str">
        <f>CCModuleCopy!$C$11</f>
        <v>Get up to $100 off select watches and earbuds</v>
      </c>
      <c r="CJ22" s="39" t="str">
        <f>CCModuleCopy!$D$11</f>
        <v>NULL</v>
      </c>
      <c r="CK22"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2" s="39" t="str">
        <f>CCModuleCopy!$F$11</f>
        <v>Shop all</v>
      </c>
      <c r="CM22" s="39" t="str">
        <f>CCModuleCopy!$G$11</f>
        <v>https://www.samsung.com/us/shop/all-deals/watches-audio-accessories-deals/</v>
      </c>
      <c r="CN22"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22" s="39" t="str">
        <f>CCModuleCopy!$I$11</f>
        <v>NULL</v>
      </c>
      <c r="CP22" s="39" t="str">
        <f>CCModuleCopy!$J$11</f>
        <v>NULL</v>
      </c>
      <c r="CQ22" s="39" t="str">
        <f>CCModuleCopy!$K$11</f>
        <v>NULL</v>
      </c>
      <c r="CR22" s="89" t="s">
        <v>279</v>
      </c>
      <c r="CS22" s="39" t="str">
        <f>CCModuleCopy!$B$9</f>
        <v>HA_HeadImage_Shop_HA_500xV.jpg</v>
      </c>
      <c r="CT22" s="39" t="str">
        <f>CCModuleCopy!$C$9</f>
        <v>Save up to 50% on everything you need to upgrade your home and home care</v>
      </c>
      <c r="CU22" s="39" t="str">
        <f>CCModuleCopy!$D$9</f>
        <v>NULL</v>
      </c>
      <c r="CV22"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2" s="39" t="str">
        <f>CCModuleCopy!$F$9</f>
        <v>Shop all</v>
      </c>
      <c r="CX22" s="39" t="str">
        <f>CCModuleCopy!$G$9</f>
        <v>https://www.samsung.com/us/shop/all-deals/home-appliance-and-smart-home-sales/</v>
      </c>
      <c r="CY22"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Z22" s="39" t="str">
        <f>CCModuleCopy!$I$9</f>
        <v>NULL</v>
      </c>
      <c r="DA22" s="39" t="str">
        <f>CCModuleCopy!$J$9</f>
        <v>NULL</v>
      </c>
      <c r="DB22" s="39" t="str">
        <f>CCModuleCopy!$K$9</f>
        <v>NULL</v>
      </c>
      <c r="DC22" s="89" t="s">
        <v>280</v>
      </c>
      <c r="DD22" s="39" t="str">
        <f>MiscBanners!$H$4</f>
        <v>Give-wonder-500xV.jpg</v>
      </c>
      <c r="DE22" s="39" t="str">
        <f>MiscBanners!$I$4</f>
        <v>The gift that keeps on giving</v>
      </c>
      <c r="DF22" s="39" t="str">
        <f>MiscBanners!$J$4</f>
        <v>NULL</v>
      </c>
      <c r="DG22" s="91" t="str">
        <f>MiscBanners!$K$4</f>
        <v>Discover even more exclusive offers on your favorite products and unlock the power of smart and savvy gifting.</v>
      </c>
      <c r="DH22" s="39" t="str">
        <f>MiscBanners!$L$4</f>
        <v>Shop now</v>
      </c>
      <c r="DI22" s="39" t="str">
        <f>MiscBanners!$M$4</f>
        <v>https://www.samsung.com/us/gift-ideas/</v>
      </c>
      <c r="DJ22"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2" s="39" t="str">
        <f>MiscBanners!$O$4</f>
        <v>NULL</v>
      </c>
      <c r="DL22" s="39" t="str">
        <f>MiscBanners!$P$4</f>
        <v>NULL</v>
      </c>
      <c r="DM22" s="39" t="str">
        <f>MiscBanners!$Q$4</f>
        <v>NULL</v>
      </c>
      <c r="DN22" s="89" t="s">
        <v>273</v>
      </c>
      <c r="DR22" s="91"/>
      <c r="DY22" s="89" t="s">
        <v>481</v>
      </c>
      <c r="DZ22" s="39" t="s">
        <v>394</v>
      </c>
      <c r="EA22" s="39" t="s">
        <v>394</v>
      </c>
      <c r="EB22" s="39" t="s">
        <v>394</v>
      </c>
      <c r="EC22" s="91" t="s">
        <v>482</v>
      </c>
      <c r="ED22" s="39" t="s">
        <v>394</v>
      </c>
      <c r="EE22" s="39" t="s">
        <v>476</v>
      </c>
      <c r="EF22" s="39">
        <v>0</v>
      </c>
      <c r="EG22" s="39" t="s">
        <v>394</v>
      </c>
      <c r="EH22" s="39" t="s">
        <v>394</v>
      </c>
      <c r="EI22" s="39" t="s">
        <v>394</v>
      </c>
      <c r="EJ22" s="89" t="s">
        <v>439</v>
      </c>
      <c r="EK22" s="39" t="s">
        <v>394</v>
      </c>
      <c r="EL22" s="39" t="s">
        <v>394</v>
      </c>
      <c r="EM22" s="39" t="s">
        <v>394</v>
      </c>
      <c r="EN22" s="91" t="s">
        <v>483</v>
      </c>
      <c r="EO22" s="39" t="s">
        <v>394</v>
      </c>
      <c r="EP22" s="39" t="s">
        <v>476</v>
      </c>
      <c r="EQ22" s="39">
        <v>0</v>
      </c>
      <c r="ER22" s="39" t="s">
        <v>394</v>
      </c>
      <c r="ES22" s="39" t="s">
        <v>394</v>
      </c>
      <c r="ET22" s="39" t="s">
        <v>394</v>
      </c>
      <c r="EU22" s="89" t="s">
        <v>441</v>
      </c>
      <c r="EV22" s="39" t="s">
        <v>394</v>
      </c>
      <c r="EW22" s="39" t="s">
        <v>394</v>
      </c>
      <c r="EX22" s="39" t="s">
        <v>394</v>
      </c>
      <c r="EY22" s="91" t="s">
        <v>484</v>
      </c>
      <c r="EZ22" s="39" t="s">
        <v>394</v>
      </c>
      <c r="FA22" s="39" t="s">
        <v>476</v>
      </c>
      <c r="FB22" s="39">
        <v>0</v>
      </c>
      <c r="FC22" s="39" t="s">
        <v>394</v>
      </c>
      <c r="FD22" s="39" t="s">
        <v>394</v>
      </c>
      <c r="FE22" s="39" t="s">
        <v>394</v>
      </c>
      <c r="FF22" s="89" t="s">
        <v>477</v>
      </c>
      <c r="FG22" s="39" t="s">
        <v>394</v>
      </c>
      <c r="FH22" s="39" t="s">
        <v>394</v>
      </c>
      <c r="FI22" s="39" t="s">
        <v>394</v>
      </c>
      <c r="FJ22" s="91" t="s">
        <v>485</v>
      </c>
      <c r="FK22" s="39" t="s">
        <v>394</v>
      </c>
      <c r="FL22" s="39">
        <v>0</v>
      </c>
      <c r="FM22" s="39">
        <v>0</v>
      </c>
      <c r="FN22" s="39" t="s">
        <v>394</v>
      </c>
      <c r="FO22" s="39" t="s">
        <v>394</v>
      </c>
      <c r="FP22" s="39" t="s">
        <v>394</v>
      </c>
    </row>
    <row r="23" spans="1:172" s="39" customFormat="1" ht="99.95" customHeight="1" x14ac:dyDescent="0.25">
      <c r="A23" s="39" t="s">
        <v>235</v>
      </c>
      <c r="B23" s="39" t="s">
        <v>369</v>
      </c>
      <c r="C23" s="39" t="s">
        <v>237</v>
      </c>
      <c r="D23" s="39" t="s">
        <v>237</v>
      </c>
      <c r="E23" s="39" t="s">
        <v>382</v>
      </c>
      <c r="G23" s="88" t="s">
        <v>540</v>
      </c>
      <c r="H23" s="88" t="s">
        <v>539</v>
      </c>
      <c r="I23" s="89" t="s">
        <v>381</v>
      </c>
      <c r="J23" s="39" t="str">
        <f>[1]MiscBanners!$G$4</f>
        <v>Cross-Category_Black_Friday_Week_01.jpg</v>
      </c>
      <c r="K23" s="92" t="s">
        <v>392</v>
      </c>
      <c r="L23" s="92" t="s">
        <v>393</v>
      </c>
      <c r="M23" s="39" t="s">
        <v>394</v>
      </c>
      <c r="N23" s="39" t="s">
        <v>394</v>
      </c>
      <c r="O23" s="39" t="str">
        <f>[1]MiscBanners!$B$4</f>
        <v>https://www.samsung.com/us/shop/all-deals/</v>
      </c>
      <c r="P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3" s="39" t="s">
        <v>394</v>
      </c>
      <c r="R23" s="39" t="s">
        <v>394</v>
      </c>
      <c r="S23" s="89" t="s">
        <v>407</v>
      </c>
      <c r="T23" s="39" t="str">
        <f>'Dynamic Banners'!$L$6</f>
        <v>Cyber-monday-3.png</v>
      </c>
      <c r="U23" s="39" t="str">
        <f>'Dynamic Banners'!$M$6</f>
        <v>Cyber Monday is over. But, Cyber Week is still on.</v>
      </c>
      <c r="V23" s="39" t="s">
        <v>394</v>
      </c>
      <c r="W23" s="39" t="str">
        <f>'Dynamic Banners'!$N$6</f>
        <v xml:space="preserve">Shop amazing offers on showstopping products while supplies last. </v>
      </c>
      <c r="X23" s="39" t="s">
        <v>394</v>
      </c>
      <c r="Y23" s="39" t="str">
        <f>[1]MiscBanners!$B$4</f>
        <v>https://www.samsung.com/us/shop/all-deals/</v>
      </c>
      <c r="Z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3" s="39" t="s">
        <v>394</v>
      </c>
      <c r="AB23" s="39" t="s">
        <v>394</v>
      </c>
      <c r="AC23" s="39" t="s">
        <v>394</v>
      </c>
      <c r="AD23" s="89" t="s">
        <v>408</v>
      </c>
      <c r="AE23" s="39" t="s">
        <v>394</v>
      </c>
      <c r="AF23" s="39" t="s">
        <v>394</v>
      </c>
      <c r="AG23" s="7" t="s">
        <v>559</v>
      </c>
      <c r="AH23" s="39" t="s">
        <v>561</v>
      </c>
      <c r="AI23" s="39" t="s">
        <v>394</v>
      </c>
      <c r="AJ23" s="39" t="str">
        <f>[1]MiscBanners!$B$4</f>
        <v>https://www.samsung.com/us/shop/all-deals/</v>
      </c>
      <c r="AK23"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3" s="39" t="s">
        <v>394</v>
      </c>
      <c r="AM23" s="39" t="s">
        <v>394</v>
      </c>
      <c r="AN23" s="39" t="s">
        <v>394</v>
      </c>
      <c r="AO23" s="89" t="s">
        <v>279</v>
      </c>
      <c r="AP23" s="39" t="str">
        <f>CCModuleCopy!$B$9</f>
        <v>HA_HeadImage_Shop_HA_500xV.jpg</v>
      </c>
      <c r="AQ23" s="39" t="str">
        <f>CCModuleCopy!$C$9</f>
        <v>Save up to 50% on everything you need to upgrade your home and home care</v>
      </c>
      <c r="AR23" s="39" t="str">
        <f>CCModuleCopy!$D$9</f>
        <v>NULL</v>
      </c>
      <c r="AS23"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23" s="39" t="str">
        <f>CCModuleCopy!$F$9</f>
        <v>Shop all</v>
      </c>
      <c r="AU23" s="39" t="str">
        <f>CCModuleCopy!$G$9</f>
        <v>https://www.samsung.com/us/shop/all-deals/home-appliance-and-smart-home-sales/</v>
      </c>
      <c r="AV23" s="39" t="str">
        <f>CCModuleCopy!$H$9</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AW23" s="39" t="str">
        <f>CCModuleCopy!$I$9</f>
        <v>NULL</v>
      </c>
      <c r="AX23" s="39" t="str">
        <f>CCModuleCopy!$J$9</f>
        <v>NULL</v>
      </c>
      <c r="AY23" s="39" t="str">
        <f>CCModuleCopy!$K$9</f>
        <v>NULL</v>
      </c>
      <c r="AZ23" s="89" t="s">
        <v>267</v>
      </c>
      <c r="BA23" s="39" t="str">
        <f>CCModuleCopy!$B$3</f>
        <v>IM_HeadImage_Shop_Phones_500xV.jpg</v>
      </c>
      <c r="BB23" s="39" t="str">
        <f>CCModuleCopy!$C$3</f>
        <v>Save up to $1000 instantly on the latest and greatest Galaxy smartphones</v>
      </c>
      <c r="BC23" s="39" t="str">
        <f>CCModuleCopy!$D$3</f>
        <v>NULL</v>
      </c>
      <c r="BD23" s="39" t="str">
        <f>CCModuleCopy!$E$3</f>
        <v>Whether you're here to improve the way you work or power up the way you play, shop some of our best offers of the year on Galaxy Note20 5G, S20 FE 5G, Z Fold2 5G and select A series devices.
Plus, get $50 or more instant credit toward accessories with any smartphone purchase to complete your Galaxy Ecosystem.‡†</v>
      </c>
      <c r="BE23" s="39" t="str">
        <f>CCModuleCopy!$F$3</f>
        <v>Shop all</v>
      </c>
      <c r="BF23" s="39" t="str">
        <f>CCModuleCopy!$G$3</f>
        <v>https://www.samsung.com/us/shop/all-deals/cell-phone-deals/</v>
      </c>
      <c r="BG23" s="39" t="str">
        <f>CCModuleCopy!$H$3</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H23" s="39" t="str">
        <f>CCModuleCopy!$I$3</f>
        <v>NULL</v>
      </c>
      <c r="BI23" s="39" t="str">
        <f>CCModuleCopy!$J$3</f>
        <v>NULL</v>
      </c>
      <c r="BJ23" s="39" t="str">
        <f>CCModuleCopy!$K$3</f>
        <v>NULL</v>
      </c>
      <c r="BK23" s="89" t="s">
        <v>265</v>
      </c>
      <c r="BL23" s="39" t="str">
        <f>CCModuleCopy!$B$7</f>
        <v>HE_HeadImage_Shop_TVs_500xV.jpg</v>
      </c>
      <c r="BM23" s="39" t="str">
        <f>CCModuleCopy!$C$7</f>
        <v>Get up to $3000 off select 8K, 4K and Lifestyle TVs</v>
      </c>
      <c r="BN23" s="39" t="str">
        <f>CCModuleCopy!$D$7</f>
        <v>NULL</v>
      </c>
      <c r="BO23"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3" s="39" t="str">
        <f>CCModuleCopy!$F$7</f>
        <v>Shop all</v>
      </c>
      <c r="BQ23" s="39" t="str">
        <f>CCModuleCopy!$G$7</f>
        <v>https://www.samsung.com/us/shop/all-deals/tv-and-home-theater-deals/</v>
      </c>
      <c r="BR23" s="39" t="str">
        <f>CCModuleCopy!$H$7</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BS23" s="39" t="str">
        <f>CCModuleCopy!$I$7</f>
        <v>NULL</v>
      </c>
      <c r="BT23" s="39" t="str">
        <f>CCModuleCopy!$J$7</f>
        <v>NULL</v>
      </c>
      <c r="BU23" s="39" t="str">
        <f>CCModuleCopy!$K$7</f>
        <v>NULL</v>
      </c>
      <c r="BV23" s="89" t="s">
        <v>266</v>
      </c>
      <c r="BW23" s="39" t="str">
        <f>CCModuleCopy!$B$15</f>
        <v>Tablet-HeadImage-500xV.jpg</v>
      </c>
      <c r="BX23" s="39" t="str">
        <f>CCModuleCopy!$C$15</f>
        <v>Save up to $150 on select tablets</v>
      </c>
      <c r="BY23" s="39" t="str">
        <f>CCModuleCopy!$D$15</f>
        <v>NULL</v>
      </c>
      <c r="BZ23" s="39" t="str">
        <f>CCModuleCopy!$E$15</f>
        <v xml:space="preserve">Empower how you create, learn, game and more with our powerful line of tablets. Shop offers on must-have products from the new Galaxy Tab S7+ to the Galaxy Tab S6 Lite. </v>
      </c>
      <c r="CA23" s="39" t="str">
        <f>CCModuleCopy!$F$15</f>
        <v>Shop all</v>
      </c>
      <c r="CB23" s="39" t="str">
        <f>CCModuleCopy!$G$15</f>
        <v>https://www.samsung.com/us/shop/all-deals/tablets-laptops-computers-deals/</v>
      </c>
      <c r="CC23" s="91" t="str">
        <f>CCModuleCopy!$H$15</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D23" s="39" t="str">
        <f>CCModuleCopy!$I$15</f>
        <v>NULL</v>
      </c>
      <c r="CE23" s="39" t="str">
        <f>CCModuleCopy!$J$15</f>
        <v>NULL</v>
      </c>
      <c r="CF23" s="39" t="str">
        <f>CCModuleCopy!$K$15</f>
        <v>NULL</v>
      </c>
      <c r="CG23" s="89" t="s">
        <v>367</v>
      </c>
      <c r="CH23" s="39" t="str">
        <f>CCModuleCopy!$B$11</f>
        <v>ME_HeadImage_Wearables_500xV.jpg</v>
      </c>
      <c r="CI23" s="39" t="str">
        <f>CCModuleCopy!$C$11</f>
        <v>Get up to $100 off select watches and earbuds</v>
      </c>
      <c r="CJ23" s="39" t="str">
        <f>CCModuleCopy!$D$11</f>
        <v>NULL</v>
      </c>
      <c r="CK23"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3" s="39" t="str">
        <f>CCModuleCopy!$F$11</f>
        <v>Shop all</v>
      </c>
      <c r="CM23" s="39" t="str">
        <f>CCModuleCopy!$G$11</f>
        <v>https://www.samsung.com/us/shop/all-deals/watches-audio-accessories-deals/</v>
      </c>
      <c r="CN23" s="39" t="str">
        <f>CCModuleCopy!$H$11</f>
        <v>https://shopsamsung.page.link?link=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offerCID%3DearlyAccess%26utm_source%3Dsamsung%26utm_medium%3Demail%26utm_campaign%3Dholiday_deals_t3_11172020%26marsLinkCategory%3D__MARSTRACKING__%26MKM_RID%3D__BPNUMBER__%26MKM_MID%3D__DELIVERNAME__%26cid%3D__CID____SEGMENTCODE__%26bpid%3D__BPNUMBER__&amp;efr=1</v>
      </c>
      <c r="CO23" s="39" t="str">
        <f>CCModuleCopy!$I$11</f>
        <v>NULL</v>
      </c>
      <c r="CP23" s="39" t="str">
        <f>CCModuleCopy!$J$11</f>
        <v>NULL</v>
      </c>
      <c r="CQ23" s="39" t="str">
        <f>CCModuleCopy!$K$11</f>
        <v>NULL</v>
      </c>
      <c r="CR23" s="89" t="s">
        <v>368</v>
      </c>
      <c r="CS23" s="39" t="str">
        <f>CCModuleCopy!$B$13</f>
        <v>CE_HeadImage_Computing_500xV.jpg</v>
      </c>
      <c r="CT23" s="39" t="str">
        <f>CCModuleCopy!$C$13</f>
        <v>Get up to 60% off memory cards, SSD, monitors and more</v>
      </c>
      <c r="CU23" s="39" t="str">
        <f>CCModuleCopy!$D$13</f>
        <v>NULL</v>
      </c>
      <c r="CV23" s="39" t="str">
        <f>CCModuleCopy!$E$13</f>
        <v xml:space="preserve">Expand the way you play, store and create and get up to 30% off monitors, up to 60% off memory cards, up to 35% off SSD and more. Work and game smarter, not harder with these must-have computing offers. </v>
      </c>
      <c r="CW23" s="39" t="str">
        <f>CCModuleCopy!$F$13</f>
        <v>Shop all</v>
      </c>
      <c r="CX23" s="39" t="str">
        <f>CCModuleCopy!$G$13</f>
        <v>https://www.samsung.com/us/shop/all-deals/tablets-laptops-computers-deals/</v>
      </c>
      <c r="CY23" s="39" t="str">
        <f>CCModuleCopy!$H$13</f>
        <v>https://shopsamsung.page.link?link=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offerCID%3DearlyAccess%26utm_source%3Dsamsung%26utm_medium%3Demail%26utm_campaign%3Dholiday_deals_t3_11172020%26marsLinkCategory%3D__MARSTRACKING__%26MKM_RID%3D__BPNUMBER__%26MKM_MID%3D__DELIVERNAME__%26cid%3D__CID____SEGMENTCODE__%26bpid%3D__BPNUMBER__&amp;efr=1</v>
      </c>
      <c r="CZ23" s="39" t="str">
        <f>CCModuleCopy!$I$13</f>
        <v>NULL</v>
      </c>
      <c r="DA23" s="39" t="str">
        <f>CCModuleCopy!$J$13</f>
        <v>NULL</v>
      </c>
      <c r="DB23" s="39" t="str">
        <f>CCModuleCopy!$K$13</f>
        <v>NULL</v>
      </c>
      <c r="DC23" s="89" t="s">
        <v>280</v>
      </c>
      <c r="DD23" s="39" t="str">
        <f>MiscBanners!$H$4</f>
        <v>Give-wonder-500xV.jpg</v>
      </c>
      <c r="DE23" s="39" t="str">
        <f>MiscBanners!$I$4</f>
        <v>The gift that keeps on giving</v>
      </c>
      <c r="DF23" s="39" t="str">
        <f>MiscBanners!$J$4</f>
        <v>NULL</v>
      </c>
      <c r="DG23" s="91" t="str">
        <f>MiscBanners!$K$4</f>
        <v>Discover even more exclusive offers on your favorite products and unlock the power of smart and savvy gifting.</v>
      </c>
      <c r="DH23" s="39" t="str">
        <f>MiscBanners!$L$4</f>
        <v>Shop now</v>
      </c>
      <c r="DI23" s="39" t="str">
        <f>MiscBanners!$M$4</f>
        <v>https://www.samsung.com/us/gift-ideas/</v>
      </c>
      <c r="DJ23" s="39" t="str">
        <f>MiscBanners!$N$4</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K23" s="39" t="str">
        <f>MiscBanners!$O$4</f>
        <v>NULL</v>
      </c>
      <c r="DL23" s="39" t="str">
        <f>MiscBanners!$P$4</f>
        <v>NULL</v>
      </c>
      <c r="DM23" s="39" t="str">
        <f>MiscBanners!$Q$4</f>
        <v>NULL</v>
      </c>
      <c r="DN23" s="89" t="s">
        <v>273</v>
      </c>
      <c r="DR23" s="91"/>
      <c r="DY23" s="89" t="s">
        <v>481</v>
      </c>
      <c r="DZ23" s="39" t="s">
        <v>394</v>
      </c>
      <c r="EA23" s="39" t="s">
        <v>394</v>
      </c>
      <c r="EB23" s="39" t="s">
        <v>394</v>
      </c>
      <c r="EC23" s="91" t="s">
        <v>482</v>
      </c>
      <c r="ED23" s="39" t="s">
        <v>394</v>
      </c>
      <c r="EE23" s="39" t="s">
        <v>476</v>
      </c>
      <c r="EF23" s="39">
        <v>0</v>
      </c>
      <c r="EG23" s="39" t="s">
        <v>394</v>
      </c>
      <c r="EH23" s="39" t="s">
        <v>394</v>
      </c>
      <c r="EI23" s="39" t="s">
        <v>394</v>
      </c>
      <c r="EJ23" s="89" t="s">
        <v>439</v>
      </c>
      <c r="EK23" s="39" t="s">
        <v>394</v>
      </c>
      <c r="EL23" s="39" t="s">
        <v>394</v>
      </c>
      <c r="EM23" s="39" t="s">
        <v>394</v>
      </c>
      <c r="EN23" s="91" t="s">
        <v>483</v>
      </c>
      <c r="EO23" s="39" t="s">
        <v>394</v>
      </c>
      <c r="EP23" s="39" t="s">
        <v>476</v>
      </c>
      <c r="EQ23" s="39">
        <v>0</v>
      </c>
      <c r="ER23" s="39" t="s">
        <v>394</v>
      </c>
      <c r="ES23" s="39" t="s">
        <v>394</v>
      </c>
      <c r="ET23" s="39" t="s">
        <v>394</v>
      </c>
      <c r="EU23" s="89" t="s">
        <v>441</v>
      </c>
      <c r="EV23" s="39" t="s">
        <v>394</v>
      </c>
      <c r="EW23" s="39" t="s">
        <v>394</v>
      </c>
      <c r="EX23" s="39" t="s">
        <v>394</v>
      </c>
      <c r="EY23" s="91" t="s">
        <v>484</v>
      </c>
      <c r="EZ23" s="39" t="s">
        <v>394</v>
      </c>
      <c r="FA23" s="39" t="s">
        <v>476</v>
      </c>
      <c r="FB23" s="39">
        <v>0</v>
      </c>
      <c r="FC23" s="39" t="s">
        <v>394</v>
      </c>
      <c r="FD23" s="39" t="s">
        <v>394</v>
      </c>
      <c r="FE23" s="39" t="s">
        <v>394</v>
      </c>
      <c r="FF23" s="89" t="s">
        <v>477</v>
      </c>
      <c r="FG23" s="39" t="s">
        <v>394</v>
      </c>
      <c r="FH23" s="39" t="s">
        <v>394</v>
      </c>
      <c r="FI23" s="39" t="s">
        <v>394</v>
      </c>
      <c r="FJ23" s="91" t="s">
        <v>485</v>
      </c>
      <c r="FK23" s="39" t="s">
        <v>394</v>
      </c>
      <c r="FL23" s="39">
        <v>0</v>
      </c>
      <c r="FM23" s="39">
        <v>0</v>
      </c>
      <c r="FN23" s="39" t="s">
        <v>394</v>
      </c>
      <c r="FO23" s="39" t="s">
        <v>394</v>
      </c>
      <c r="FP23" s="39" t="s">
        <v>394</v>
      </c>
    </row>
    <row r="24" spans="1:172" s="39" customFormat="1" ht="99.95" customHeight="1" x14ac:dyDescent="0.25">
      <c r="A24" s="39" t="s">
        <v>235</v>
      </c>
      <c r="B24" s="39" t="s">
        <v>236</v>
      </c>
      <c r="C24" s="39" t="s">
        <v>237</v>
      </c>
      <c r="D24" s="39" t="s">
        <v>237</v>
      </c>
      <c r="E24" s="39" t="s">
        <v>383</v>
      </c>
      <c r="G24" s="88" t="s">
        <v>540</v>
      </c>
      <c r="H24" s="88" t="s">
        <v>539</v>
      </c>
      <c r="I24" s="89" t="s">
        <v>381</v>
      </c>
      <c r="J24" s="39" t="str">
        <f>[1]MiscBanners!$G$4</f>
        <v>Cross-Category_Black_Friday_Week_01.jpg</v>
      </c>
      <c r="K24" s="92" t="s">
        <v>392</v>
      </c>
      <c r="L24" s="92" t="s">
        <v>393</v>
      </c>
      <c r="M24" s="39" t="s">
        <v>394</v>
      </c>
      <c r="N24" s="39" t="s">
        <v>394</v>
      </c>
      <c r="O24" s="39" t="str">
        <f>[1]MiscBanners!$B$4</f>
        <v>https://www.samsung.com/us/shop/all-deals/</v>
      </c>
      <c r="P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4" s="39" t="s">
        <v>394</v>
      </c>
      <c r="R24" s="39" t="s">
        <v>394</v>
      </c>
      <c r="S24" s="89" t="s">
        <v>407</v>
      </c>
      <c r="T24" s="39" t="str">
        <f>'Dynamic Banners'!$L$6</f>
        <v>Cyber-monday-3.png</v>
      </c>
      <c r="U24" s="39" t="str">
        <f>'Dynamic Banners'!$M$6</f>
        <v>Cyber Monday is over. But, Cyber Week is still on.</v>
      </c>
      <c r="V24" s="39" t="s">
        <v>394</v>
      </c>
      <c r="W24" s="39" t="str">
        <f>'Dynamic Banners'!$N$6</f>
        <v xml:space="preserve">Shop amazing offers on showstopping products while supplies last. </v>
      </c>
      <c r="X24" s="39" t="s">
        <v>394</v>
      </c>
      <c r="Y24" s="39" t="str">
        <f>[1]MiscBanners!$B$4</f>
        <v>https://www.samsung.com/us/shop/all-deals/</v>
      </c>
      <c r="Z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4" s="39" t="s">
        <v>394</v>
      </c>
      <c r="AB24" s="39" t="s">
        <v>394</v>
      </c>
      <c r="AC24" s="39" t="s">
        <v>394</v>
      </c>
      <c r="AD24" s="89" t="s">
        <v>408</v>
      </c>
      <c r="AE24" s="39" t="s">
        <v>394</v>
      </c>
      <c r="AF24" s="39" t="s">
        <v>394</v>
      </c>
      <c r="AG24" s="7" t="s">
        <v>559</v>
      </c>
      <c r="AH24" s="39" t="s">
        <v>562</v>
      </c>
      <c r="AI24" s="39" t="s">
        <v>394</v>
      </c>
      <c r="AJ24" s="39" t="str">
        <f>[1]MiscBanners!$B$4</f>
        <v>https://www.samsung.com/us/shop/all-deals/</v>
      </c>
      <c r="AK24"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4" s="39" t="s">
        <v>394</v>
      </c>
      <c r="AM24" s="39" t="s">
        <v>394</v>
      </c>
      <c r="AN24" s="39" t="s">
        <v>394</v>
      </c>
      <c r="AO24" s="89" t="s">
        <v>371</v>
      </c>
      <c r="AP24" s="39" t="str">
        <f>CCModuleCopy!$B$5</f>
        <v>IM_HeadImage_Shop_Phones_500xV.jpg</v>
      </c>
      <c r="AQ24" s="39" t="str">
        <f>CCModuleCopy!$C$5</f>
        <v>Save up to $1000 instantly on the latest and greatest Galaxy smartphones</v>
      </c>
      <c r="AR24" s="39" t="str">
        <f>CCModuleCopy!$D$5</f>
        <v>NULL</v>
      </c>
      <c r="AS24"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AT24" s="39" t="str">
        <f>CCModuleCopy!$L$5</f>
        <v>Shop all</v>
      </c>
      <c r="AU24" s="39" t="str">
        <f>CCModuleCopy!$M$5</f>
        <v>https://www.samsung.com/us/shop/all-deals/cell-phone-deals/</v>
      </c>
      <c r="AV24"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W24" s="39" t="str">
        <f>CCModuleCopy!$O$5</f>
        <v>NULL</v>
      </c>
      <c r="AX24" s="39" t="str">
        <f>CCModuleCopy!$P$5</f>
        <v>NULL</v>
      </c>
      <c r="AY24" s="39" t="str">
        <f>CCModuleCopy!$Q$5</f>
        <v>NULL</v>
      </c>
      <c r="AZ24" s="89" t="s">
        <v>265</v>
      </c>
      <c r="BA24" s="39" t="str">
        <f>CCModuleCopy!$B$7</f>
        <v>HE_HeadImage_Shop_TVs_500xV.jpg</v>
      </c>
      <c r="BB24" s="39" t="str">
        <f>CCModuleCopy!$C$7</f>
        <v>Get up to $3000 off select 8K, 4K and Lifestyle TVs</v>
      </c>
      <c r="BC24" s="39" t="str">
        <f>CCModuleCopy!$D$7</f>
        <v>NULL</v>
      </c>
      <c r="BD24"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E24" s="39" t="str">
        <f>CCModuleCopy!$L$7</f>
        <v>Shop all</v>
      </c>
      <c r="BF24" s="39" t="str">
        <f>CCModuleCopy!$M$7</f>
        <v>https://www.samsung.com/us/shop/all-deals/tv-and-home-theater-deals/</v>
      </c>
      <c r="BG24"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H24" s="39" t="str">
        <f>CCModuleCopy!$O$7</f>
        <v>NULL</v>
      </c>
      <c r="BI24" s="39" t="str">
        <f>CCModuleCopy!$P$7</f>
        <v>NULL</v>
      </c>
      <c r="BJ24" s="39" t="str">
        <f>CCModuleCopy!$Q$7</f>
        <v>NULL</v>
      </c>
      <c r="BK24" s="89" t="s">
        <v>266</v>
      </c>
      <c r="BL24" s="39" t="str">
        <f>CCModuleCopy!$B$15</f>
        <v>Tablet-HeadImage-500xV.jpg</v>
      </c>
      <c r="BM24" s="39" t="str">
        <f>CCModuleCopy!$C$15</f>
        <v>Save up to $150 on select tablets</v>
      </c>
      <c r="BN24" s="39" t="str">
        <f>CCModuleCopy!$D$15</f>
        <v>NULL</v>
      </c>
      <c r="BO24" s="39" t="str">
        <f>CCModuleCopy!$E$15</f>
        <v xml:space="preserve">Empower how you create, learn, game and more with our powerful line of tablets. Shop offers on must-have products from the new Galaxy Tab S7+ to the Galaxy Tab S6 Lite. </v>
      </c>
      <c r="BP24" s="39" t="str">
        <f>CCModuleCopy!$L$15</f>
        <v>Shop all</v>
      </c>
      <c r="BQ24" s="39" t="str">
        <f>CCModuleCopy!$M$15</f>
        <v>https://www.samsung.com/us/shop/all-deals/tablets-laptops-computers-deals/</v>
      </c>
      <c r="BR24"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24" s="39" t="str">
        <f>CCModuleCopy!$O$15</f>
        <v>NULL</v>
      </c>
      <c r="BT24" s="39" t="str">
        <f>CCModuleCopy!$P$15</f>
        <v>NULL</v>
      </c>
      <c r="BU24" s="39" t="str">
        <f>CCModuleCopy!$Q$15</f>
        <v>NULL</v>
      </c>
      <c r="BV24" s="89" t="s">
        <v>367</v>
      </c>
      <c r="BW24" s="39" t="str">
        <f>CCModuleCopy!$B$11</f>
        <v>ME_HeadImage_Wearables_500xV.jpg</v>
      </c>
      <c r="BX24" s="39" t="str">
        <f>CCModuleCopy!$C$11</f>
        <v>Get up to $100 off select watches and earbuds</v>
      </c>
      <c r="BY24" s="39" t="str">
        <f>CCModuleCopy!$D$11</f>
        <v>NULL</v>
      </c>
      <c r="BZ24"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4" s="39" t="str">
        <f>CCModuleCopy!$L$11</f>
        <v>Shop all</v>
      </c>
      <c r="CB24" s="39" t="str">
        <f>CCModuleCopy!$M$11</f>
        <v>https://www.samsung.com/us/shop/all-deals/tablets-wearables-cell-phone-accessories-deals/</v>
      </c>
      <c r="CC24"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4" s="39" t="str">
        <f>CCModuleCopy!$O$11</f>
        <v>NULL</v>
      </c>
      <c r="CE24" s="39" t="str">
        <f>CCModuleCopy!$P$11</f>
        <v>NULL</v>
      </c>
      <c r="CF24" s="39" t="str">
        <f>CCModuleCopy!$Q$11</f>
        <v>NULL</v>
      </c>
      <c r="CG24" s="89" t="s">
        <v>368</v>
      </c>
      <c r="CH24" s="39" t="str">
        <f>CCModuleCopy!$B$13</f>
        <v>CE_HeadImage_Computing_500xV.jpg</v>
      </c>
      <c r="CI24" s="39" t="str">
        <f>CCModuleCopy!$C$13</f>
        <v>Get up to 60% off memory cards, SSD, monitors and more</v>
      </c>
      <c r="CJ24" s="39" t="str">
        <f>CCModuleCopy!$D$13</f>
        <v>NULL</v>
      </c>
      <c r="CK24" s="39" t="str">
        <f>CCModuleCopy!$E$13</f>
        <v xml:space="preserve">Expand the way you play, store and create and get up to 30% off monitors, up to 60% off memory cards, up to 35% off SSD and more. Work and game smarter, not harder with these must-have computing offers. </v>
      </c>
      <c r="CL24" s="39" t="str">
        <f>CCModuleCopy!$L$13</f>
        <v>Shop all</v>
      </c>
      <c r="CM24" s="39" t="str">
        <f>CCModuleCopy!$M$13</f>
        <v>https://www.samsung.com/us/shop/all-deals/laptop-and-computer-deals/</v>
      </c>
      <c r="CN24"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4" s="39" t="str">
        <f>CCModuleCopy!$O$13</f>
        <v>NULL</v>
      </c>
      <c r="CP24" s="39" t="str">
        <f>CCModuleCopy!$P$13</f>
        <v>NULL</v>
      </c>
      <c r="CQ24" s="39" t="str">
        <f>CCModuleCopy!$Q$13</f>
        <v>NULL</v>
      </c>
      <c r="CR24" s="89" t="s">
        <v>279</v>
      </c>
      <c r="CS24" s="39" t="str">
        <f>CCModuleCopy!$B$9</f>
        <v>HA_HeadImage_Shop_HA_500xV.jpg</v>
      </c>
      <c r="CT24" s="39" t="str">
        <f>CCModuleCopy!$C$9</f>
        <v>Save up to 50% on everything you need to upgrade your home and home care</v>
      </c>
      <c r="CU24" s="39" t="str">
        <f>CCModuleCopy!$D$9</f>
        <v>NULL</v>
      </c>
      <c r="CV24"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4" s="39" t="str">
        <f>CCModuleCopy!$L$9</f>
        <v>Shop all</v>
      </c>
      <c r="CX24" s="39" t="str">
        <f>CCModuleCopy!$M$9</f>
        <v>https://www.samsung.com/us/shop/all-deals/home-appliance-and-smart-home-sales/</v>
      </c>
      <c r="CY24"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4" s="39" t="str">
        <f>CCModuleCopy!$O$9</f>
        <v>NULL</v>
      </c>
      <c r="DA24" s="39" t="str">
        <f>CCModuleCopy!$P$9</f>
        <v>NULL</v>
      </c>
      <c r="DB24" s="39" t="str">
        <f>CCModuleCopy!$Q$9</f>
        <v>NULL</v>
      </c>
      <c r="DC24" s="89" t="s">
        <v>280</v>
      </c>
      <c r="DD24" s="39" t="str">
        <f>MiscBanners!$H$4</f>
        <v>Give-wonder-500xV.jpg</v>
      </c>
      <c r="DE24" s="39" t="str">
        <f>MiscBanners!$I$4</f>
        <v>The gift that keeps on giving</v>
      </c>
      <c r="DF24" s="39" t="str">
        <f>MiscBanners!$J$4</f>
        <v>NULL</v>
      </c>
      <c r="DG24" s="91" t="str">
        <f>MiscBanners!$K$4</f>
        <v>Discover even more exclusive offers on your favorite products and unlock the power of smart and savvy gifting.</v>
      </c>
      <c r="DH24" s="39" t="str">
        <f>MiscBanners!$L$4</f>
        <v>Shop now</v>
      </c>
      <c r="DI24" s="39" t="str">
        <f>MiscBanners!$M$4</f>
        <v>https://www.samsung.com/us/gift-ideas/</v>
      </c>
      <c r="DJ24"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4" s="39" t="str">
        <f>MiscBanners!$O$4</f>
        <v>NULL</v>
      </c>
      <c r="DL24" s="39" t="str">
        <f>MiscBanners!$P$4</f>
        <v>NULL</v>
      </c>
      <c r="DM24" s="39" t="str">
        <f>MiscBanners!$Q$4</f>
        <v>NULL</v>
      </c>
      <c r="DN24" s="89" t="s">
        <v>273</v>
      </c>
      <c r="DR24" s="91"/>
      <c r="DY24" s="89" t="s">
        <v>481</v>
      </c>
      <c r="DZ24" s="39" t="s">
        <v>394</v>
      </c>
      <c r="EA24" s="39" t="s">
        <v>394</v>
      </c>
      <c r="EB24" s="39" t="s">
        <v>394</v>
      </c>
      <c r="EC24" s="91" t="s">
        <v>482</v>
      </c>
      <c r="ED24" s="39" t="s">
        <v>394</v>
      </c>
      <c r="EE24" s="39" t="s">
        <v>476</v>
      </c>
      <c r="EF24" s="39">
        <v>0</v>
      </c>
      <c r="EG24" s="39" t="s">
        <v>394</v>
      </c>
      <c r="EH24" s="39" t="s">
        <v>394</v>
      </c>
      <c r="EI24" s="39" t="s">
        <v>394</v>
      </c>
      <c r="EJ24" s="89" t="s">
        <v>439</v>
      </c>
      <c r="EK24" s="39" t="s">
        <v>394</v>
      </c>
      <c r="EL24" s="39" t="s">
        <v>394</v>
      </c>
      <c r="EM24" s="39" t="s">
        <v>394</v>
      </c>
      <c r="EN24" s="91" t="s">
        <v>483</v>
      </c>
      <c r="EO24" s="39" t="s">
        <v>394</v>
      </c>
      <c r="EP24" s="39" t="s">
        <v>476</v>
      </c>
      <c r="EQ24" s="39">
        <v>0</v>
      </c>
      <c r="ER24" s="39" t="s">
        <v>394</v>
      </c>
      <c r="ES24" s="39" t="s">
        <v>394</v>
      </c>
      <c r="ET24" s="39" t="s">
        <v>394</v>
      </c>
      <c r="EU24" s="89" t="s">
        <v>441</v>
      </c>
      <c r="EV24" s="39" t="s">
        <v>394</v>
      </c>
      <c r="EW24" s="39" t="s">
        <v>394</v>
      </c>
      <c r="EX24" s="39" t="s">
        <v>394</v>
      </c>
      <c r="EY24" s="91" t="s">
        <v>485</v>
      </c>
      <c r="EZ24" s="39" t="s">
        <v>394</v>
      </c>
      <c r="FA24" s="39">
        <v>0</v>
      </c>
      <c r="FB24" s="39">
        <v>0</v>
      </c>
      <c r="FC24" s="39" t="s">
        <v>394</v>
      </c>
      <c r="FD24" s="39" t="s">
        <v>394</v>
      </c>
      <c r="FE24" s="39" t="s">
        <v>394</v>
      </c>
      <c r="FF24" s="89"/>
      <c r="FJ24" s="91"/>
    </row>
    <row r="25" spans="1:172" s="39" customFormat="1" ht="99.95" customHeight="1" x14ac:dyDescent="0.25">
      <c r="A25" s="39" t="s">
        <v>235</v>
      </c>
      <c r="B25" s="39" t="s">
        <v>240</v>
      </c>
      <c r="C25" s="39" t="s">
        <v>237</v>
      </c>
      <c r="D25" s="39" t="s">
        <v>237</v>
      </c>
      <c r="E25" s="39" t="s">
        <v>383</v>
      </c>
      <c r="G25" s="88" t="s">
        <v>540</v>
      </c>
      <c r="H25" s="88" t="s">
        <v>539</v>
      </c>
      <c r="I25" s="89" t="s">
        <v>381</v>
      </c>
      <c r="J25" s="39" t="str">
        <f>[1]MiscBanners!$G$4</f>
        <v>Cross-Category_Black_Friday_Week_01.jpg</v>
      </c>
      <c r="K25" s="92" t="s">
        <v>392</v>
      </c>
      <c r="L25" s="92" t="s">
        <v>393</v>
      </c>
      <c r="M25" s="39" t="s">
        <v>394</v>
      </c>
      <c r="N25" s="39" t="s">
        <v>394</v>
      </c>
      <c r="O25" s="39" t="str">
        <f>[1]MiscBanners!$B$4</f>
        <v>https://www.samsung.com/us/shop/all-deals/</v>
      </c>
      <c r="P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5" s="39" t="s">
        <v>394</v>
      </c>
      <c r="R25" s="39" t="s">
        <v>394</v>
      </c>
      <c r="S25" s="89" t="s">
        <v>407</v>
      </c>
      <c r="T25" s="39" t="str">
        <f>'Dynamic Banners'!$L$6</f>
        <v>Cyber-monday-3.png</v>
      </c>
      <c r="U25" s="39" t="str">
        <f>'Dynamic Banners'!$M$6</f>
        <v>Cyber Monday is over. But, Cyber Week is still on.</v>
      </c>
      <c r="V25" s="39" t="s">
        <v>394</v>
      </c>
      <c r="W25" s="39" t="str">
        <f>'Dynamic Banners'!$N$6</f>
        <v xml:space="preserve">Shop amazing offers on showstopping products while supplies last. </v>
      </c>
      <c r="X25" s="39" t="s">
        <v>394</v>
      </c>
      <c r="Y25" s="39" t="str">
        <f>[1]MiscBanners!$B$4</f>
        <v>https://www.samsung.com/us/shop/all-deals/</v>
      </c>
      <c r="Z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5" s="39" t="s">
        <v>394</v>
      </c>
      <c r="AB25" s="39" t="s">
        <v>394</v>
      </c>
      <c r="AC25" s="39" t="s">
        <v>394</v>
      </c>
      <c r="AD25" s="89" t="s">
        <v>408</v>
      </c>
      <c r="AE25" s="39" t="s">
        <v>394</v>
      </c>
      <c r="AF25" s="39" t="s">
        <v>394</v>
      </c>
      <c r="AG25" s="7" t="s">
        <v>559</v>
      </c>
      <c r="AH25" s="39" t="s">
        <v>561</v>
      </c>
      <c r="AI25" s="39" t="s">
        <v>394</v>
      </c>
      <c r="AJ25" s="39" t="str">
        <f>[1]MiscBanners!$B$4</f>
        <v>https://www.samsung.com/us/shop/all-deals/</v>
      </c>
      <c r="AK25"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5" s="39" t="s">
        <v>394</v>
      </c>
      <c r="AM25" s="39" t="s">
        <v>394</v>
      </c>
      <c r="AN25" s="39" t="s">
        <v>394</v>
      </c>
      <c r="AO25" s="89" t="s">
        <v>265</v>
      </c>
      <c r="AP25" s="39" t="str">
        <f>CCModuleCopy!$B$7</f>
        <v>HE_HeadImage_Shop_TVs_500xV.jpg</v>
      </c>
      <c r="AQ25" s="39" t="str">
        <f>CCModuleCopy!$C$7</f>
        <v>Get up to $3000 off select 8K, 4K and Lifestyle TVs</v>
      </c>
      <c r="AR25" s="39" t="str">
        <f>CCModuleCopy!$D$7</f>
        <v>NULL</v>
      </c>
      <c r="AS25"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AT25" s="39" t="str">
        <f>CCModuleCopy!$L$7</f>
        <v>Shop all</v>
      </c>
      <c r="AU25" s="39" t="str">
        <f>CCModuleCopy!$M$7</f>
        <v>https://www.samsung.com/us/shop/all-deals/tv-and-home-theater-deals/</v>
      </c>
      <c r="AV25"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AW25" s="39" t="str">
        <f>CCModuleCopy!$O$7</f>
        <v>NULL</v>
      </c>
      <c r="AX25" s="39" t="str">
        <f>CCModuleCopy!$P$7</f>
        <v>NULL</v>
      </c>
      <c r="AY25" s="39" t="str">
        <f>CCModuleCopy!$Q$7</f>
        <v>NULL</v>
      </c>
      <c r="AZ25" s="89" t="s">
        <v>371</v>
      </c>
      <c r="BA25" s="39" t="str">
        <f>CCModuleCopy!$B$5</f>
        <v>IM_HeadImage_Shop_Phones_500xV.jpg</v>
      </c>
      <c r="BB25" s="39" t="str">
        <f>CCModuleCopy!$C$5</f>
        <v>Save up to $1000 instantly on the latest and greatest Galaxy smartphones</v>
      </c>
      <c r="BC25" s="39" t="str">
        <f>CCModuleCopy!$D$5</f>
        <v>NULL</v>
      </c>
      <c r="BD25"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5" s="39" t="str">
        <f>CCModuleCopy!$L$5</f>
        <v>Shop all</v>
      </c>
      <c r="BF25" s="39" t="str">
        <f>CCModuleCopy!$M$5</f>
        <v>https://www.samsung.com/us/shop/all-deals/cell-phone-deals/</v>
      </c>
      <c r="BG25"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5" s="39" t="str">
        <f>CCModuleCopy!$O$5</f>
        <v>NULL</v>
      </c>
      <c r="BI25" s="39" t="str">
        <f>CCModuleCopy!$P$5</f>
        <v>NULL</v>
      </c>
      <c r="BJ25" s="39" t="str">
        <f>CCModuleCopy!$Q$5</f>
        <v>NULL</v>
      </c>
      <c r="BK25" s="89" t="s">
        <v>266</v>
      </c>
      <c r="BL25" s="39" t="str">
        <f>CCModuleCopy!$B$15</f>
        <v>Tablet-HeadImage-500xV.jpg</v>
      </c>
      <c r="BM25" s="39" t="str">
        <f>CCModuleCopy!$C$15</f>
        <v>Save up to $150 on select tablets</v>
      </c>
      <c r="BN25" s="39" t="str">
        <f>CCModuleCopy!$D$15</f>
        <v>NULL</v>
      </c>
      <c r="BO25" s="39" t="str">
        <f>CCModuleCopy!$E$15</f>
        <v xml:space="preserve">Empower how you create, learn, game and more with our powerful line of tablets. Shop offers on must-have products from the new Galaxy Tab S7+ to the Galaxy Tab S6 Lite. </v>
      </c>
      <c r="BP25" s="39" t="str">
        <f>CCModuleCopy!$L$15</f>
        <v>Shop all</v>
      </c>
      <c r="BQ25" s="39" t="str">
        <f>CCModuleCopy!$M$15</f>
        <v>https://www.samsung.com/us/shop/all-deals/tablets-laptops-computers-deals/</v>
      </c>
      <c r="BR25"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S25" s="39" t="str">
        <f>CCModuleCopy!$O$15</f>
        <v>NULL</v>
      </c>
      <c r="BT25" s="39" t="str">
        <f>CCModuleCopy!$P$15</f>
        <v>NULL</v>
      </c>
      <c r="BU25" s="39" t="str">
        <f>CCModuleCopy!$Q$15</f>
        <v>NULL</v>
      </c>
      <c r="BV25" s="89" t="s">
        <v>367</v>
      </c>
      <c r="BW25" s="39" t="str">
        <f>CCModuleCopy!$B$11</f>
        <v>ME_HeadImage_Wearables_500xV.jpg</v>
      </c>
      <c r="BX25" s="39" t="str">
        <f>CCModuleCopy!$C$11</f>
        <v>Get up to $100 off select watches and earbuds</v>
      </c>
      <c r="BY25" s="39" t="str">
        <f>CCModuleCopy!$D$11</f>
        <v>NULL</v>
      </c>
      <c r="BZ25"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5" s="39" t="str">
        <f>CCModuleCopy!$L$11</f>
        <v>Shop all</v>
      </c>
      <c r="CB25" s="39" t="str">
        <f>CCModuleCopy!$M$11</f>
        <v>https://www.samsung.com/us/shop/all-deals/tablets-wearables-cell-phone-accessories-deals/</v>
      </c>
      <c r="CC25"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5" s="39" t="str">
        <f>CCModuleCopy!$O$11</f>
        <v>NULL</v>
      </c>
      <c r="CE25" s="39" t="str">
        <f>CCModuleCopy!$P$11</f>
        <v>NULL</v>
      </c>
      <c r="CF25" s="39" t="str">
        <f>CCModuleCopy!$Q$11</f>
        <v>NULL</v>
      </c>
      <c r="CG25" s="89" t="s">
        <v>368</v>
      </c>
      <c r="CH25" s="39" t="str">
        <f>CCModuleCopy!$B$13</f>
        <v>CE_HeadImage_Computing_500xV.jpg</v>
      </c>
      <c r="CI25" s="39" t="str">
        <f>CCModuleCopy!$C$13</f>
        <v>Get up to 60% off memory cards, SSD, monitors and more</v>
      </c>
      <c r="CJ25" s="39" t="str">
        <f>CCModuleCopy!$D$13</f>
        <v>NULL</v>
      </c>
      <c r="CK25" s="39" t="str">
        <f>CCModuleCopy!$E$13</f>
        <v xml:space="preserve">Expand the way you play, store and create and get up to 30% off monitors, up to 60% off memory cards, up to 35% off SSD and more. Work and game smarter, not harder with these must-have computing offers. </v>
      </c>
      <c r="CL25" s="39" t="str">
        <f>CCModuleCopy!$L$13</f>
        <v>Shop all</v>
      </c>
      <c r="CM25" s="39" t="str">
        <f>CCModuleCopy!$M$13</f>
        <v>https://www.samsung.com/us/shop/all-deals/laptop-and-computer-deals/</v>
      </c>
      <c r="CN25"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5" s="39" t="str">
        <f>CCModuleCopy!$O$13</f>
        <v>NULL</v>
      </c>
      <c r="CP25" s="39" t="str">
        <f>CCModuleCopy!$P$13</f>
        <v>NULL</v>
      </c>
      <c r="CQ25" s="39" t="str">
        <f>CCModuleCopy!$Q$13</f>
        <v>NULL</v>
      </c>
      <c r="CR25" s="89" t="s">
        <v>279</v>
      </c>
      <c r="CS25" s="39" t="str">
        <f>CCModuleCopy!$B$9</f>
        <v>HA_HeadImage_Shop_HA_500xV.jpg</v>
      </c>
      <c r="CT25" s="39" t="str">
        <f>CCModuleCopy!$C$9</f>
        <v>Save up to 50% on everything you need to upgrade your home and home care</v>
      </c>
      <c r="CU25" s="39" t="str">
        <f>CCModuleCopy!$D$9</f>
        <v>NULL</v>
      </c>
      <c r="CV25"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5" s="39" t="str">
        <f>CCModuleCopy!$L$9</f>
        <v>Shop all</v>
      </c>
      <c r="CX25" s="39" t="str">
        <f>CCModuleCopy!$M$9</f>
        <v>https://www.samsung.com/us/shop/all-deals/home-appliance-and-smart-home-sales/</v>
      </c>
      <c r="CY25"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5" s="39" t="str">
        <f>CCModuleCopy!$O$9</f>
        <v>NULL</v>
      </c>
      <c r="DA25" s="39" t="str">
        <f>CCModuleCopy!$P$9</f>
        <v>NULL</v>
      </c>
      <c r="DB25" s="39" t="str">
        <f>CCModuleCopy!$Q$9</f>
        <v>NULL</v>
      </c>
      <c r="DC25" s="89" t="s">
        <v>280</v>
      </c>
      <c r="DD25" s="39" t="str">
        <f>MiscBanners!$H$4</f>
        <v>Give-wonder-500xV.jpg</v>
      </c>
      <c r="DE25" s="39" t="str">
        <f>MiscBanners!$I$4</f>
        <v>The gift that keeps on giving</v>
      </c>
      <c r="DF25" s="39" t="str">
        <f>MiscBanners!$J$4</f>
        <v>NULL</v>
      </c>
      <c r="DG25" s="91" t="str">
        <f>MiscBanners!$K$4</f>
        <v>Discover even more exclusive offers on your favorite products and unlock the power of smart and savvy gifting.</v>
      </c>
      <c r="DH25" s="39" t="str">
        <f>MiscBanners!$L$4</f>
        <v>Shop now</v>
      </c>
      <c r="DI25" s="39" t="str">
        <f>MiscBanners!$M$4</f>
        <v>https://www.samsung.com/us/gift-ideas/</v>
      </c>
      <c r="DJ25"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5" s="39" t="str">
        <f>MiscBanners!$O$4</f>
        <v>NULL</v>
      </c>
      <c r="DL25" s="39" t="str">
        <f>MiscBanners!$P$4</f>
        <v>NULL</v>
      </c>
      <c r="DM25" s="39" t="str">
        <f>MiscBanners!$Q$4</f>
        <v>NULL</v>
      </c>
      <c r="DN25" s="89" t="s">
        <v>273</v>
      </c>
      <c r="DR25" s="91"/>
      <c r="DY25" s="89" t="s">
        <v>481</v>
      </c>
      <c r="DZ25" s="39" t="s">
        <v>394</v>
      </c>
      <c r="EA25" s="39" t="s">
        <v>394</v>
      </c>
      <c r="EB25" s="39" t="s">
        <v>394</v>
      </c>
      <c r="EC25" s="91" t="s">
        <v>482</v>
      </c>
      <c r="ED25" s="39" t="s">
        <v>394</v>
      </c>
      <c r="EE25" s="39" t="s">
        <v>476</v>
      </c>
      <c r="EF25" s="39">
        <v>0</v>
      </c>
      <c r="EG25" s="39" t="s">
        <v>394</v>
      </c>
      <c r="EH25" s="39" t="s">
        <v>394</v>
      </c>
      <c r="EI25" s="39" t="s">
        <v>394</v>
      </c>
      <c r="EJ25" s="89" t="s">
        <v>439</v>
      </c>
      <c r="EK25" s="39" t="s">
        <v>394</v>
      </c>
      <c r="EL25" s="39" t="s">
        <v>394</v>
      </c>
      <c r="EM25" s="39" t="s">
        <v>394</v>
      </c>
      <c r="EN25" s="91" t="s">
        <v>483</v>
      </c>
      <c r="EO25" s="39" t="s">
        <v>394</v>
      </c>
      <c r="EP25" s="39" t="s">
        <v>476</v>
      </c>
      <c r="EQ25" s="39">
        <v>0</v>
      </c>
      <c r="ER25" s="39" t="s">
        <v>394</v>
      </c>
      <c r="ES25" s="39" t="s">
        <v>394</v>
      </c>
      <c r="ET25" s="39" t="s">
        <v>394</v>
      </c>
      <c r="EU25" s="89" t="s">
        <v>441</v>
      </c>
      <c r="EV25" s="39" t="s">
        <v>394</v>
      </c>
      <c r="EW25" s="39" t="s">
        <v>394</v>
      </c>
      <c r="EX25" s="39" t="s">
        <v>394</v>
      </c>
      <c r="EY25" s="91" t="s">
        <v>485</v>
      </c>
      <c r="EZ25" s="39" t="s">
        <v>394</v>
      </c>
      <c r="FA25" s="39">
        <v>0</v>
      </c>
      <c r="FB25" s="39">
        <v>0</v>
      </c>
      <c r="FC25" s="39" t="s">
        <v>394</v>
      </c>
      <c r="FD25" s="39" t="s">
        <v>394</v>
      </c>
      <c r="FE25" s="39" t="s">
        <v>394</v>
      </c>
      <c r="FF25" s="89"/>
      <c r="FJ25" s="91"/>
    </row>
    <row r="26" spans="1:172" s="39" customFormat="1" ht="99.95" customHeight="1" x14ac:dyDescent="0.25">
      <c r="A26" s="39" t="s">
        <v>235</v>
      </c>
      <c r="B26" s="92" t="s">
        <v>241</v>
      </c>
      <c r="C26" s="39" t="s">
        <v>237</v>
      </c>
      <c r="D26" s="39" t="s">
        <v>237</v>
      </c>
      <c r="E26" s="39" t="s">
        <v>383</v>
      </c>
      <c r="G26" s="88" t="s">
        <v>540</v>
      </c>
      <c r="H26" s="88" t="s">
        <v>539</v>
      </c>
      <c r="I26" s="89" t="s">
        <v>381</v>
      </c>
      <c r="J26" s="39" t="str">
        <f>[1]MiscBanners!$G$4</f>
        <v>Cross-Category_Black_Friday_Week_01.jpg</v>
      </c>
      <c r="K26" s="92" t="s">
        <v>392</v>
      </c>
      <c r="L26" s="92" t="s">
        <v>393</v>
      </c>
      <c r="M26" s="39" t="s">
        <v>394</v>
      </c>
      <c r="N26" s="39" t="s">
        <v>394</v>
      </c>
      <c r="O26" s="39" t="str">
        <f>[1]MiscBanners!$B$4</f>
        <v>https://www.samsung.com/us/shop/all-deals/</v>
      </c>
      <c r="P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6" s="39" t="s">
        <v>394</v>
      </c>
      <c r="R26" s="39" t="s">
        <v>394</v>
      </c>
      <c r="S26" s="89" t="s">
        <v>407</v>
      </c>
      <c r="T26" s="39" t="str">
        <f>'Dynamic Banners'!$L$6</f>
        <v>Cyber-monday-3.png</v>
      </c>
      <c r="U26" s="39" t="str">
        <f>'Dynamic Banners'!$M$6</f>
        <v>Cyber Monday is over. But, Cyber Week is still on.</v>
      </c>
      <c r="V26" s="39" t="s">
        <v>394</v>
      </c>
      <c r="W26" s="39" t="str">
        <f>'Dynamic Banners'!$N$6</f>
        <v xml:space="preserve">Shop amazing offers on showstopping products while supplies last. </v>
      </c>
      <c r="X26" s="39" t="s">
        <v>394</v>
      </c>
      <c r="Y26" s="39" t="str">
        <f>[1]MiscBanners!$B$4</f>
        <v>https://www.samsung.com/us/shop/all-deals/</v>
      </c>
      <c r="Z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6" s="39" t="s">
        <v>394</v>
      </c>
      <c r="AB26" s="39" t="s">
        <v>394</v>
      </c>
      <c r="AC26" s="39" t="s">
        <v>394</v>
      </c>
      <c r="AD26" s="89" t="s">
        <v>408</v>
      </c>
      <c r="AE26" s="39" t="s">
        <v>394</v>
      </c>
      <c r="AF26" s="39" t="s">
        <v>394</v>
      </c>
      <c r="AG26" s="7" t="s">
        <v>559</v>
      </c>
      <c r="AH26" s="39" t="s">
        <v>561</v>
      </c>
      <c r="AI26" s="39" t="s">
        <v>394</v>
      </c>
      <c r="AJ26" s="39" t="str">
        <f>[1]MiscBanners!$B$4</f>
        <v>https://www.samsung.com/us/shop/all-deals/</v>
      </c>
      <c r="AK26"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6" s="39" t="s">
        <v>394</v>
      </c>
      <c r="AM26" s="39" t="s">
        <v>394</v>
      </c>
      <c r="AN26" s="39" t="s">
        <v>394</v>
      </c>
      <c r="AO26" s="89" t="s">
        <v>266</v>
      </c>
      <c r="AP26" s="39" t="str">
        <f>CCModuleCopy!$B$15</f>
        <v>Tablet-HeadImage-500xV.jpg</v>
      </c>
      <c r="AQ26" s="39" t="str">
        <f>CCModuleCopy!$C$15</f>
        <v>Save up to $150 on select tablets</v>
      </c>
      <c r="AR26" s="39" t="str">
        <f>CCModuleCopy!$D$15</f>
        <v>NULL</v>
      </c>
      <c r="AS26" s="39" t="str">
        <f>CCModuleCopy!$E$15</f>
        <v xml:space="preserve">Empower how you create, learn, game and more with our powerful line of tablets. Shop offers on must-have products from the new Galaxy Tab S7+ to the Galaxy Tab S6 Lite. </v>
      </c>
      <c r="AT26" s="39" t="str">
        <f>CCModuleCopy!$L$15</f>
        <v>Shop all</v>
      </c>
      <c r="AU26" s="39" t="str">
        <f>CCModuleCopy!$M$15</f>
        <v>https://www.samsung.com/us/shop/all-deals/tablets-laptops-computers-deals/</v>
      </c>
      <c r="AV26" s="39"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W26" s="39" t="str">
        <f>CCModuleCopy!$O$15</f>
        <v>NULL</v>
      </c>
      <c r="AX26" s="39" t="str">
        <f>CCModuleCopy!$P$15</f>
        <v>NULL</v>
      </c>
      <c r="AY26" s="39" t="str">
        <f>CCModuleCopy!$Q$15</f>
        <v>NULL</v>
      </c>
      <c r="AZ26" s="89" t="s">
        <v>371</v>
      </c>
      <c r="BA26" s="39" t="str">
        <f>CCModuleCopy!$B$5</f>
        <v>IM_HeadImage_Shop_Phones_500xV.jpg</v>
      </c>
      <c r="BB26" s="39" t="str">
        <f>CCModuleCopy!$C$5</f>
        <v>Save up to $1000 instantly on the latest and greatest Galaxy smartphones</v>
      </c>
      <c r="BC26" s="39" t="str">
        <f>CCModuleCopy!$D$5</f>
        <v>NULL</v>
      </c>
      <c r="BD26"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6" s="39" t="str">
        <f>CCModuleCopy!$L$5</f>
        <v>Shop all</v>
      </c>
      <c r="BF26" s="39" t="str">
        <f>CCModuleCopy!$M$5</f>
        <v>https://www.samsung.com/us/shop/all-deals/cell-phone-deals/</v>
      </c>
      <c r="BG26"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6" s="39" t="str">
        <f>CCModuleCopy!$O$5</f>
        <v>NULL</v>
      </c>
      <c r="BI26" s="39" t="str">
        <f>CCModuleCopy!$P$5</f>
        <v>NULL</v>
      </c>
      <c r="BJ26" s="39" t="str">
        <f>CCModuleCopy!$Q$5</f>
        <v>NULL</v>
      </c>
      <c r="BK26" s="89" t="s">
        <v>265</v>
      </c>
      <c r="BL26" s="39" t="str">
        <f>CCModuleCopy!$B$7</f>
        <v>HE_HeadImage_Shop_TVs_500xV.jpg</v>
      </c>
      <c r="BM26" s="39" t="str">
        <f>CCModuleCopy!$C$7</f>
        <v>Get up to $3000 off select 8K, 4K and Lifestyle TVs</v>
      </c>
      <c r="BN26" s="39" t="str">
        <f>CCModuleCopy!$D$7</f>
        <v>NULL</v>
      </c>
      <c r="BO26"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6" s="39" t="str">
        <f>CCModuleCopy!$L$7</f>
        <v>Shop all</v>
      </c>
      <c r="BQ26" s="39" t="str">
        <f>CCModuleCopy!$M$7</f>
        <v>https://www.samsung.com/us/shop/all-deals/tv-and-home-theater-deals/</v>
      </c>
      <c r="BR26"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6" s="39" t="str">
        <f>CCModuleCopy!$O$7</f>
        <v>NULL</v>
      </c>
      <c r="BT26" s="39" t="str">
        <f>CCModuleCopy!$P$7</f>
        <v>NULL</v>
      </c>
      <c r="BU26" s="39" t="str">
        <f>CCModuleCopy!$Q$7</f>
        <v>NULL</v>
      </c>
      <c r="BV26" s="89" t="s">
        <v>367</v>
      </c>
      <c r="BW26" s="39" t="str">
        <f>CCModuleCopy!$B$11</f>
        <v>ME_HeadImage_Wearables_500xV.jpg</v>
      </c>
      <c r="BX26" s="39" t="str">
        <f>CCModuleCopy!$C$11</f>
        <v>Get up to $100 off select watches and earbuds</v>
      </c>
      <c r="BY26" s="39" t="str">
        <f>CCModuleCopy!$D$11</f>
        <v>NULL</v>
      </c>
      <c r="BZ26"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A26" s="39" t="str">
        <f>CCModuleCopy!$L$11</f>
        <v>Shop all</v>
      </c>
      <c r="CB26" s="39" t="str">
        <f>CCModuleCopy!$M$11</f>
        <v>https://www.samsung.com/us/shop/all-deals/tablets-wearables-cell-phone-accessories-deals/</v>
      </c>
      <c r="CC26" s="91"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D26" s="39" t="str">
        <f>CCModuleCopy!$O$11</f>
        <v>NULL</v>
      </c>
      <c r="CE26" s="39" t="str">
        <f>CCModuleCopy!$P$11</f>
        <v>NULL</v>
      </c>
      <c r="CF26" s="39" t="str">
        <f>CCModuleCopy!$Q$11</f>
        <v>NULL</v>
      </c>
      <c r="CG26" s="89" t="s">
        <v>368</v>
      </c>
      <c r="CH26" s="39" t="str">
        <f>CCModuleCopy!$B$13</f>
        <v>CE_HeadImage_Computing_500xV.jpg</v>
      </c>
      <c r="CI26" s="39" t="str">
        <f>CCModuleCopy!$C$13</f>
        <v>Get up to 60% off memory cards, SSD, monitors and more</v>
      </c>
      <c r="CJ26" s="39" t="str">
        <f>CCModuleCopy!$D$13</f>
        <v>NULL</v>
      </c>
      <c r="CK26" s="39" t="str">
        <f>CCModuleCopy!$E$13</f>
        <v xml:space="preserve">Expand the way you play, store and create and get up to 30% off monitors, up to 60% off memory cards, up to 35% off SSD and more. Work and game smarter, not harder with these must-have computing offers. </v>
      </c>
      <c r="CL26" s="39" t="str">
        <f>CCModuleCopy!$L$13</f>
        <v>Shop all</v>
      </c>
      <c r="CM26" s="39" t="str">
        <f>CCModuleCopy!$M$13</f>
        <v>https://www.samsung.com/us/shop/all-deals/laptop-and-computer-deals/</v>
      </c>
      <c r="CN26"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6" s="39" t="str">
        <f>CCModuleCopy!$O$13</f>
        <v>NULL</v>
      </c>
      <c r="CP26" s="39" t="str">
        <f>CCModuleCopy!$P$13</f>
        <v>NULL</v>
      </c>
      <c r="CQ26" s="39" t="str">
        <f>CCModuleCopy!$Q$13</f>
        <v>NULL</v>
      </c>
      <c r="CR26" s="89" t="s">
        <v>279</v>
      </c>
      <c r="CS26" s="39" t="str">
        <f>CCModuleCopy!$B$9</f>
        <v>HA_HeadImage_Shop_HA_500xV.jpg</v>
      </c>
      <c r="CT26" s="39" t="str">
        <f>CCModuleCopy!$C$9</f>
        <v>Save up to 50% on everything you need to upgrade your home and home care</v>
      </c>
      <c r="CU26" s="39" t="str">
        <f>CCModuleCopy!$D$9</f>
        <v>NULL</v>
      </c>
      <c r="CV26"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6" s="39" t="str">
        <f>CCModuleCopy!$L$9</f>
        <v>Shop all</v>
      </c>
      <c r="CX26" s="39" t="str">
        <f>CCModuleCopy!$M$9</f>
        <v>https://www.samsung.com/us/shop/all-deals/home-appliance-and-smart-home-sales/</v>
      </c>
      <c r="CY26"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6" s="39" t="str">
        <f>CCModuleCopy!$O$9</f>
        <v>NULL</v>
      </c>
      <c r="DA26" s="39" t="str">
        <f>CCModuleCopy!$P$9</f>
        <v>NULL</v>
      </c>
      <c r="DB26" s="39" t="str">
        <f>CCModuleCopy!$Q$9</f>
        <v>NULL</v>
      </c>
      <c r="DC26" s="89" t="s">
        <v>280</v>
      </c>
      <c r="DD26" s="39" t="str">
        <f>MiscBanners!$H$4</f>
        <v>Give-wonder-500xV.jpg</v>
      </c>
      <c r="DE26" s="39" t="str">
        <f>MiscBanners!$I$4</f>
        <v>The gift that keeps on giving</v>
      </c>
      <c r="DF26" s="39" t="str">
        <f>MiscBanners!$J$4</f>
        <v>NULL</v>
      </c>
      <c r="DG26" s="91" t="str">
        <f>MiscBanners!$K$4</f>
        <v>Discover even more exclusive offers on your favorite products and unlock the power of smart and savvy gifting.</v>
      </c>
      <c r="DH26" s="39" t="str">
        <f>MiscBanners!$L$4</f>
        <v>Shop now</v>
      </c>
      <c r="DI26" s="39" t="str">
        <f>MiscBanners!$M$4</f>
        <v>https://www.samsung.com/us/gift-ideas/</v>
      </c>
      <c r="DJ26"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6" s="39" t="str">
        <f>MiscBanners!$O$4</f>
        <v>NULL</v>
      </c>
      <c r="DL26" s="39" t="str">
        <f>MiscBanners!$P$4</f>
        <v>NULL</v>
      </c>
      <c r="DM26" s="39" t="str">
        <f>MiscBanners!$Q$4</f>
        <v>NULL</v>
      </c>
      <c r="DN26" s="89" t="s">
        <v>273</v>
      </c>
      <c r="DR26" s="91"/>
      <c r="DY26" s="89" t="s">
        <v>481</v>
      </c>
      <c r="DZ26" s="39" t="s">
        <v>394</v>
      </c>
      <c r="EA26" s="39" t="s">
        <v>394</v>
      </c>
      <c r="EB26" s="39" t="s">
        <v>394</v>
      </c>
      <c r="EC26" s="91" t="s">
        <v>482</v>
      </c>
      <c r="ED26" s="39" t="s">
        <v>394</v>
      </c>
      <c r="EE26" s="39" t="s">
        <v>476</v>
      </c>
      <c r="EF26" s="39">
        <v>0</v>
      </c>
      <c r="EG26" s="39" t="s">
        <v>394</v>
      </c>
      <c r="EH26" s="39" t="s">
        <v>394</v>
      </c>
      <c r="EI26" s="39" t="s">
        <v>394</v>
      </c>
      <c r="EJ26" s="89" t="s">
        <v>439</v>
      </c>
      <c r="EK26" s="39" t="s">
        <v>394</v>
      </c>
      <c r="EL26" s="39" t="s">
        <v>394</v>
      </c>
      <c r="EM26" s="39" t="s">
        <v>394</v>
      </c>
      <c r="EN26" s="91" t="s">
        <v>483</v>
      </c>
      <c r="EO26" s="39" t="s">
        <v>394</v>
      </c>
      <c r="EP26" s="39" t="s">
        <v>476</v>
      </c>
      <c r="EQ26" s="39">
        <v>0</v>
      </c>
      <c r="ER26" s="39" t="s">
        <v>394</v>
      </c>
      <c r="ES26" s="39" t="s">
        <v>394</v>
      </c>
      <c r="ET26" s="39" t="s">
        <v>394</v>
      </c>
      <c r="EU26" s="89" t="s">
        <v>441</v>
      </c>
      <c r="EV26" s="39" t="s">
        <v>394</v>
      </c>
      <c r="EW26" s="39" t="s">
        <v>394</v>
      </c>
      <c r="EX26" s="39" t="s">
        <v>394</v>
      </c>
      <c r="EY26" s="91" t="s">
        <v>485</v>
      </c>
      <c r="EZ26" s="39" t="s">
        <v>394</v>
      </c>
      <c r="FA26" s="39">
        <v>0</v>
      </c>
      <c r="FB26" s="39">
        <v>0</v>
      </c>
      <c r="FC26" s="39" t="s">
        <v>394</v>
      </c>
      <c r="FD26" s="39" t="s">
        <v>394</v>
      </c>
      <c r="FE26" s="39" t="s">
        <v>394</v>
      </c>
      <c r="FF26" s="89"/>
      <c r="FJ26" s="91"/>
    </row>
    <row r="27" spans="1:172" s="39" customFormat="1" ht="99.95" customHeight="1" x14ac:dyDescent="0.25">
      <c r="A27" s="39" t="s">
        <v>235</v>
      </c>
      <c r="B27" s="39" t="s">
        <v>264</v>
      </c>
      <c r="C27" s="39" t="s">
        <v>237</v>
      </c>
      <c r="D27" s="39" t="s">
        <v>237</v>
      </c>
      <c r="E27" s="39" t="s">
        <v>383</v>
      </c>
      <c r="G27" s="88" t="s">
        <v>540</v>
      </c>
      <c r="H27" s="88" t="s">
        <v>539</v>
      </c>
      <c r="I27" s="89" t="s">
        <v>381</v>
      </c>
      <c r="J27" s="39" t="str">
        <f>[1]MiscBanners!$G$4</f>
        <v>Cross-Category_Black_Friday_Week_01.jpg</v>
      </c>
      <c r="K27" s="92" t="s">
        <v>392</v>
      </c>
      <c r="L27" s="92" t="s">
        <v>393</v>
      </c>
      <c r="M27" s="39" t="s">
        <v>394</v>
      </c>
      <c r="N27" s="39" t="s">
        <v>394</v>
      </c>
      <c r="O27" s="39" t="str">
        <f>[1]MiscBanners!$B$4</f>
        <v>https://www.samsung.com/us/shop/all-deals/</v>
      </c>
      <c r="P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7" s="39" t="s">
        <v>394</v>
      </c>
      <c r="R27" s="39" t="s">
        <v>394</v>
      </c>
      <c r="S27" s="89" t="s">
        <v>407</v>
      </c>
      <c r="T27" s="39" t="str">
        <f>'Dynamic Banners'!$L$6</f>
        <v>Cyber-monday-3.png</v>
      </c>
      <c r="U27" s="39" t="str">
        <f>'Dynamic Banners'!$M$6</f>
        <v>Cyber Monday is over. But, Cyber Week is still on.</v>
      </c>
      <c r="V27" s="39" t="s">
        <v>394</v>
      </c>
      <c r="W27" s="39" t="str">
        <f>'Dynamic Banners'!$N$6</f>
        <v xml:space="preserve">Shop amazing offers on showstopping products while supplies last. </v>
      </c>
      <c r="X27" s="39" t="s">
        <v>394</v>
      </c>
      <c r="Y27" s="39" t="str">
        <f>[1]MiscBanners!$B$4</f>
        <v>https://www.samsung.com/us/shop/all-deals/</v>
      </c>
      <c r="Z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7" s="39" t="s">
        <v>394</v>
      </c>
      <c r="AB27" s="39" t="s">
        <v>394</v>
      </c>
      <c r="AC27" s="39" t="s">
        <v>394</v>
      </c>
      <c r="AD27" s="89" t="s">
        <v>408</v>
      </c>
      <c r="AE27" s="39" t="s">
        <v>394</v>
      </c>
      <c r="AF27" s="39" t="s">
        <v>394</v>
      </c>
      <c r="AG27" s="7" t="s">
        <v>559</v>
      </c>
      <c r="AH27" s="39" t="s">
        <v>561</v>
      </c>
      <c r="AI27" s="39" t="s">
        <v>394</v>
      </c>
      <c r="AJ27" s="39" t="str">
        <f>[1]MiscBanners!$B$4</f>
        <v>https://www.samsung.com/us/shop/all-deals/</v>
      </c>
      <c r="AK27"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7" s="39" t="s">
        <v>394</v>
      </c>
      <c r="AM27" s="39" t="s">
        <v>394</v>
      </c>
      <c r="AN27" s="39" t="s">
        <v>394</v>
      </c>
      <c r="AO27" s="89" t="s">
        <v>367</v>
      </c>
      <c r="AP27" s="39" t="str">
        <f>CCModuleCopy!$B$11</f>
        <v>ME_HeadImage_Wearables_500xV.jpg</v>
      </c>
      <c r="AQ27" s="39" t="str">
        <f>CCModuleCopy!$C$11</f>
        <v>Get up to $100 off select watches and earbuds</v>
      </c>
      <c r="AR27" s="39" t="str">
        <f>CCModuleCopy!$D$11</f>
        <v>NULL</v>
      </c>
      <c r="AS27"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AT27" s="39" t="str">
        <f>CCModuleCopy!$L$11</f>
        <v>Shop all</v>
      </c>
      <c r="AU27" s="39" t="str">
        <f>CCModuleCopy!$M$11</f>
        <v>https://www.samsung.com/us/shop/all-deals/tablets-wearables-cell-phone-accessories-deals/</v>
      </c>
      <c r="AV27"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AW27" s="39" t="str">
        <f>CCModuleCopy!$O$11</f>
        <v>NULL</v>
      </c>
      <c r="AX27" s="39" t="str">
        <f>CCModuleCopy!$P$11</f>
        <v>NULL</v>
      </c>
      <c r="AY27" s="39" t="str">
        <f>CCModuleCopy!$Q$11</f>
        <v>NULL</v>
      </c>
      <c r="AZ27" s="89" t="s">
        <v>371</v>
      </c>
      <c r="BA27" s="39" t="str">
        <f>CCModuleCopy!$B$5</f>
        <v>IM_HeadImage_Shop_Phones_500xV.jpg</v>
      </c>
      <c r="BB27" s="39" t="str">
        <f>CCModuleCopy!$C$5</f>
        <v>Save up to $1000 instantly on the latest and greatest Galaxy smartphones</v>
      </c>
      <c r="BC27" s="39" t="str">
        <f>CCModuleCopy!$D$5</f>
        <v>NULL</v>
      </c>
      <c r="BD27"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7" s="39" t="str">
        <f>CCModuleCopy!$L$5</f>
        <v>Shop all</v>
      </c>
      <c r="BF27" s="39" t="str">
        <f>CCModuleCopy!$M$5</f>
        <v>https://www.samsung.com/us/shop/all-deals/cell-phone-deals/</v>
      </c>
      <c r="BG27"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7" s="39" t="str">
        <f>CCModuleCopy!$O$5</f>
        <v>NULL</v>
      </c>
      <c r="BI27" s="39" t="str">
        <f>CCModuleCopy!$P$5</f>
        <v>NULL</v>
      </c>
      <c r="BJ27" s="39" t="str">
        <f>CCModuleCopy!$Q$5</f>
        <v>NULL</v>
      </c>
      <c r="BK27" s="89" t="s">
        <v>265</v>
      </c>
      <c r="BL27" s="39" t="str">
        <f>CCModuleCopy!$B$7</f>
        <v>HE_HeadImage_Shop_TVs_500xV.jpg</v>
      </c>
      <c r="BM27" s="39" t="str">
        <f>CCModuleCopy!$C$7</f>
        <v>Get up to $3000 off select 8K, 4K and Lifestyle TVs</v>
      </c>
      <c r="BN27" s="39" t="str">
        <f>CCModuleCopy!$D$7</f>
        <v>NULL</v>
      </c>
      <c r="BO27"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7" s="39" t="str">
        <f>CCModuleCopy!$L$7</f>
        <v>Shop all</v>
      </c>
      <c r="BQ27" s="39" t="str">
        <f>CCModuleCopy!$M$7</f>
        <v>https://www.samsung.com/us/shop/all-deals/tv-and-home-theater-deals/</v>
      </c>
      <c r="BR27"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7" s="39" t="str">
        <f>CCModuleCopy!$O$7</f>
        <v>NULL</v>
      </c>
      <c r="BT27" s="39" t="str">
        <f>CCModuleCopy!$P$7</f>
        <v>NULL</v>
      </c>
      <c r="BU27" s="39" t="str">
        <f>CCModuleCopy!$Q$7</f>
        <v>NULL</v>
      </c>
      <c r="BV27" s="89" t="s">
        <v>266</v>
      </c>
      <c r="BW27" s="39" t="str">
        <f>CCModuleCopy!$B$15</f>
        <v>Tablet-HeadImage-500xV.jpg</v>
      </c>
      <c r="BX27" s="39" t="str">
        <f>CCModuleCopy!$C$15</f>
        <v>Save up to $150 on select tablets</v>
      </c>
      <c r="BY27" s="39" t="str">
        <f>CCModuleCopy!$D$15</f>
        <v>NULL</v>
      </c>
      <c r="BZ27" s="39" t="str">
        <f>CCModuleCopy!$E$15</f>
        <v xml:space="preserve">Empower how you create, learn, game and more with our powerful line of tablets. Shop offers on must-have products from the new Galaxy Tab S7+ to the Galaxy Tab S6 Lite. </v>
      </c>
      <c r="CA27" s="39" t="str">
        <f>CCModuleCopy!$L$15</f>
        <v>Shop all</v>
      </c>
      <c r="CB27" s="39" t="str">
        <f>CCModuleCopy!$M$15</f>
        <v>https://www.samsung.com/us/shop/all-deals/tablets-laptops-computers-deals/</v>
      </c>
      <c r="CC27"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7" s="39" t="str">
        <f>CCModuleCopy!$O$15</f>
        <v>NULL</v>
      </c>
      <c r="CE27" s="39" t="str">
        <f>CCModuleCopy!$P$15</f>
        <v>NULL</v>
      </c>
      <c r="CF27" s="39" t="str">
        <f>CCModuleCopy!$Q$15</f>
        <v>NULL</v>
      </c>
      <c r="CG27" s="89" t="s">
        <v>368</v>
      </c>
      <c r="CH27" s="39" t="str">
        <f>CCModuleCopy!$B$13</f>
        <v>CE_HeadImage_Computing_500xV.jpg</v>
      </c>
      <c r="CI27" s="39" t="str">
        <f>CCModuleCopy!$C$13</f>
        <v>Get up to 60% off memory cards, SSD, monitors and more</v>
      </c>
      <c r="CJ27" s="39" t="str">
        <f>CCModuleCopy!$D$13</f>
        <v>NULL</v>
      </c>
      <c r="CK27" s="39" t="str">
        <f>CCModuleCopy!$E$13</f>
        <v xml:space="preserve">Expand the way you play, store and create and get up to 30% off monitors, up to 60% off memory cards, up to 35% off SSD and more. Work and game smarter, not harder with these must-have computing offers. </v>
      </c>
      <c r="CL27" s="39" t="str">
        <f>CCModuleCopy!$L$13</f>
        <v>Shop all</v>
      </c>
      <c r="CM27" s="39" t="str">
        <f>CCModuleCopy!$M$13</f>
        <v>https://www.samsung.com/us/shop/all-deals/laptop-and-computer-deals/</v>
      </c>
      <c r="CN27"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O27" s="39" t="str">
        <f>CCModuleCopy!$O$13</f>
        <v>NULL</v>
      </c>
      <c r="CP27" s="39" t="str">
        <f>CCModuleCopy!$P$13</f>
        <v>NULL</v>
      </c>
      <c r="CQ27" s="39" t="str">
        <f>CCModuleCopy!$Q$13</f>
        <v>NULL</v>
      </c>
      <c r="CR27" s="89" t="s">
        <v>279</v>
      </c>
      <c r="CS27" s="39" t="str">
        <f>CCModuleCopy!$B$9</f>
        <v>HA_HeadImage_Shop_HA_500xV.jpg</v>
      </c>
      <c r="CT27" s="39" t="str">
        <f>CCModuleCopy!$C$9</f>
        <v>Save up to 50% on everything you need to upgrade your home and home care</v>
      </c>
      <c r="CU27" s="39" t="str">
        <f>CCModuleCopy!$D$9</f>
        <v>NULL</v>
      </c>
      <c r="CV27"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7" s="39" t="str">
        <f>CCModuleCopy!$L$9</f>
        <v>Shop all</v>
      </c>
      <c r="CX27" s="39" t="str">
        <f>CCModuleCopy!$M$9</f>
        <v>https://www.samsung.com/us/shop/all-deals/home-appliance-and-smart-home-sales/</v>
      </c>
      <c r="CY27"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7" s="39" t="str">
        <f>CCModuleCopy!$O$9</f>
        <v>NULL</v>
      </c>
      <c r="DA27" s="39" t="str">
        <f>CCModuleCopy!$P$9</f>
        <v>NULL</v>
      </c>
      <c r="DB27" s="39" t="str">
        <f>CCModuleCopy!$Q$9</f>
        <v>NULL</v>
      </c>
      <c r="DC27" s="89" t="s">
        <v>280</v>
      </c>
      <c r="DD27" s="39" t="str">
        <f>MiscBanners!$H$4</f>
        <v>Give-wonder-500xV.jpg</v>
      </c>
      <c r="DE27" s="39" t="str">
        <f>MiscBanners!$I$4</f>
        <v>The gift that keeps on giving</v>
      </c>
      <c r="DF27" s="39" t="str">
        <f>MiscBanners!$J$4</f>
        <v>NULL</v>
      </c>
      <c r="DG27" s="91" t="str">
        <f>MiscBanners!$K$4</f>
        <v>Discover even more exclusive offers on your favorite products and unlock the power of smart and savvy gifting.</v>
      </c>
      <c r="DH27" s="39" t="str">
        <f>MiscBanners!$L$4</f>
        <v>Shop now</v>
      </c>
      <c r="DI27" s="39" t="str">
        <f>MiscBanners!$M$4</f>
        <v>https://www.samsung.com/us/gift-ideas/</v>
      </c>
      <c r="DJ27"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7" s="39" t="str">
        <f>MiscBanners!$O$4</f>
        <v>NULL</v>
      </c>
      <c r="DL27" s="39" t="str">
        <f>MiscBanners!$P$4</f>
        <v>NULL</v>
      </c>
      <c r="DM27" s="39" t="str">
        <f>MiscBanners!$Q$4</f>
        <v>NULL</v>
      </c>
      <c r="DN27" s="89" t="s">
        <v>273</v>
      </c>
      <c r="DR27" s="91"/>
      <c r="DY27" s="89" t="s">
        <v>481</v>
      </c>
      <c r="DZ27" s="39" t="s">
        <v>394</v>
      </c>
      <c r="EA27" s="39" t="s">
        <v>394</v>
      </c>
      <c r="EB27" s="39" t="s">
        <v>394</v>
      </c>
      <c r="EC27" s="91" t="s">
        <v>482</v>
      </c>
      <c r="ED27" s="39" t="s">
        <v>394</v>
      </c>
      <c r="EE27" s="39" t="s">
        <v>476</v>
      </c>
      <c r="EF27" s="39">
        <v>0</v>
      </c>
      <c r="EG27" s="39" t="s">
        <v>394</v>
      </c>
      <c r="EH27" s="39" t="s">
        <v>394</v>
      </c>
      <c r="EI27" s="39" t="s">
        <v>394</v>
      </c>
      <c r="EJ27" s="89" t="s">
        <v>439</v>
      </c>
      <c r="EK27" s="39" t="s">
        <v>394</v>
      </c>
      <c r="EL27" s="39" t="s">
        <v>394</v>
      </c>
      <c r="EM27" s="39" t="s">
        <v>394</v>
      </c>
      <c r="EN27" s="91" t="s">
        <v>483</v>
      </c>
      <c r="EO27" s="39" t="s">
        <v>394</v>
      </c>
      <c r="EP27" s="39" t="s">
        <v>476</v>
      </c>
      <c r="EQ27" s="39">
        <v>0</v>
      </c>
      <c r="ER27" s="39" t="s">
        <v>394</v>
      </c>
      <c r="ES27" s="39" t="s">
        <v>394</v>
      </c>
      <c r="ET27" s="39" t="s">
        <v>394</v>
      </c>
      <c r="EU27" s="89" t="s">
        <v>441</v>
      </c>
      <c r="EV27" s="39" t="s">
        <v>394</v>
      </c>
      <c r="EW27" s="39" t="s">
        <v>394</v>
      </c>
      <c r="EX27" s="39" t="s">
        <v>394</v>
      </c>
      <c r="EY27" s="91" t="s">
        <v>485</v>
      </c>
      <c r="EZ27" s="39" t="s">
        <v>394</v>
      </c>
      <c r="FA27" s="39">
        <v>0</v>
      </c>
      <c r="FB27" s="39">
        <v>0</v>
      </c>
      <c r="FC27" s="39" t="s">
        <v>394</v>
      </c>
      <c r="FD27" s="39" t="s">
        <v>394</v>
      </c>
      <c r="FE27" s="39" t="s">
        <v>394</v>
      </c>
      <c r="FF27" s="89"/>
      <c r="FJ27" s="91"/>
    </row>
    <row r="28" spans="1:172" s="39" customFormat="1" ht="99.95" customHeight="1" x14ac:dyDescent="0.25">
      <c r="A28" s="39" t="s">
        <v>235</v>
      </c>
      <c r="B28" s="39" t="s">
        <v>361</v>
      </c>
      <c r="C28" s="39" t="s">
        <v>237</v>
      </c>
      <c r="D28" s="39" t="s">
        <v>237</v>
      </c>
      <c r="E28" s="39" t="s">
        <v>383</v>
      </c>
      <c r="G28" s="88" t="s">
        <v>540</v>
      </c>
      <c r="H28" s="88" t="s">
        <v>539</v>
      </c>
      <c r="I28" s="89" t="s">
        <v>381</v>
      </c>
      <c r="J28" s="39" t="str">
        <f>[1]MiscBanners!$G$4</f>
        <v>Cross-Category_Black_Friday_Week_01.jpg</v>
      </c>
      <c r="K28" s="92" t="s">
        <v>392</v>
      </c>
      <c r="L28" s="92" t="s">
        <v>393</v>
      </c>
      <c r="M28" s="39" t="s">
        <v>394</v>
      </c>
      <c r="N28" s="39" t="s">
        <v>394</v>
      </c>
      <c r="O28" s="39" t="str">
        <f>[1]MiscBanners!$B$4</f>
        <v>https://www.samsung.com/us/shop/all-deals/</v>
      </c>
      <c r="P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8" s="39" t="s">
        <v>394</v>
      </c>
      <c r="R28" s="39" t="s">
        <v>394</v>
      </c>
      <c r="S28" s="89" t="s">
        <v>407</v>
      </c>
      <c r="T28" s="39" t="str">
        <f>'Dynamic Banners'!$L$6</f>
        <v>Cyber-monday-3.png</v>
      </c>
      <c r="U28" s="39" t="str">
        <f>'Dynamic Banners'!$M$6</f>
        <v>Cyber Monday is over. But, Cyber Week is still on.</v>
      </c>
      <c r="V28" s="39" t="s">
        <v>394</v>
      </c>
      <c r="W28" s="39" t="str">
        <f>'Dynamic Banners'!$N$6</f>
        <v xml:space="preserve">Shop amazing offers on showstopping products while supplies last. </v>
      </c>
      <c r="X28" s="39" t="s">
        <v>394</v>
      </c>
      <c r="Y28" s="39" t="str">
        <f>[1]MiscBanners!$B$4</f>
        <v>https://www.samsung.com/us/shop/all-deals/</v>
      </c>
      <c r="Z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8" s="39" t="s">
        <v>394</v>
      </c>
      <c r="AB28" s="39" t="s">
        <v>394</v>
      </c>
      <c r="AC28" s="39" t="s">
        <v>394</v>
      </c>
      <c r="AD28" s="89" t="s">
        <v>408</v>
      </c>
      <c r="AE28" s="39" t="s">
        <v>394</v>
      </c>
      <c r="AF28" s="39" t="s">
        <v>394</v>
      </c>
      <c r="AG28" s="7" t="s">
        <v>559</v>
      </c>
      <c r="AH28" s="39" t="s">
        <v>561</v>
      </c>
      <c r="AI28" s="39" t="s">
        <v>394</v>
      </c>
      <c r="AJ28" s="39" t="str">
        <f>[1]MiscBanners!$B$4</f>
        <v>https://www.samsung.com/us/shop/all-deals/</v>
      </c>
      <c r="AK28"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8" s="39" t="s">
        <v>394</v>
      </c>
      <c r="AM28" s="39" t="s">
        <v>394</v>
      </c>
      <c r="AN28" s="39" t="s">
        <v>394</v>
      </c>
      <c r="AO28" s="89" t="s">
        <v>368</v>
      </c>
      <c r="AP28" s="39" t="str">
        <f>CCModuleCopy!$B$13</f>
        <v>CE_HeadImage_Computing_500xV.jpg</v>
      </c>
      <c r="AQ28" s="39" t="str">
        <f>CCModuleCopy!$C$13</f>
        <v>Get up to 60% off memory cards, SSD, monitors and more</v>
      </c>
      <c r="AR28" s="39" t="str">
        <f>CCModuleCopy!$D$13</f>
        <v>NULL</v>
      </c>
      <c r="AS28" s="39" t="str">
        <f>CCModuleCopy!$E$13</f>
        <v xml:space="preserve">Expand the way you play, store and create and get up to 30% off monitors, up to 60% off memory cards, up to 35% off SSD and more. Work and game smarter, not harder with these must-have computing offers. </v>
      </c>
      <c r="AT28" s="39" t="str">
        <f>CCModuleCopy!$L$13</f>
        <v>Shop all</v>
      </c>
      <c r="AU28" s="39" t="str">
        <f>CCModuleCopy!$M$13</f>
        <v>https://www.samsung.com/us/shop/all-deals/laptop-and-computer-deals/</v>
      </c>
      <c r="AV28"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AW28" s="39" t="str">
        <f>CCModuleCopy!$O$13</f>
        <v>NULL</v>
      </c>
      <c r="AX28" s="39" t="str">
        <f>CCModuleCopy!$P$13</f>
        <v>NULL</v>
      </c>
      <c r="AY28" s="39" t="str">
        <f>CCModuleCopy!$Q$13</f>
        <v>NULL</v>
      </c>
      <c r="AZ28" s="89" t="s">
        <v>371</v>
      </c>
      <c r="BA28" s="39" t="str">
        <f>CCModuleCopy!$B$5</f>
        <v>IM_HeadImage_Shop_Phones_500xV.jpg</v>
      </c>
      <c r="BB28" s="39" t="str">
        <f>CCModuleCopy!$C$5</f>
        <v>Save up to $1000 instantly on the latest and greatest Galaxy smartphones</v>
      </c>
      <c r="BC28" s="39" t="str">
        <f>CCModuleCopy!$D$5</f>
        <v>NULL</v>
      </c>
      <c r="BD28"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8" s="39" t="str">
        <f>CCModuleCopy!$L$5</f>
        <v>Shop all</v>
      </c>
      <c r="BF28" s="39" t="str">
        <f>CCModuleCopy!$M$5</f>
        <v>https://www.samsung.com/us/shop/all-deals/cell-phone-deals/</v>
      </c>
      <c r="BG28"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8" s="39" t="str">
        <f>CCModuleCopy!$O$5</f>
        <v>NULL</v>
      </c>
      <c r="BI28" s="39" t="str">
        <f>CCModuleCopy!$P$5</f>
        <v>NULL</v>
      </c>
      <c r="BJ28" s="39" t="str">
        <f>CCModuleCopy!$Q$5</f>
        <v>NULL</v>
      </c>
      <c r="BK28" s="89" t="s">
        <v>265</v>
      </c>
      <c r="BL28" s="39" t="str">
        <f>CCModuleCopy!$B$7</f>
        <v>HE_HeadImage_Shop_TVs_500xV.jpg</v>
      </c>
      <c r="BM28" s="39" t="str">
        <f>CCModuleCopy!$C$7</f>
        <v>Get up to $3000 off select 8K, 4K and Lifestyle TVs</v>
      </c>
      <c r="BN28" s="39" t="str">
        <f>CCModuleCopy!$D$7</f>
        <v>NULL</v>
      </c>
      <c r="BO28"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8" s="39" t="str">
        <f>CCModuleCopy!$L$7</f>
        <v>Shop all</v>
      </c>
      <c r="BQ28" s="39" t="str">
        <f>CCModuleCopy!$M$7</f>
        <v>https://www.samsung.com/us/shop/all-deals/tv-and-home-theater-deals/</v>
      </c>
      <c r="BR28"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8" s="39" t="str">
        <f>CCModuleCopy!$O$7</f>
        <v>NULL</v>
      </c>
      <c r="BT28" s="39" t="str">
        <f>CCModuleCopy!$P$7</f>
        <v>NULL</v>
      </c>
      <c r="BU28" s="39" t="str">
        <f>CCModuleCopy!$Q$7</f>
        <v>NULL</v>
      </c>
      <c r="BV28" s="89" t="s">
        <v>266</v>
      </c>
      <c r="BW28" s="39" t="str">
        <f>CCModuleCopy!$B$15</f>
        <v>Tablet-HeadImage-500xV.jpg</v>
      </c>
      <c r="BX28" s="39" t="str">
        <f>CCModuleCopy!$C$15</f>
        <v>Save up to $150 on select tablets</v>
      </c>
      <c r="BY28" s="39" t="str">
        <f>CCModuleCopy!$D$15</f>
        <v>NULL</v>
      </c>
      <c r="BZ28" s="39" t="str">
        <f>CCModuleCopy!$E$15</f>
        <v xml:space="preserve">Empower how you create, learn, game and more with our powerful line of tablets. Shop offers on must-have products from the new Galaxy Tab S7+ to the Galaxy Tab S6 Lite. </v>
      </c>
      <c r="CA28" s="39" t="str">
        <f>CCModuleCopy!$L$15</f>
        <v>Shop all</v>
      </c>
      <c r="CB28" s="39" t="str">
        <f>CCModuleCopy!$M$15</f>
        <v>https://www.samsung.com/us/shop/all-deals/tablets-laptops-computers-deals/</v>
      </c>
      <c r="CC28"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8" s="39" t="str">
        <f>CCModuleCopy!$O$15</f>
        <v>NULL</v>
      </c>
      <c r="CE28" s="39" t="str">
        <f>CCModuleCopy!$P$15</f>
        <v>NULL</v>
      </c>
      <c r="CF28" s="39" t="str">
        <f>CCModuleCopy!$Q$15</f>
        <v>NULL</v>
      </c>
      <c r="CG28" s="89" t="s">
        <v>367</v>
      </c>
      <c r="CH28" s="39" t="str">
        <f>CCModuleCopy!$B$11</f>
        <v>ME_HeadImage_Wearables_500xV.jpg</v>
      </c>
      <c r="CI28" s="39" t="str">
        <f>CCModuleCopy!$C$11</f>
        <v>Get up to $100 off select watches and earbuds</v>
      </c>
      <c r="CJ28" s="39" t="str">
        <f>CCModuleCopy!$D$11</f>
        <v>NULL</v>
      </c>
      <c r="CK28"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8" s="39" t="str">
        <f>CCModuleCopy!$L$11</f>
        <v>Shop all</v>
      </c>
      <c r="CM28" s="39" t="str">
        <f>CCModuleCopy!$M$11</f>
        <v>https://www.samsung.com/us/shop/all-deals/tablets-wearables-cell-phone-accessories-deals/</v>
      </c>
      <c r="CN28"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28" s="39" t="str">
        <f>CCModuleCopy!$O$11</f>
        <v>NULL</v>
      </c>
      <c r="CP28" s="39" t="str">
        <f>CCModuleCopy!$P$11</f>
        <v>NULL</v>
      </c>
      <c r="CQ28" s="39" t="str">
        <f>CCModuleCopy!$Q$11</f>
        <v>NULL</v>
      </c>
      <c r="CR28" s="89" t="s">
        <v>279</v>
      </c>
      <c r="CS28" s="39" t="str">
        <f>CCModuleCopy!$B$9</f>
        <v>HA_HeadImage_Shop_HA_500xV.jpg</v>
      </c>
      <c r="CT28" s="39" t="str">
        <f>CCModuleCopy!$C$9</f>
        <v>Save up to 50% on everything you need to upgrade your home and home care</v>
      </c>
      <c r="CU28" s="39" t="str">
        <f>CCModuleCopy!$D$9</f>
        <v>NULL</v>
      </c>
      <c r="CV28"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CW28" s="39" t="str">
        <f>CCModuleCopy!$L$9</f>
        <v>Shop all</v>
      </c>
      <c r="CX28" s="39" t="str">
        <f>CCModuleCopy!$M$9</f>
        <v>https://www.samsung.com/us/shop/all-deals/home-appliance-and-smart-home-sales/</v>
      </c>
      <c r="CY28"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Z28" s="39" t="str">
        <f>CCModuleCopy!$O$9</f>
        <v>NULL</v>
      </c>
      <c r="DA28" s="39" t="str">
        <f>CCModuleCopy!$P$9</f>
        <v>NULL</v>
      </c>
      <c r="DB28" s="39" t="str">
        <f>CCModuleCopy!$Q$9</f>
        <v>NULL</v>
      </c>
      <c r="DC28" s="89" t="s">
        <v>280</v>
      </c>
      <c r="DD28" s="39" t="str">
        <f>MiscBanners!$H$4</f>
        <v>Give-wonder-500xV.jpg</v>
      </c>
      <c r="DE28" s="39" t="str">
        <f>MiscBanners!$I$4</f>
        <v>The gift that keeps on giving</v>
      </c>
      <c r="DF28" s="39" t="str">
        <f>MiscBanners!$J$4</f>
        <v>NULL</v>
      </c>
      <c r="DG28" s="91" t="str">
        <f>MiscBanners!$K$4</f>
        <v>Discover even more exclusive offers on your favorite products and unlock the power of smart and savvy gifting.</v>
      </c>
      <c r="DH28" s="39" t="str">
        <f>MiscBanners!$L$4</f>
        <v>Shop now</v>
      </c>
      <c r="DI28" s="39" t="str">
        <f>MiscBanners!$M$4</f>
        <v>https://www.samsung.com/us/gift-ideas/</v>
      </c>
      <c r="DJ28"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8" s="39" t="str">
        <f>MiscBanners!$O$4</f>
        <v>NULL</v>
      </c>
      <c r="DL28" s="39" t="str">
        <f>MiscBanners!$P$4</f>
        <v>NULL</v>
      </c>
      <c r="DM28" s="39" t="str">
        <f>MiscBanners!$Q$4</f>
        <v>NULL</v>
      </c>
      <c r="DN28" s="89" t="s">
        <v>273</v>
      </c>
      <c r="DR28" s="91"/>
      <c r="DY28" s="89" t="s">
        <v>481</v>
      </c>
      <c r="DZ28" s="39" t="s">
        <v>394</v>
      </c>
      <c r="EA28" s="39" t="s">
        <v>394</v>
      </c>
      <c r="EB28" s="39" t="s">
        <v>394</v>
      </c>
      <c r="EC28" s="91" t="s">
        <v>482</v>
      </c>
      <c r="ED28" s="39" t="s">
        <v>394</v>
      </c>
      <c r="EE28" s="39" t="s">
        <v>476</v>
      </c>
      <c r="EF28" s="39">
        <v>0</v>
      </c>
      <c r="EG28" s="39" t="s">
        <v>394</v>
      </c>
      <c r="EH28" s="39" t="s">
        <v>394</v>
      </c>
      <c r="EI28" s="39" t="s">
        <v>394</v>
      </c>
      <c r="EJ28" s="89" t="s">
        <v>439</v>
      </c>
      <c r="EK28" s="39" t="s">
        <v>394</v>
      </c>
      <c r="EL28" s="39" t="s">
        <v>394</v>
      </c>
      <c r="EM28" s="39" t="s">
        <v>394</v>
      </c>
      <c r="EN28" s="91" t="s">
        <v>483</v>
      </c>
      <c r="EO28" s="39" t="s">
        <v>394</v>
      </c>
      <c r="EP28" s="39" t="s">
        <v>476</v>
      </c>
      <c r="EQ28" s="39">
        <v>0</v>
      </c>
      <c r="ER28" s="39" t="s">
        <v>394</v>
      </c>
      <c r="ES28" s="39" t="s">
        <v>394</v>
      </c>
      <c r="ET28" s="39" t="s">
        <v>394</v>
      </c>
      <c r="EU28" s="89" t="s">
        <v>441</v>
      </c>
      <c r="EV28" s="39" t="s">
        <v>394</v>
      </c>
      <c r="EW28" s="39" t="s">
        <v>394</v>
      </c>
      <c r="EX28" s="39" t="s">
        <v>394</v>
      </c>
      <c r="EY28" s="91" t="s">
        <v>485</v>
      </c>
      <c r="EZ28" s="39" t="s">
        <v>394</v>
      </c>
      <c r="FA28" s="39">
        <v>0</v>
      </c>
      <c r="FB28" s="39">
        <v>0</v>
      </c>
      <c r="FC28" s="39" t="s">
        <v>394</v>
      </c>
      <c r="FD28" s="39" t="s">
        <v>394</v>
      </c>
      <c r="FE28" s="39" t="s">
        <v>394</v>
      </c>
      <c r="FF28" s="89"/>
      <c r="FJ28" s="91"/>
    </row>
    <row r="29" spans="1:172" s="39" customFormat="1" ht="99.95" customHeight="1" x14ac:dyDescent="0.25">
      <c r="A29" s="39" t="s">
        <v>235</v>
      </c>
      <c r="B29" s="39" t="s">
        <v>369</v>
      </c>
      <c r="C29" s="39" t="s">
        <v>237</v>
      </c>
      <c r="D29" s="39" t="s">
        <v>237</v>
      </c>
      <c r="E29" s="39" t="s">
        <v>383</v>
      </c>
      <c r="G29" s="88" t="s">
        <v>540</v>
      </c>
      <c r="H29" s="88" t="s">
        <v>539</v>
      </c>
      <c r="I29" s="89" t="s">
        <v>381</v>
      </c>
      <c r="J29" s="39" t="str">
        <f>[1]MiscBanners!$G$4</f>
        <v>Cross-Category_Black_Friday_Week_01.jpg</v>
      </c>
      <c r="K29" s="92" t="s">
        <v>392</v>
      </c>
      <c r="L29" s="92" t="s">
        <v>393</v>
      </c>
      <c r="M29" s="39" t="s">
        <v>394</v>
      </c>
      <c r="N29" s="39" t="s">
        <v>394</v>
      </c>
      <c r="O29" s="39" t="str">
        <f>[1]MiscBanners!$B$4</f>
        <v>https://www.samsung.com/us/shop/all-deals/</v>
      </c>
      <c r="P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Q29" s="39" t="s">
        <v>394</v>
      </c>
      <c r="R29" s="39" t="s">
        <v>394</v>
      </c>
      <c r="S29" s="89" t="s">
        <v>407</v>
      </c>
      <c r="T29" s="39" t="str">
        <f>'Dynamic Banners'!$L$6</f>
        <v>Cyber-monday-3.png</v>
      </c>
      <c r="U29" s="39" t="str">
        <f>'Dynamic Banners'!$M$6</f>
        <v>Cyber Monday is over. But, Cyber Week is still on.</v>
      </c>
      <c r="V29" s="39" t="s">
        <v>394</v>
      </c>
      <c r="W29" s="39" t="str">
        <f>'Dynamic Banners'!$N$6</f>
        <v xml:space="preserve">Shop amazing offers on showstopping products while supplies last. </v>
      </c>
      <c r="X29" s="39" t="s">
        <v>394</v>
      </c>
      <c r="Y29" s="39" t="str">
        <f>[1]MiscBanners!$B$4</f>
        <v>https://www.samsung.com/us/shop/all-deals/</v>
      </c>
      <c r="Z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A29" s="39" t="s">
        <v>394</v>
      </c>
      <c r="AB29" s="39" t="s">
        <v>394</v>
      </c>
      <c r="AC29" s="39" t="s">
        <v>394</v>
      </c>
      <c r="AD29" s="89" t="s">
        <v>408</v>
      </c>
      <c r="AE29" s="39" t="s">
        <v>394</v>
      </c>
      <c r="AF29" s="39" t="s">
        <v>394</v>
      </c>
      <c r="AG29" s="7" t="s">
        <v>559</v>
      </c>
      <c r="AH29" s="39" t="s">
        <v>561</v>
      </c>
      <c r="AI29" s="39" t="s">
        <v>394</v>
      </c>
      <c r="AJ29" s="39" t="str">
        <f>[1]MiscBanners!$B$4</f>
        <v>https://www.samsung.com/us/shop/all-deals/</v>
      </c>
      <c r="AK29" s="39" t="str">
        <f>[1]MiscBanners!$C$4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L29" s="39" t="s">
        <v>394</v>
      </c>
      <c r="AM29" s="39" t="s">
        <v>394</v>
      </c>
      <c r="AN29" s="39" t="s">
        <v>394</v>
      </c>
      <c r="AO29" s="89" t="s">
        <v>279</v>
      </c>
      <c r="AP29" s="39" t="str">
        <f>CCModuleCopy!$B$9</f>
        <v>HA_HeadImage_Shop_HA_500xV.jpg</v>
      </c>
      <c r="AQ29" s="39" t="str">
        <f>CCModuleCopy!$C$9</f>
        <v>Save up to 50% on everything you need to upgrade your home and home care</v>
      </c>
      <c r="AR29" s="39" t="str">
        <f>CCModuleCopy!$D$9</f>
        <v>NULL</v>
      </c>
      <c r="AS29" s="39" t="str">
        <f>CCModuleCopy!$E$9</f>
        <v xml:space="preserve">Get an additional 10% off when you buy 4 or more eligible kitchen appliances. Save even more with early Black Friday prices for select categories.α 
Plus, shop our time and cost-saving laundry and floor care products, and buy and try a Jet Stick Cordless Vacuum with our new 100-day, risk-free trial. </v>
      </c>
      <c r="AT29" s="39" t="str">
        <f>CCModuleCopy!$L$9</f>
        <v>Shop all</v>
      </c>
      <c r="AU29" s="39" t="str">
        <f>CCModuleCopy!$M$9</f>
        <v>https://www.samsung.com/us/shop/all-deals/home-appliance-and-smart-home-sales/</v>
      </c>
      <c r="AV29" s="39" t="str">
        <f>CCModuleCopy!$N$9</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AW29" s="39" t="str">
        <f>CCModuleCopy!$O$9</f>
        <v>NULL</v>
      </c>
      <c r="AX29" s="39" t="str">
        <f>CCModuleCopy!$P$9</f>
        <v>NULL</v>
      </c>
      <c r="AY29" s="39" t="str">
        <f>CCModuleCopy!$Q$9</f>
        <v>NULL</v>
      </c>
      <c r="AZ29" s="89" t="s">
        <v>371</v>
      </c>
      <c r="BA29" s="39" t="str">
        <f>CCModuleCopy!$B$5</f>
        <v>IM_HeadImage_Shop_Phones_500xV.jpg</v>
      </c>
      <c r="BB29" s="39" t="str">
        <f>CCModuleCopy!$C$5</f>
        <v>Save up to $1000 instantly on the latest and greatest Galaxy smartphones</v>
      </c>
      <c r="BC29" s="39" t="str">
        <f>CCModuleCopy!$D$5</f>
        <v>NULL</v>
      </c>
      <c r="BD29" s="39" t="str">
        <f>CCModuleCopy!$E$5</f>
        <v>Whether you're here to improve the way you work or power up the way you play, shop some of our best offers of the year on  Galaxy Note20 5G, S20 FE 5G, Z Fold2 5G and select A series devices.
Plus, get $30 or more instant credit toward accessories with any smartphone purchase to complete your Galaxy Ecosystem.†</v>
      </c>
      <c r="BE29" s="39" t="str">
        <f>CCModuleCopy!$L$5</f>
        <v>Shop all</v>
      </c>
      <c r="BF29" s="39" t="str">
        <f>CCModuleCopy!$M$5</f>
        <v>https://www.samsung.com/us/shop/all-deals/cell-phone-deals/</v>
      </c>
      <c r="BG29" s="39" t="str">
        <f>CCModuleCopy!$N$5</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H29" s="39" t="str">
        <f>CCModuleCopy!$O$5</f>
        <v>NULL</v>
      </c>
      <c r="BI29" s="39" t="str">
        <f>CCModuleCopy!$P$5</f>
        <v>NULL</v>
      </c>
      <c r="BJ29" s="39" t="str">
        <f>CCModuleCopy!$Q$5</f>
        <v>NULL</v>
      </c>
      <c r="BK29" s="89" t="s">
        <v>265</v>
      </c>
      <c r="BL29" s="39" t="str">
        <f>CCModuleCopy!$B$7</f>
        <v>HE_HeadImage_Shop_TVs_500xV.jpg</v>
      </c>
      <c r="BM29" s="39" t="str">
        <f>CCModuleCopy!$C$7</f>
        <v>Get up to $3000 off select 8K, 4K and Lifestyle TVs</v>
      </c>
      <c r="BN29" s="39" t="str">
        <f>CCModuleCopy!$D$7</f>
        <v>NULL</v>
      </c>
      <c r="BO29" s="39" t="str">
        <f>CCModuleCopy!$E$7</f>
        <v xml:space="preserve">Discover the mind-blowing, true-to-live resolution of QLED technology and create your ultimate home theater today.
Save up to $3000 on 8K TVs, up to $1800 on select 4K TVs, up to $1300 on Lifestyle TVs and up to $400 on select soundbars and more. 
Plus, buy and try select Lifestyle TVs, soundbars and The Premiere Projector with our new 100-day, risk-free trial. </v>
      </c>
      <c r="BP29" s="39" t="str">
        <f>CCModuleCopy!$L$7</f>
        <v>Shop all</v>
      </c>
      <c r="BQ29" s="39" t="str">
        <f>CCModuleCopy!$M$7</f>
        <v>https://www.samsung.com/us/shop/all-deals/tv-and-home-theater-deals/</v>
      </c>
      <c r="BR29" s="39" t="str">
        <f>CCModuleCopy!$N$7</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BS29" s="39" t="str">
        <f>CCModuleCopy!$O$7</f>
        <v>NULL</v>
      </c>
      <c r="BT29" s="39" t="str">
        <f>CCModuleCopy!$P$7</f>
        <v>NULL</v>
      </c>
      <c r="BU29" s="39" t="str">
        <f>CCModuleCopy!$Q$7</f>
        <v>NULL</v>
      </c>
      <c r="BV29" s="89" t="s">
        <v>266</v>
      </c>
      <c r="BW29" s="39" t="str">
        <f>CCModuleCopy!$B$15</f>
        <v>Tablet-HeadImage-500xV.jpg</v>
      </c>
      <c r="BX29" s="39" t="str">
        <f>CCModuleCopy!$C$15</f>
        <v>Save up to $150 on select tablets</v>
      </c>
      <c r="BY29" s="39" t="str">
        <f>CCModuleCopy!$D$15</f>
        <v>NULL</v>
      </c>
      <c r="BZ29" s="39" t="str">
        <f>CCModuleCopy!$E$15</f>
        <v xml:space="preserve">Empower how you create, learn, game and more with our powerful line of tablets. Shop offers on must-have products from the new Galaxy Tab S7+ to the Galaxy Tab S6 Lite. </v>
      </c>
      <c r="CA29" s="39" t="str">
        <f>CCModuleCopy!$L$15</f>
        <v>Shop all</v>
      </c>
      <c r="CB29" s="39" t="str">
        <f>CCModuleCopy!$M$15</f>
        <v>https://www.samsung.com/us/shop/all-deals/tablets-laptops-computers-deals/</v>
      </c>
      <c r="CC29" s="91" t="str">
        <f>CCModuleCopy!$N$15</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Tablets%252526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D29" s="39" t="str">
        <f>CCModuleCopy!$O$15</f>
        <v>NULL</v>
      </c>
      <c r="CE29" s="39" t="str">
        <f>CCModuleCopy!$P$15</f>
        <v>NULL</v>
      </c>
      <c r="CF29" s="39" t="str">
        <f>CCModuleCopy!$Q$15</f>
        <v>NULL</v>
      </c>
      <c r="CG29" s="89" t="s">
        <v>367</v>
      </c>
      <c r="CH29" s="39" t="str">
        <f>CCModuleCopy!$B$11</f>
        <v>ME_HeadImage_Wearables_500xV.jpg</v>
      </c>
      <c r="CI29" s="39" t="str">
        <f>CCModuleCopy!$C$11</f>
        <v>Get up to $100 off select watches and earbuds</v>
      </c>
      <c r="CJ29" s="39" t="str">
        <f>CCModuleCopy!$D$11</f>
        <v>NULL</v>
      </c>
      <c r="CK29" s="39" t="str">
        <f>CCModuleCopy!$E$11</f>
        <v>Treat yourself (or someone special) to Galaxy Watch3 Titanium, Watch3, Buds+ and more, suited for every lifestyle and every holiday shopping budget. 
Plus, now you can flex your fashion muscles with the new Samsung Design Studio. Create a Galaxy Watch as unique as you, today.</v>
      </c>
      <c r="CL29" s="39" t="str">
        <f>CCModuleCopy!$L$11</f>
        <v>Shop all</v>
      </c>
      <c r="CM29" s="39" t="str">
        <f>CCModuleCopy!$M$11</f>
        <v>https://www.samsung.com/us/shop/all-deals/tablets-wearables-cell-phone-accessories-deals/</v>
      </c>
      <c r="CN29" s="39" t="str">
        <f>CCModuleCopy!$N$11</f>
        <v>https://shopsamsung.page.link?link=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ablets_Wearables_Offers%23utm_source%3Dsamsung%23utm_medium%3Demail%23utm_campaign%3Dholiday_deals_t3_11172020%23marsLinkCategory%3D__MARSTRACKING__%23MKM_RID%3D__BPNUMBER__%23MKM_MID%3D__DELIVERNAME__%23cid%3D__CID____SEGMENTCODE__%23bpid%3D__BPNUMBER__&amp;afl=https%3A%2F%2Fwww.samsung.com%2Fus%2Fshop%2Fall-deals%2Ftablets-wearables-cell-phone-accessories-deals%2F%3Futm_source%3Dsamsung%26utm_medium%3Demail%26utm_campaign%3Dholiday_deals_t3_11172020%26marsLinkCategory%3D__MARSTRACKING__%26MKM_RID%3D__BPNUMBER__%26MKM_MID%3D__DELIVERNAME__%26cid%3D__CID____SEGMENTCODE__%26bpid%3D__BPNUMBER__&amp;efr=1</v>
      </c>
      <c r="CO29" s="39" t="str">
        <f>CCModuleCopy!$O$11</f>
        <v>NULL</v>
      </c>
      <c r="CP29" s="39" t="str">
        <f>CCModuleCopy!$P$11</f>
        <v>NULL</v>
      </c>
      <c r="CQ29" s="39" t="str">
        <f>CCModuleCopy!$Q$11</f>
        <v>NULL</v>
      </c>
      <c r="CR29" s="89" t="s">
        <v>368</v>
      </c>
      <c r="CS29" s="39" t="str">
        <f>CCModuleCopy!$B$13</f>
        <v>CE_HeadImage_Computing_500xV.jpg</v>
      </c>
      <c r="CT29" s="39" t="str">
        <f>CCModuleCopy!$C$13</f>
        <v>Get up to 60% off memory cards, SSD, monitors and more</v>
      </c>
      <c r="CU29" s="39" t="str">
        <f>CCModuleCopy!$D$13</f>
        <v>NULL</v>
      </c>
      <c r="CV29" s="39" t="str">
        <f>CCModuleCopy!$E$13</f>
        <v xml:space="preserve">Expand the way you play, store and create and get up to 30% off monitors, up to 60% off memory cards, up to 35% off SSD and more. Work and game smarter, not harder with these must-have computing offers. </v>
      </c>
      <c r="CW29" s="39" t="str">
        <f>CCModuleCopy!$L$13</f>
        <v>Shop all</v>
      </c>
      <c r="CX29" s="39" t="str">
        <f>CCModuleCopy!$M$13</f>
        <v>https://www.samsung.com/us/shop/all-deals/laptop-and-computer-deals/</v>
      </c>
      <c r="CY29" s="39" t="str">
        <f>CCModuleCopy!$N$13</f>
        <v>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v>
      </c>
      <c r="CZ29" s="39" t="str">
        <f>CCModuleCopy!$O$13</f>
        <v>NULL</v>
      </c>
      <c r="DA29" s="39" t="str">
        <f>CCModuleCopy!$P$13</f>
        <v>NULL</v>
      </c>
      <c r="DB29" s="39" t="str">
        <f>CCModuleCopy!$Q$13</f>
        <v>NULL</v>
      </c>
      <c r="DC29" s="89" t="s">
        <v>280</v>
      </c>
      <c r="DD29" s="39" t="str">
        <f>MiscBanners!$H$4</f>
        <v>Give-wonder-500xV.jpg</v>
      </c>
      <c r="DE29" s="39" t="str">
        <f>MiscBanners!$I$4</f>
        <v>The gift that keeps on giving</v>
      </c>
      <c r="DF29" s="39" t="str">
        <f>MiscBanners!$J$4</f>
        <v>NULL</v>
      </c>
      <c r="DG29" s="91" t="str">
        <f>MiscBanners!$K$4</f>
        <v>Discover even more exclusive offers on your favorite products and unlock the power of smart and savvy gifting.</v>
      </c>
      <c r="DH29" s="39" t="str">
        <f>MiscBanners!$L$4</f>
        <v>Shop now</v>
      </c>
      <c r="DI29" s="39" t="str">
        <f>MiscBanners!$M$4</f>
        <v>https://www.samsung.com/us/gift-ideas/</v>
      </c>
      <c r="DJ29" s="39" t="str">
        <f>MiscBanners!$T$4</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K29" s="39" t="str">
        <f>MiscBanners!$O$4</f>
        <v>NULL</v>
      </c>
      <c r="DL29" s="39" t="str">
        <f>MiscBanners!$P$4</f>
        <v>NULL</v>
      </c>
      <c r="DM29" s="39" t="str">
        <f>MiscBanners!$Q$4</f>
        <v>NULL</v>
      </c>
      <c r="DN29" s="89" t="s">
        <v>273</v>
      </c>
      <c r="DR29" s="91"/>
      <c r="DY29" s="89" t="s">
        <v>481</v>
      </c>
      <c r="DZ29" s="39" t="s">
        <v>394</v>
      </c>
      <c r="EA29" s="39" t="s">
        <v>394</v>
      </c>
      <c r="EB29" s="39" t="s">
        <v>394</v>
      </c>
      <c r="EC29" s="91" t="s">
        <v>482</v>
      </c>
      <c r="ED29" s="39" t="s">
        <v>394</v>
      </c>
      <c r="EE29" s="39" t="s">
        <v>476</v>
      </c>
      <c r="EF29" s="39">
        <v>0</v>
      </c>
      <c r="EG29" s="39" t="s">
        <v>394</v>
      </c>
      <c r="EH29" s="39" t="s">
        <v>394</v>
      </c>
      <c r="EI29" s="39" t="s">
        <v>394</v>
      </c>
      <c r="EJ29" s="89" t="s">
        <v>439</v>
      </c>
      <c r="EK29" s="39" t="s">
        <v>394</v>
      </c>
      <c r="EL29" s="39" t="s">
        <v>394</v>
      </c>
      <c r="EM29" s="39" t="s">
        <v>394</v>
      </c>
      <c r="EN29" s="91" t="s">
        <v>483</v>
      </c>
      <c r="EO29" s="39" t="s">
        <v>394</v>
      </c>
      <c r="EP29" s="39" t="s">
        <v>476</v>
      </c>
      <c r="EQ29" s="39">
        <v>0</v>
      </c>
      <c r="ER29" s="39" t="s">
        <v>394</v>
      </c>
      <c r="ES29" s="39" t="s">
        <v>394</v>
      </c>
      <c r="ET29" s="39" t="s">
        <v>394</v>
      </c>
      <c r="EU29" s="89" t="s">
        <v>441</v>
      </c>
      <c r="EV29" s="39" t="s">
        <v>394</v>
      </c>
      <c r="EW29" s="39" t="s">
        <v>394</v>
      </c>
      <c r="EX29" s="39" t="s">
        <v>394</v>
      </c>
      <c r="EY29" s="91" t="s">
        <v>485</v>
      </c>
      <c r="EZ29" s="39" t="s">
        <v>394</v>
      </c>
      <c r="FA29" s="39">
        <v>0</v>
      </c>
      <c r="FB29" s="39">
        <v>0</v>
      </c>
      <c r="FC29" s="39" t="s">
        <v>394</v>
      </c>
      <c r="FD29" s="39" t="s">
        <v>394</v>
      </c>
      <c r="FE29" s="39" t="s">
        <v>394</v>
      </c>
      <c r="FF29" s="89"/>
      <c r="FJ29" s="91"/>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activeCell="G26" sqref="G26"/>
    </sheetView>
  </sheetViews>
  <sheetFormatPr defaultRowHeight="15" x14ac:dyDescent="0.25"/>
  <sheetData>
    <row r="1" spans="1:2" ht="23.25" x14ac:dyDescent="0.35">
      <c r="A1" s="62" t="s">
        <v>350</v>
      </c>
    </row>
    <row r="3" spans="1:2" x14ac:dyDescent="0.25">
      <c r="A3" s="1" t="s">
        <v>351</v>
      </c>
    </row>
    <row r="4" spans="1:2" x14ac:dyDescent="0.25">
      <c r="B4" t="s">
        <v>352</v>
      </c>
    </row>
    <row r="6" spans="1:2" x14ac:dyDescent="0.25">
      <c r="A6" s="1" t="s">
        <v>364</v>
      </c>
    </row>
    <row r="7" spans="1:2" x14ac:dyDescent="0.25">
      <c r="B7" t="s">
        <v>353</v>
      </c>
    </row>
    <row r="9" spans="1:2" x14ac:dyDescent="0.25">
      <c r="A9" s="1" t="s">
        <v>356</v>
      </c>
      <c r="B9" s="1"/>
    </row>
    <row r="10" spans="1:2" x14ac:dyDescent="0.25">
      <c r="B10" t="s">
        <v>357</v>
      </c>
    </row>
    <row r="12" spans="1:2" x14ac:dyDescent="0.25">
      <c r="A12" s="61" t="s">
        <v>358</v>
      </c>
    </row>
    <row r="13" spans="1:2" x14ac:dyDescent="0.25">
      <c r="B13" t="s">
        <v>359</v>
      </c>
    </row>
    <row r="20" spans="1:4" s="7" customFormat="1" x14ac:dyDescent="0.25">
      <c r="A20" s="57"/>
      <c r="B20" s="57"/>
      <c r="C20" s="57"/>
      <c r="D20" s="57"/>
    </row>
    <row r="21" spans="1:4" s="7" customFormat="1" x14ac:dyDescent="0.25"/>
    <row r="22" spans="1:4" s="7" customFormat="1" x14ac:dyDescent="0.25">
      <c r="A22" s="5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L56"/>
  <sheetViews>
    <sheetView workbookViewId="0">
      <pane ySplit="3" topLeftCell="A4" activePane="bottomLeft" state="frozen"/>
      <selection pane="bottomLeft" activeCell="F19" sqref="F19"/>
    </sheetView>
  </sheetViews>
  <sheetFormatPr defaultRowHeight="15" x14ac:dyDescent="0.25"/>
  <cols>
    <col min="1" max="1" width="16.85546875" bestFit="1" customWidth="1"/>
    <col min="2" max="2" width="10.7109375" bestFit="1" customWidth="1"/>
    <col min="3" max="3" width="8.85546875" bestFit="1" customWidth="1"/>
    <col min="4" max="4" width="14.42578125" bestFit="1" customWidth="1"/>
    <col min="5" max="5" width="42.85546875" bestFit="1" customWidth="1"/>
    <col min="6" max="6" width="17.7109375" style="5" bestFit="1" customWidth="1"/>
    <col min="7" max="7" width="15.85546875" style="6" bestFit="1" customWidth="1"/>
    <col min="8" max="8" width="7.5703125" style="7" bestFit="1" customWidth="1"/>
    <col min="9" max="9" width="8.85546875" bestFit="1" customWidth="1"/>
    <col min="10" max="10" width="7.5703125" bestFit="1" customWidth="1"/>
    <col min="11" max="11" width="22.7109375" bestFit="1" customWidth="1"/>
    <col min="12" max="12" width="17.7109375" bestFit="1" customWidth="1"/>
  </cols>
  <sheetData>
    <row r="1" spans="1:12" x14ac:dyDescent="0.25">
      <c r="A1" s="12" t="s">
        <v>389</v>
      </c>
      <c r="E1" s="108" t="s">
        <v>524</v>
      </c>
      <c r="F1" s="117" t="s">
        <v>528</v>
      </c>
    </row>
    <row r="3" spans="1:12" x14ac:dyDescent="0.25">
      <c r="A3" s="31" t="s">
        <v>31</v>
      </c>
      <c r="B3" s="31" t="s">
        <v>32</v>
      </c>
      <c r="C3" s="31" t="s">
        <v>33</v>
      </c>
      <c r="D3" s="31" t="s">
        <v>34</v>
      </c>
      <c r="E3" s="31" t="s">
        <v>35</v>
      </c>
      <c r="F3" s="31" t="s">
        <v>36</v>
      </c>
      <c r="G3" s="31" t="s">
        <v>37</v>
      </c>
      <c r="H3" s="32" t="s">
        <v>149</v>
      </c>
      <c r="I3" s="32" t="s">
        <v>150</v>
      </c>
      <c r="J3" s="32" t="s">
        <v>151</v>
      </c>
      <c r="K3" s="31" t="s">
        <v>152</v>
      </c>
      <c r="L3" s="30" t="s">
        <v>38</v>
      </c>
    </row>
    <row r="4" spans="1:12" s="12" customFormat="1" x14ac:dyDescent="0.25">
      <c r="A4" s="73">
        <v>44145</v>
      </c>
      <c r="B4" s="63">
        <v>44165</v>
      </c>
      <c r="C4" s="64" t="s">
        <v>4</v>
      </c>
      <c r="D4" s="65" t="s">
        <v>153</v>
      </c>
      <c r="E4" s="66" t="s">
        <v>360</v>
      </c>
      <c r="F4" s="74">
        <f t="shared" ref="F4:F14" si="0">H4-J4-I4</f>
        <v>89.990000000000009</v>
      </c>
      <c r="G4" s="64">
        <v>1</v>
      </c>
      <c r="H4" s="75">
        <f>VLOOKUP(K4,'[2]Sources Pricing'!$B:$C,2,FALSE)</f>
        <v>149.99</v>
      </c>
      <c r="I4" s="75">
        <f>VLOOKUP(K4,'[2]Sources Pricing'!$B:$D,3,FALSE)</f>
        <v>20</v>
      </c>
      <c r="J4" s="76">
        <v>40</v>
      </c>
      <c r="K4" s="77" t="s">
        <v>154</v>
      </c>
      <c r="L4" s="78"/>
    </row>
    <row r="5" spans="1:12" s="12" customFormat="1" x14ac:dyDescent="0.25">
      <c r="A5" s="79">
        <v>44145</v>
      </c>
      <c r="B5" s="79">
        <v>44171</v>
      </c>
      <c r="C5" s="64" t="s">
        <v>4</v>
      </c>
      <c r="D5" s="65" t="s">
        <v>153</v>
      </c>
      <c r="E5" s="71" t="s">
        <v>155</v>
      </c>
      <c r="F5" s="74">
        <f t="shared" si="0"/>
        <v>299.99</v>
      </c>
      <c r="G5" s="64">
        <v>2</v>
      </c>
      <c r="H5" s="80">
        <f>VLOOKUP(K5,'[2]Sources Pricing'!$B:$C,2,FALSE)</f>
        <v>599.99</v>
      </c>
      <c r="I5" s="80">
        <f>VLOOKUP(K5,'[2]Sources Pricing'!$B:$D,3,FALSE)</f>
        <v>200</v>
      </c>
      <c r="J5" s="81">
        <v>100</v>
      </c>
      <c r="K5" s="77" t="s">
        <v>156</v>
      </c>
      <c r="L5" s="78"/>
    </row>
    <row r="6" spans="1:12" s="12" customFormat="1" x14ac:dyDescent="0.25">
      <c r="A6" s="79">
        <v>44145</v>
      </c>
      <c r="B6" s="79">
        <v>44171</v>
      </c>
      <c r="C6" s="64" t="s">
        <v>4</v>
      </c>
      <c r="D6" s="65" t="s">
        <v>153</v>
      </c>
      <c r="E6" s="71" t="s">
        <v>157</v>
      </c>
      <c r="F6" s="74">
        <f t="shared" si="0"/>
        <v>139.99</v>
      </c>
      <c r="G6" s="64">
        <v>3</v>
      </c>
      <c r="H6" s="80">
        <f>VLOOKUP(K6,'[2]Sources Pricing'!$B:$C,2,FALSE)</f>
        <v>399.99</v>
      </c>
      <c r="I6" s="80">
        <f>VLOOKUP(K6,'[2]Sources Pricing'!$B:$D,3,FALSE)</f>
        <v>200</v>
      </c>
      <c r="J6" s="81">
        <v>60</v>
      </c>
      <c r="K6" s="77" t="s">
        <v>158</v>
      </c>
      <c r="L6" s="78"/>
    </row>
    <row r="7" spans="1:12" s="12" customFormat="1" x14ac:dyDescent="0.25">
      <c r="A7" s="79">
        <v>44145</v>
      </c>
      <c r="B7" s="79">
        <v>44171</v>
      </c>
      <c r="C7" s="64" t="s">
        <v>4</v>
      </c>
      <c r="D7" s="65" t="s">
        <v>153</v>
      </c>
      <c r="E7" s="71" t="s">
        <v>159</v>
      </c>
      <c r="F7" s="74">
        <f t="shared" si="0"/>
        <v>159.99</v>
      </c>
      <c r="G7" s="64">
        <v>4</v>
      </c>
      <c r="H7" s="80">
        <f>VLOOKUP(K7,'[2]Sources Pricing'!$B:$C,2,FALSE)</f>
        <v>379.99</v>
      </c>
      <c r="I7" s="80">
        <f>VLOOKUP(K7,'[2]Sources Pricing'!$B:$D,3,FALSE)</f>
        <v>150</v>
      </c>
      <c r="J7" s="81">
        <v>70</v>
      </c>
      <c r="K7" s="77" t="s">
        <v>160</v>
      </c>
      <c r="L7" s="78"/>
    </row>
    <row r="8" spans="1:12" s="12" customFormat="1" x14ac:dyDescent="0.25">
      <c r="A8" s="79">
        <v>44145</v>
      </c>
      <c r="B8" s="79">
        <v>44171</v>
      </c>
      <c r="C8" s="64" t="s">
        <v>4</v>
      </c>
      <c r="D8" s="65" t="s">
        <v>153</v>
      </c>
      <c r="E8" s="71" t="s">
        <v>161</v>
      </c>
      <c r="F8" s="74">
        <f t="shared" si="0"/>
        <v>29.990000000000009</v>
      </c>
      <c r="G8" s="64">
        <v>5</v>
      </c>
      <c r="H8" s="80">
        <f>VLOOKUP(K8,'[2]Sources Pricing'!$B:$C,2,FALSE)</f>
        <v>249.99</v>
      </c>
      <c r="I8" s="80">
        <f>VLOOKUP(K8,'[2]Sources Pricing'!$B:$D,3,FALSE)</f>
        <v>150</v>
      </c>
      <c r="J8" s="81">
        <v>70</v>
      </c>
      <c r="K8" s="77" t="s">
        <v>162</v>
      </c>
      <c r="L8" s="78"/>
    </row>
    <row r="9" spans="1:12" s="12" customFormat="1" x14ac:dyDescent="0.25">
      <c r="A9" s="79">
        <v>44145</v>
      </c>
      <c r="B9" s="79">
        <v>44171</v>
      </c>
      <c r="C9" s="64" t="s">
        <v>4</v>
      </c>
      <c r="D9" s="65" t="s">
        <v>153</v>
      </c>
      <c r="E9" s="71" t="s">
        <v>163</v>
      </c>
      <c r="F9" s="74">
        <f t="shared" si="0"/>
        <v>154.99</v>
      </c>
      <c r="G9" s="64">
        <v>6</v>
      </c>
      <c r="H9" s="80">
        <f>VLOOKUP(K9,'[2]Sources Pricing'!$B:$C,2,FALSE)</f>
        <v>299.99</v>
      </c>
      <c r="I9" s="80">
        <f>VLOOKUP(K9,'[2]Sources Pricing'!$B:$D,3,FALSE)</f>
        <v>105</v>
      </c>
      <c r="J9" s="81">
        <v>40</v>
      </c>
      <c r="K9" s="77" t="s">
        <v>164</v>
      </c>
      <c r="L9" s="78"/>
    </row>
    <row r="10" spans="1:12" s="12" customFormat="1" x14ac:dyDescent="0.25">
      <c r="A10" s="79">
        <v>44145</v>
      </c>
      <c r="B10" s="79">
        <v>44171</v>
      </c>
      <c r="C10" s="64" t="s">
        <v>4</v>
      </c>
      <c r="D10" s="65" t="s">
        <v>153</v>
      </c>
      <c r="E10" s="71" t="s">
        <v>165</v>
      </c>
      <c r="F10" s="74">
        <f t="shared" si="0"/>
        <v>24.990000000000009</v>
      </c>
      <c r="G10" s="64">
        <v>7</v>
      </c>
      <c r="H10" s="80">
        <f>VLOOKUP(K10,'[2]Sources Pricing'!$B:$C,2,FALSE)</f>
        <v>199.99</v>
      </c>
      <c r="I10" s="80">
        <f>VLOOKUP(K10,'[2]Sources Pricing'!$B:$D,3,FALSE)</f>
        <v>105</v>
      </c>
      <c r="J10" s="81">
        <v>70</v>
      </c>
      <c r="K10" s="77" t="s">
        <v>166</v>
      </c>
      <c r="L10" s="78"/>
    </row>
    <row r="11" spans="1:12" s="12" customFormat="1" x14ac:dyDescent="0.25">
      <c r="A11" s="79">
        <v>44145</v>
      </c>
      <c r="B11" s="79">
        <v>44165</v>
      </c>
      <c r="C11" s="64" t="s">
        <v>4</v>
      </c>
      <c r="D11" s="65" t="s">
        <v>167</v>
      </c>
      <c r="E11" s="71" t="s">
        <v>168</v>
      </c>
      <c r="F11" s="74">
        <f t="shared" si="0"/>
        <v>174.99</v>
      </c>
      <c r="G11" s="64">
        <v>8</v>
      </c>
      <c r="H11" s="80">
        <f>VLOOKUP(K11,'[2]Sources Pricing'!$B:$C,2,FALSE)</f>
        <v>349.99</v>
      </c>
      <c r="I11" s="80">
        <f>VLOOKUP(K11,'[2]Sources Pricing'!$B:$D,3,FALSE)</f>
        <v>75</v>
      </c>
      <c r="J11" s="81">
        <v>100</v>
      </c>
      <c r="K11" s="77" t="s">
        <v>169</v>
      </c>
      <c r="L11" s="78"/>
    </row>
    <row r="12" spans="1:12" s="12" customFormat="1" x14ac:dyDescent="0.25">
      <c r="A12" s="79">
        <v>44145</v>
      </c>
      <c r="B12" s="79">
        <v>44165</v>
      </c>
      <c r="C12" s="64" t="s">
        <v>4</v>
      </c>
      <c r="D12" s="65" t="s">
        <v>167</v>
      </c>
      <c r="E12" s="65" t="s">
        <v>170</v>
      </c>
      <c r="F12" s="74">
        <f t="shared" si="0"/>
        <v>49.990000000000009</v>
      </c>
      <c r="G12" s="64">
        <v>9</v>
      </c>
      <c r="H12" s="80">
        <f>VLOOKUP(K12,'[2]Sources Pricing'!$B:$C,2,FALSE)</f>
        <v>649.99</v>
      </c>
      <c r="I12" s="80">
        <f>VLOOKUP(K12,'[2]Sources Pricing'!$B:$D,3,FALSE)</f>
        <v>500</v>
      </c>
      <c r="J12" s="81">
        <v>100</v>
      </c>
      <c r="K12" s="77" t="s">
        <v>171</v>
      </c>
      <c r="L12" s="78"/>
    </row>
    <row r="13" spans="1:12" s="12" customFormat="1" x14ac:dyDescent="0.25">
      <c r="A13" s="79">
        <v>44145</v>
      </c>
      <c r="B13" s="79">
        <v>44165</v>
      </c>
      <c r="C13" s="64" t="s">
        <v>4</v>
      </c>
      <c r="D13" s="65" t="s">
        <v>167</v>
      </c>
      <c r="E13" s="65" t="s">
        <v>172</v>
      </c>
      <c r="F13" s="74">
        <f t="shared" si="0"/>
        <v>74.990000000000009</v>
      </c>
      <c r="G13" s="64">
        <v>10</v>
      </c>
      <c r="H13" s="80">
        <f>VLOOKUP(K13,'[2]Sources Pricing'!$B:$C,2,FALSE)</f>
        <v>229.99</v>
      </c>
      <c r="I13" s="80">
        <f>VLOOKUP(K13,'[2]Sources Pricing'!$B:$D,3,FALSE)</f>
        <v>75</v>
      </c>
      <c r="J13" s="81">
        <v>80</v>
      </c>
      <c r="K13" s="77" t="s">
        <v>173</v>
      </c>
      <c r="L13" s="78"/>
    </row>
    <row r="14" spans="1:12" s="12" customFormat="1" x14ac:dyDescent="0.25">
      <c r="A14" s="79">
        <v>44145</v>
      </c>
      <c r="B14" s="79">
        <v>44165</v>
      </c>
      <c r="C14" s="64" t="s">
        <v>4</v>
      </c>
      <c r="D14" s="65" t="s">
        <v>167</v>
      </c>
      <c r="E14" s="65" t="s">
        <v>174</v>
      </c>
      <c r="F14" s="74">
        <f t="shared" si="0"/>
        <v>99.990000000000009</v>
      </c>
      <c r="G14" s="64">
        <v>11</v>
      </c>
      <c r="H14" s="80">
        <f>VLOOKUP(K14,'[2]Sources Pricing'!$B:$C,2,FALSE)</f>
        <v>149.99</v>
      </c>
      <c r="I14" s="80">
        <f>VLOOKUP(K14,'[2]Sources Pricing'!$B:$D,3,FALSE)</f>
        <v>0</v>
      </c>
      <c r="J14" s="81">
        <v>50</v>
      </c>
      <c r="K14" s="77" t="s">
        <v>175</v>
      </c>
      <c r="L14" s="78"/>
    </row>
    <row r="15" spans="1:12" s="108" customFormat="1" ht="45" x14ac:dyDescent="0.25">
      <c r="A15" s="100">
        <v>44165</v>
      </c>
      <c r="B15" s="101" t="s">
        <v>530</v>
      </c>
      <c r="C15" s="102" t="s">
        <v>200</v>
      </c>
      <c r="D15" s="102" t="s">
        <v>201</v>
      </c>
      <c r="E15" s="103" t="s">
        <v>525</v>
      </c>
      <c r="F15" s="104"/>
      <c r="G15" s="102">
        <v>2</v>
      </c>
      <c r="H15" s="104"/>
      <c r="I15" s="104"/>
      <c r="J15" s="105"/>
      <c r="K15" s="106"/>
      <c r="L15" s="107"/>
    </row>
    <row r="16" spans="1:12" s="108" customFormat="1" hidden="1" x14ac:dyDescent="0.25">
      <c r="A16" s="100">
        <v>44145</v>
      </c>
      <c r="B16" s="101">
        <v>44164</v>
      </c>
      <c r="C16" s="102" t="s">
        <v>200</v>
      </c>
      <c r="D16" s="102" t="s">
        <v>203</v>
      </c>
      <c r="E16" s="103" t="s">
        <v>204</v>
      </c>
      <c r="F16" s="104"/>
      <c r="G16" s="102">
        <v>3</v>
      </c>
      <c r="H16" s="104"/>
      <c r="I16" s="104"/>
      <c r="J16" s="105"/>
      <c r="K16" s="106"/>
      <c r="L16" s="107"/>
    </row>
    <row r="17" spans="1:12" s="108" customFormat="1" hidden="1" x14ac:dyDescent="0.25">
      <c r="A17" s="100">
        <v>44145</v>
      </c>
      <c r="B17" s="101">
        <v>44164</v>
      </c>
      <c r="C17" s="102" t="s">
        <v>200</v>
      </c>
      <c r="D17" s="102" t="s">
        <v>203</v>
      </c>
      <c r="E17" s="103" t="s">
        <v>205</v>
      </c>
      <c r="F17" s="104"/>
      <c r="G17" s="102">
        <v>3.1</v>
      </c>
      <c r="H17" s="104"/>
      <c r="I17" s="104"/>
      <c r="J17" s="105"/>
      <c r="K17" s="106"/>
      <c r="L17" s="107"/>
    </row>
    <row r="18" spans="1:12" s="108" customFormat="1" ht="30" x14ac:dyDescent="0.25">
      <c r="A18" s="100">
        <v>44165</v>
      </c>
      <c r="B18" s="101" t="s">
        <v>530</v>
      </c>
      <c r="C18" s="102" t="s">
        <v>200</v>
      </c>
      <c r="D18" s="102" t="s">
        <v>203</v>
      </c>
      <c r="E18" s="103" t="s">
        <v>526</v>
      </c>
      <c r="F18" s="104"/>
      <c r="G18" s="102">
        <v>3</v>
      </c>
      <c r="H18" s="104"/>
      <c r="I18" s="104"/>
      <c r="J18" s="105"/>
      <c r="K18" s="106"/>
      <c r="L18" s="107"/>
    </row>
    <row r="19" spans="1:12" s="98" customFormat="1" ht="30" x14ac:dyDescent="0.25">
      <c r="A19" s="100">
        <v>44165</v>
      </c>
      <c r="B19" s="37" t="s">
        <v>530</v>
      </c>
      <c r="C19" s="8" t="s">
        <v>200</v>
      </c>
      <c r="D19" s="8" t="s">
        <v>206</v>
      </c>
      <c r="E19" s="93" t="s">
        <v>527</v>
      </c>
      <c r="F19" s="94"/>
      <c r="G19" s="8">
        <v>4</v>
      </c>
      <c r="H19" s="94"/>
      <c r="I19" s="94"/>
      <c r="J19" s="95"/>
      <c r="K19" s="96"/>
      <c r="L19" s="97"/>
    </row>
    <row r="20" spans="1:12" s="98" customFormat="1" ht="30" x14ac:dyDescent="0.25">
      <c r="A20" s="100">
        <v>44165</v>
      </c>
      <c r="B20" s="37" t="s">
        <v>530</v>
      </c>
      <c r="C20" s="8" t="s">
        <v>200</v>
      </c>
      <c r="D20" s="8" t="s">
        <v>208</v>
      </c>
      <c r="E20" s="99" t="s">
        <v>145</v>
      </c>
      <c r="F20" s="94"/>
      <c r="G20" s="8">
        <v>1</v>
      </c>
      <c r="H20" s="94"/>
      <c r="I20" s="94"/>
      <c r="J20" s="95"/>
      <c r="K20" s="96"/>
      <c r="L20" s="97"/>
    </row>
    <row r="21" spans="1:12" x14ac:dyDescent="0.25">
      <c r="A21" s="63">
        <v>44157</v>
      </c>
      <c r="B21" s="63">
        <v>44165</v>
      </c>
      <c r="C21" s="64" t="s">
        <v>60</v>
      </c>
      <c r="D21" s="65" t="s">
        <v>61</v>
      </c>
      <c r="E21" s="66" t="s">
        <v>209</v>
      </c>
      <c r="F21" s="67">
        <v>2299.9899999999998</v>
      </c>
      <c r="G21" s="64">
        <v>1</v>
      </c>
      <c r="H21" s="67"/>
      <c r="I21" s="67"/>
      <c r="J21" s="68"/>
      <c r="K21" s="69"/>
      <c r="L21" s="65"/>
    </row>
    <row r="22" spans="1:12" x14ac:dyDescent="0.25">
      <c r="A22" s="40">
        <v>44157</v>
      </c>
      <c r="B22" s="40">
        <v>44165</v>
      </c>
      <c r="C22" s="8" t="s">
        <v>60</v>
      </c>
      <c r="D22" s="8" t="s">
        <v>61</v>
      </c>
      <c r="E22" s="29" t="s">
        <v>62</v>
      </c>
      <c r="F22" s="33">
        <v>429.99</v>
      </c>
      <c r="G22" s="8">
        <v>2</v>
      </c>
      <c r="H22" s="33"/>
      <c r="I22" s="33"/>
      <c r="J22" s="34"/>
      <c r="K22" s="35"/>
      <c r="L22" s="9"/>
    </row>
    <row r="23" spans="1:12" x14ac:dyDescent="0.25">
      <c r="A23" s="40">
        <v>44158</v>
      </c>
      <c r="B23" s="40">
        <v>44165</v>
      </c>
      <c r="C23" s="8" t="s">
        <v>60</v>
      </c>
      <c r="D23" s="8" t="s">
        <v>210</v>
      </c>
      <c r="E23" s="29" t="s">
        <v>211</v>
      </c>
      <c r="F23" s="33">
        <v>479.99</v>
      </c>
      <c r="G23" s="8">
        <v>3</v>
      </c>
      <c r="H23" s="33"/>
      <c r="I23" s="33"/>
      <c r="J23" s="34"/>
      <c r="K23" s="35"/>
      <c r="L23" s="9"/>
    </row>
    <row r="24" spans="1:12" s="12" customFormat="1" x14ac:dyDescent="0.25">
      <c r="A24" s="70">
        <v>44158</v>
      </c>
      <c r="B24" s="70">
        <v>44165</v>
      </c>
      <c r="C24" s="64" t="s">
        <v>60</v>
      </c>
      <c r="D24" s="64" t="s">
        <v>212</v>
      </c>
      <c r="E24" s="71" t="s">
        <v>213</v>
      </c>
      <c r="F24" s="67">
        <v>2799.99</v>
      </c>
      <c r="G24" s="64">
        <v>4</v>
      </c>
      <c r="H24" s="67"/>
      <c r="I24" s="67"/>
      <c r="J24" s="68"/>
      <c r="K24" s="69"/>
      <c r="L24" s="72"/>
    </row>
    <row r="25" spans="1:12" ht="30" x14ac:dyDescent="0.25">
      <c r="A25" s="40">
        <v>44144</v>
      </c>
      <c r="B25" s="40">
        <v>44171</v>
      </c>
      <c r="C25" s="8" t="s">
        <v>60</v>
      </c>
      <c r="D25" s="8" t="s">
        <v>63</v>
      </c>
      <c r="E25" s="29" t="s">
        <v>214</v>
      </c>
      <c r="F25" s="33">
        <v>269.99</v>
      </c>
      <c r="G25" s="8">
        <v>5</v>
      </c>
      <c r="H25" s="33"/>
      <c r="I25" s="33"/>
      <c r="J25" s="34"/>
      <c r="K25" s="35"/>
      <c r="L25" s="9"/>
    </row>
    <row r="26" spans="1:12" s="12" customFormat="1" x14ac:dyDescent="0.25">
      <c r="A26" s="70">
        <v>44158</v>
      </c>
      <c r="B26" s="70">
        <v>44165</v>
      </c>
      <c r="C26" s="64" t="s">
        <v>60</v>
      </c>
      <c r="D26" s="64" t="s">
        <v>64</v>
      </c>
      <c r="E26" s="71" t="s">
        <v>215</v>
      </c>
      <c r="F26" s="67" t="s">
        <v>216</v>
      </c>
      <c r="G26" s="64">
        <v>6</v>
      </c>
      <c r="H26" s="67"/>
      <c r="I26" s="67"/>
      <c r="J26" s="68"/>
      <c r="K26" s="69"/>
      <c r="L26" s="72" t="s">
        <v>228</v>
      </c>
    </row>
    <row r="27" spans="1:12" ht="30" x14ac:dyDescent="0.25">
      <c r="A27" s="40">
        <v>44116</v>
      </c>
      <c r="B27" s="40">
        <v>44165</v>
      </c>
      <c r="C27" s="8" t="s">
        <v>60</v>
      </c>
      <c r="D27" s="8" t="s">
        <v>217</v>
      </c>
      <c r="E27" s="29" t="s">
        <v>8</v>
      </c>
      <c r="F27" s="33">
        <v>279.99</v>
      </c>
      <c r="G27" s="8">
        <v>7</v>
      </c>
      <c r="H27" s="33"/>
      <c r="I27" s="33"/>
      <c r="J27" s="34"/>
      <c r="K27" s="35"/>
      <c r="L27" s="9"/>
    </row>
    <row r="28" spans="1:12" x14ac:dyDescent="0.25">
      <c r="A28" s="40">
        <v>44158</v>
      </c>
      <c r="B28" s="40">
        <v>44165</v>
      </c>
      <c r="C28" s="8" t="s">
        <v>60</v>
      </c>
      <c r="D28" s="8" t="s">
        <v>218</v>
      </c>
      <c r="E28" s="29" t="s">
        <v>219</v>
      </c>
      <c r="F28" s="33">
        <v>799.99</v>
      </c>
      <c r="G28" s="8">
        <v>8</v>
      </c>
      <c r="H28" s="33"/>
      <c r="I28" s="33"/>
      <c r="J28" s="34"/>
      <c r="K28" s="35"/>
      <c r="L28" s="9"/>
    </row>
    <row r="29" spans="1:12" x14ac:dyDescent="0.25">
      <c r="A29" s="40">
        <v>44145</v>
      </c>
      <c r="B29" s="40">
        <v>44165</v>
      </c>
      <c r="C29" s="8" t="s">
        <v>60</v>
      </c>
      <c r="D29" s="8" t="s">
        <v>217</v>
      </c>
      <c r="E29" s="28" t="s">
        <v>78</v>
      </c>
      <c r="F29" s="33">
        <v>149.99</v>
      </c>
      <c r="G29" s="8">
        <v>9</v>
      </c>
      <c r="H29" s="33"/>
      <c r="I29" s="33"/>
      <c r="J29" s="34"/>
      <c r="K29" s="35"/>
      <c r="L29" s="9"/>
    </row>
    <row r="30" spans="1:12" x14ac:dyDescent="0.25">
      <c r="A30" s="40">
        <v>44157</v>
      </c>
      <c r="B30" s="40">
        <v>44165</v>
      </c>
      <c r="C30" s="8" t="s">
        <v>60</v>
      </c>
      <c r="D30" s="8" t="s">
        <v>217</v>
      </c>
      <c r="E30" s="28" t="s">
        <v>220</v>
      </c>
      <c r="F30" s="33">
        <v>129.99</v>
      </c>
      <c r="G30" s="8">
        <v>10</v>
      </c>
      <c r="H30" s="33"/>
      <c r="I30" s="33"/>
      <c r="J30" s="34"/>
      <c r="K30" s="35"/>
      <c r="L30" s="9"/>
    </row>
    <row r="31" spans="1:12" x14ac:dyDescent="0.25">
      <c r="A31" s="40">
        <v>44157</v>
      </c>
      <c r="B31" s="40">
        <v>44171</v>
      </c>
      <c r="C31" s="8" t="s">
        <v>60</v>
      </c>
      <c r="D31" s="8" t="s">
        <v>217</v>
      </c>
      <c r="E31" s="28" t="s">
        <v>221</v>
      </c>
      <c r="F31" s="33">
        <v>429.99</v>
      </c>
      <c r="G31" s="8">
        <v>11</v>
      </c>
      <c r="H31" s="33"/>
      <c r="I31" s="33"/>
      <c r="J31" s="34"/>
      <c r="K31" s="35"/>
      <c r="L31" s="9"/>
    </row>
    <row r="32" spans="1:12" ht="30" x14ac:dyDescent="0.25">
      <c r="A32" s="40">
        <v>44157</v>
      </c>
      <c r="B32" s="40">
        <v>44165</v>
      </c>
      <c r="C32" s="8" t="s">
        <v>60</v>
      </c>
      <c r="D32" s="8" t="s">
        <v>217</v>
      </c>
      <c r="E32" s="41" t="s">
        <v>222</v>
      </c>
      <c r="F32" s="33">
        <v>69.989999999999995</v>
      </c>
      <c r="G32" s="8">
        <v>12</v>
      </c>
      <c r="H32" s="33"/>
      <c r="I32" s="33"/>
      <c r="J32" s="34"/>
      <c r="K32" s="35"/>
      <c r="L32" s="9"/>
    </row>
    <row r="33" spans="1:12" s="12" customFormat="1" x14ac:dyDescent="0.25">
      <c r="A33" s="70">
        <v>44157</v>
      </c>
      <c r="B33" s="70">
        <v>44171</v>
      </c>
      <c r="C33" s="64" t="s">
        <v>60</v>
      </c>
      <c r="D33" s="64" t="s">
        <v>65</v>
      </c>
      <c r="E33" s="65" t="s">
        <v>223</v>
      </c>
      <c r="F33" s="67">
        <v>89.99</v>
      </c>
      <c r="G33" s="64">
        <v>13</v>
      </c>
      <c r="H33" s="67"/>
      <c r="I33" s="67"/>
      <c r="J33" s="68"/>
      <c r="K33" s="69"/>
      <c r="L33" s="72"/>
    </row>
    <row r="34" spans="1:12" s="12" customFormat="1" x14ac:dyDescent="0.25">
      <c r="A34" s="70">
        <v>44157</v>
      </c>
      <c r="B34" s="70">
        <v>44171</v>
      </c>
      <c r="C34" s="64" t="s">
        <v>60</v>
      </c>
      <c r="D34" s="64" t="s">
        <v>65</v>
      </c>
      <c r="E34" s="65" t="s">
        <v>224</v>
      </c>
      <c r="F34" s="67" t="s">
        <v>225</v>
      </c>
      <c r="G34" s="64">
        <v>14</v>
      </c>
      <c r="H34" s="67"/>
      <c r="I34" s="67"/>
      <c r="J34" s="68"/>
      <c r="K34" s="69"/>
      <c r="L34" s="72" t="s">
        <v>228</v>
      </c>
    </row>
    <row r="35" spans="1:12" x14ac:dyDescent="0.25">
      <c r="A35" s="40">
        <v>44137</v>
      </c>
      <c r="B35" s="40">
        <v>44171</v>
      </c>
      <c r="C35" s="8" t="s">
        <v>60</v>
      </c>
      <c r="D35" s="8" t="s">
        <v>65</v>
      </c>
      <c r="E35" s="28" t="s">
        <v>66</v>
      </c>
      <c r="F35" s="33">
        <v>49.99</v>
      </c>
      <c r="G35" s="8">
        <v>15</v>
      </c>
      <c r="H35" s="33"/>
      <c r="I35" s="33"/>
      <c r="J35" s="34"/>
      <c r="K35" s="35"/>
      <c r="L35" s="9"/>
    </row>
    <row r="36" spans="1:12" s="12" customFormat="1" x14ac:dyDescent="0.25">
      <c r="A36" s="70">
        <v>44158</v>
      </c>
      <c r="B36" s="70">
        <v>44178</v>
      </c>
      <c r="C36" s="64" t="s">
        <v>60</v>
      </c>
      <c r="D36" s="64" t="s">
        <v>65</v>
      </c>
      <c r="E36" s="65" t="s">
        <v>226</v>
      </c>
      <c r="F36" s="67">
        <v>6.99</v>
      </c>
      <c r="G36" s="64">
        <v>16</v>
      </c>
      <c r="H36" s="67"/>
      <c r="I36" s="67"/>
      <c r="J36" s="68"/>
      <c r="K36" s="69"/>
      <c r="L36" s="72"/>
    </row>
    <row r="37" spans="1:12" s="12" customFormat="1" x14ac:dyDescent="0.25">
      <c r="A37" s="70">
        <v>44158</v>
      </c>
      <c r="B37" s="70">
        <v>44192</v>
      </c>
      <c r="C37" s="64" t="s">
        <v>60</v>
      </c>
      <c r="D37" s="64" t="s">
        <v>65</v>
      </c>
      <c r="E37" s="65" t="s">
        <v>227</v>
      </c>
      <c r="F37" s="67">
        <v>8.99</v>
      </c>
      <c r="G37" s="64">
        <v>17</v>
      </c>
      <c r="H37" s="67"/>
      <c r="I37" s="67"/>
      <c r="J37" s="68"/>
      <c r="K37" s="69"/>
      <c r="L37" s="72"/>
    </row>
    <row r="38" spans="1:12" x14ac:dyDescent="0.25">
      <c r="A38" s="42">
        <v>44139</v>
      </c>
      <c r="B38" s="42">
        <v>44161</v>
      </c>
      <c r="C38" s="8" t="s">
        <v>6</v>
      </c>
      <c r="D38" s="8" t="s">
        <v>50</v>
      </c>
      <c r="E38" s="43" t="s">
        <v>51</v>
      </c>
      <c r="F38" s="33" t="s">
        <v>52</v>
      </c>
      <c r="G38" s="8">
        <v>1</v>
      </c>
      <c r="H38" s="33"/>
      <c r="I38" s="33"/>
      <c r="J38" s="34"/>
      <c r="K38" s="35"/>
      <c r="L38" s="36"/>
    </row>
    <row r="39" spans="1:12" ht="60" x14ac:dyDescent="0.25">
      <c r="A39" s="42">
        <v>44162</v>
      </c>
      <c r="B39" s="42">
        <v>44171</v>
      </c>
      <c r="C39" s="8" t="s">
        <v>6</v>
      </c>
      <c r="D39" s="8" t="s">
        <v>50</v>
      </c>
      <c r="E39" s="10" t="s">
        <v>229</v>
      </c>
      <c r="F39" s="33" t="s">
        <v>230</v>
      </c>
      <c r="G39" s="8">
        <v>1</v>
      </c>
      <c r="H39" s="33"/>
      <c r="I39" s="33"/>
      <c r="J39" s="34"/>
      <c r="K39" s="35"/>
      <c r="L39" s="36"/>
    </row>
    <row r="40" spans="1:12" ht="30" x14ac:dyDescent="0.25">
      <c r="A40" s="44">
        <v>44139</v>
      </c>
      <c r="B40" s="44">
        <v>44167</v>
      </c>
      <c r="C40" s="45" t="s">
        <v>6</v>
      </c>
      <c r="D40" s="45" t="s">
        <v>39</v>
      </c>
      <c r="E40" s="46" t="s">
        <v>12</v>
      </c>
      <c r="F40" s="33" t="s">
        <v>40</v>
      </c>
      <c r="G40" s="45">
        <v>2</v>
      </c>
      <c r="H40" s="33"/>
      <c r="I40" s="33"/>
      <c r="J40" s="34"/>
      <c r="K40" s="35"/>
      <c r="L40" s="36"/>
    </row>
    <row r="41" spans="1:12" s="116" customFormat="1" x14ac:dyDescent="0.25">
      <c r="A41" s="109">
        <v>44139</v>
      </c>
      <c r="B41" s="109">
        <v>44160</v>
      </c>
      <c r="C41" s="110" t="s">
        <v>6</v>
      </c>
      <c r="D41" s="110" t="s">
        <v>50</v>
      </c>
      <c r="E41" s="111" t="s">
        <v>15</v>
      </c>
      <c r="F41" s="112" t="s">
        <v>231</v>
      </c>
      <c r="G41" s="110">
        <v>3</v>
      </c>
      <c r="H41" s="112"/>
      <c r="I41" s="112"/>
      <c r="J41" s="113"/>
      <c r="K41" s="114"/>
      <c r="L41" s="115"/>
    </row>
    <row r="42" spans="1:12" s="108" customFormat="1" x14ac:dyDescent="0.25">
      <c r="A42" s="118">
        <v>44161</v>
      </c>
      <c r="B42" s="118">
        <v>44167</v>
      </c>
      <c r="C42" s="102" t="s">
        <v>6</v>
      </c>
      <c r="D42" s="102" t="s">
        <v>50</v>
      </c>
      <c r="E42" s="119" t="s">
        <v>529</v>
      </c>
      <c r="F42" s="104"/>
      <c r="G42" s="102">
        <v>3</v>
      </c>
      <c r="H42" s="104"/>
      <c r="I42" s="104"/>
      <c r="J42" s="105"/>
      <c r="K42" s="106"/>
      <c r="L42" s="107"/>
    </row>
    <row r="43" spans="1:12" s="116" customFormat="1" x14ac:dyDescent="0.25">
      <c r="A43" s="109">
        <v>44139</v>
      </c>
      <c r="B43" s="109">
        <v>44164</v>
      </c>
      <c r="C43" s="110" t="s">
        <v>6</v>
      </c>
      <c r="D43" s="110" t="s">
        <v>50</v>
      </c>
      <c r="E43" s="111" t="s">
        <v>16</v>
      </c>
      <c r="F43" s="112">
        <v>949</v>
      </c>
      <c r="G43" s="110">
        <v>4</v>
      </c>
      <c r="H43" s="112"/>
      <c r="I43" s="112"/>
      <c r="J43" s="113"/>
      <c r="K43" s="114"/>
      <c r="L43" s="115"/>
    </row>
    <row r="44" spans="1:12" s="116" customFormat="1" x14ac:dyDescent="0.25">
      <c r="A44" s="109">
        <v>44139</v>
      </c>
      <c r="B44" s="109">
        <v>44160</v>
      </c>
      <c r="C44" s="110" t="s">
        <v>6</v>
      </c>
      <c r="D44" s="110" t="s">
        <v>50</v>
      </c>
      <c r="E44" s="111" t="s">
        <v>17</v>
      </c>
      <c r="F44" s="112" t="s">
        <v>42</v>
      </c>
      <c r="G44" s="110">
        <v>5</v>
      </c>
      <c r="H44" s="112"/>
      <c r="I44" s="112"/>
      <c r="J44" s="113"/>
      <c r="K44" s="114"/>
      <c r="L44" s="115"/>
    </row>
    <row r="45" spans="1:12" x14ac:dyDescent="0.25">
      <c r="A45" s="44">
        <v>44161</v>
      </c>
      <c r="B45" s="44">
        <v>44167</v>
      </c>
      <c r="C45" s="45" t="s">
        <v>6</v>
      </c>
      <c r="D45" s="45" t="s">
        <v>50</v>
      </c>
      <c r="E45" s="46" t="s">
        <v>232</v>
      </c>
      <c r="F45" s="33" t="s">
        <v>49</v>
      </c>
      <c r="G45" s="45">
        <v>5</v>
      </c>
      <c r="H45" s="33"/>
      <c r="I45" s="33"/>
      <c r="J45" s="34"/>
      <c r="K45" s="35"/>
      <c r="L45" s="36"/>
    </row>
    <row r="46" spans="1:12" ht="45" x14ac:dyDescent="0.25">
      <c r="A46" s="44">
        <v>44139</v>
      </c>
      <c r="B46" s="44">
        <v>44167</v>
      </c>
      <c r="C46" s="45" t="s">
        <v>6</v>
      </c>
      <c r="D46" s="45" t="s">
        <v>50</v>
      </c>
      <c r="E46" s="47" t="s">
        <v>55</v>
      </c>
      <c r="F46" s="33" t="s">
        <v>56</v>
      </c>
      <c r="G46" s="45">
        <v>7</v>
      </c>
      <c r="H46" s="33"/>
      <c r="I46" s="33"/>
      <c r="J46" s="34"/>
      <c r="K46" s="35"/>
      <c r="L46" s="36"/>
    </row>
    <row r="47" spans="1:12" ht="45" x14ac:dyDescent="0.25">
      <c r="A47" s="44">
        <v>44139</v>
      </c>
      <c r="B47" s="44">
        <v>44167</v>
      </c>
      <c r="C47" s="45" t="s">
        <v>6</v>
      </c>
      <c r="D47" s="45" t="s">
        <v>50</v>
      </c>
      <c r="E47" s="47" t="s">
        <v>57</v>
      </c>
      <c r="F47" s="33" t="s">
        <v>58</v>
      </c>
      <c r="G47" s="45">
        <v>7</v>
      </c>
      <c r="H47" s="33"/>
      <c r="I47" s="33"/>
      <c r="J47" s="34"/>
      <c r="K47" s="35"/>
      <c r="L47" s="36"/>
    </row>
    <row r="48" spans="1:12" ht="225" x14ac:dyDescent="0.25">
      <c r="A48" s="44">
        <v>44139</v>
      </c>
      <c r="B48" s="44">
        <v>44167</v>
      </c>
      <c r="C48" s="45" t="s">
        <v>6</v>
      </c>
      <c r="D48" s="48" t="s">
        <v>39</v>
      </c>
      <c r="E48" s="47" t="s">
        <v>54</v>
      </c>
      <c r="F48" s="33"/>
      <c r="G48" s="45">
        <v>8</v>
      </c>
      <c r="H48" s="33"/>
      <c r="I48" s="33"/>
      <c r="J48" s="34"/>
      <c r="K48" s="35"/>
      <c r="L48" s="36"/>
    </row>
    <row r="49" spans="1:12" x14ac:dyDescent="0.25">
      <c r="A49" s="44">
        <v>44139</v>
      </c>
      <c r="B49" s="44">
        <v>44167</v>
      </c>
      <c r="C49" s="45" t="s">
        <v>6</v>
      </c>
      <c r="D49" s="45" t="s">
        <v>48</v>
      </c>
      <c r="E49" s="46" t="s">
        <v>14</v>
      </c>
      <c r="F49" s="33" t="s">
        <v>49</v>
      </c>
      <c r="G49" s="45">
        <v>9</v>
      </c>
      <c r="H49" s="33"/>
      <c r="I49" s="33"/>
      <c r="J49" s="34"/>
      <c r="K49" s="35"/>
      <c r="L49" s="36"/>
    </row>
    <row r="50" spans="1:12" x14ac:dyDescent="0.25">
      <c r="A50" s="44">
        <v>44139</v>
      </c>
      <c r="B50" s="44">
        <v>44167</v>
      </c>
      <c r="C50" s="45" t="s">
        <v>6</v>
      </c>
      <c r="D50" s="45" t="s">
        <v>50</v>
      </c>
      <c r="E50" s="46" t="s">
        <v>53</v>
      </c>
      <c r="F50" s="33">
        <v>149</v>
      </c>
      <c r="G50" s="45">
        <v>10</v>
      </c>
      <c r="H50" s="33"/>
      <c r="I50" s="33"/>
      <c r="J50" s="34"/>
      <c r="K50" s="35"/>
      <c r="L50" s="36"/>
    </row>
    <row r="51" spans="1:12" x14ac:dyDescent="0.25">
      <c r="A51" s="44">
        <v>44139</v>
      </c>
      <c r="B51" s="44">
        <v>44167</v>
      </c>
      <c r="C51" s="45" t="s">
        <v>6</v>
      </c>
      <c r="D51" s="45" t="s">
        <v>39</v>
      </c>
      <c r="E51" s="46" t="s">
        <v>9</v>
      </c>
      <c r="F51" s="33" t="s">
        <v>45</v>
      </c>
      <c r="G51" s="45">
        <v>11</v>
      </c>
      <c r="H51" s="33"/>
      <c r="I51" s="33"/>
      <c r="J51" s="34"/>
      <c r="K51" s="35"/>
      <c r="L51" s="36"/>
    </row>
    <row r="52" spans="1:12" x14ac:dyDescent="0.25">
      <c r="A52" s="44">
        <v>44139</v>
      </c>
      <c r="B52" s="44">
        <v>44167</v>
      </c>
      <c r="C52" s="45" t="s">
        <v>6</v>
      </c>
      <c r="D52" s="45" t="s">
        <v>39</v>
      </c>
      <c r="E52" s="46" t="s">
        <v>11</v>
      </c>
      <c r="F52" s="33" t="s">
        <v>42</v>
      </c>
      <c r="G52" s="45">
        <v>12</v>
      </c>
      <c r="H52" s="33"/>
      <c r="I52" s="33"/>
      <c r="J52" s="34"/>
      <c r="K52" s="35"/>
      <c r="L52" s="36"/>
    </row>
    <row r="53" spans="1:12" x14ac:dyDescent="0.25">
      <c r="A53" s="44">
        <v>44139</v>
      </c>
      <c r="B53" s="44">
        <v>44167</v>
      </c>
      <c r="C53" s="45" t="s">
        <v>6</v>
      </c>
      <c r="D53" s="45" t="s">
        <v>39</v>
      </c>
      <c r="E53" s="46" t="s">
        <v>10</v>
      </c>
      <c r="F53" s="33" t="s">
        <v>41</v>
      </c>
      <c r="G53" s="45">
        <v>13</v>
      </c>
      <c r="H53" s="33"/>
      <c r="I53" s="33"/>
      <c r="J53" s="34"/>
      <c r="K53" s="35"/>
      <c r="L53" s="36"/>
    </row>
    <row r="54" spans="1:12" x14ac:dyDescent="0.25">
      <c r="A54" s="44">
        <v>44139</v>
      </c>
      <c r="B54" s="44">
        <v>44167</v>
      </c>
      <c r="C54" s="45" t="s">
        <v>6</v>
      </c>
      <c r="D54" s="45" t="s">
        <v>39</v>
      </c>
      <c r="E54" s="46" t="s">
        <v>13</v>
      </c>
      <c r="F54" s="33" t="s">
        <v>43</v>
      </c>
      <c r="G54" s="45">
        <v>14</v>
      </c>
      <c r="H54" s="33"/>
      <c r="I54" s="33"/>
      <c r="J54" s="34"/>
      <c r="K54" s="35"/>
      <c r="L54" s="36"/>
    </row>
    <row r="55" spans="1:12" x14ac:dyDescent="0.25">
      <c r="A55" s="44">
        <v>44139</v>
      </c>
      <c r="B55" s="44">
        <v>44167</v>
      </c>
      <c r="C55" s="45" t="s">
        <v>6</v>
      </c>
      <c r="D55" s="45" t="s">
        <v>39</v>
      </c>
      <c r="E55" s="46" t="s">
        <v>44</v>
      </c>
      <c r="F55" s="33" t="s">
        <v>45</v>
      </c>
      <c r="G55" s="45">
        <v>15</v>
      </c>
      <c r="H55" s="33"/>
      <c r="I55" s="33"/>
      <c r="J55" s="34"/>
      <c r="K55" s="35"/>
      <c r="L55" s="36"/>
    </row>
    <row r="56" spans="1:12" x14ac:dyDescent="0.25">
      <c r="A56" s="44">
        <v>44139</v>
      </c>
      <c r="B56" s="44">
        <v>44167</v>
      </c>
      <c r="C56" s="45" t="s">
        <v>6</v>
      </c>
      <c r="D56" s="45" t="s">
        <v>39</v>
      </c>
      <c r="E56" s="46" t="s">
        <v>46</v>
      </c>
      <c r="F56" s="33" t="s">
        <v>47</v>
      </c>
      <c r="G56" s="45">
        <v>16</v>
      </c>
      <c r="H56" s="33"/>
      <c r="I56" s="33"/>
      <c r="J56" s="34"/>
      <c r="K56" s="35"/>
      <c r="L56" s="36"/>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'C:\Users\SDSA\Downloads\[ME Holiday Deals_FINAL (1).xlsx]Sources Pricing'!#REF!</xm:f>
          </x14:formula1>
          <xm:sqref>K4:K14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7"/>
  <sheetViews>
    <sheetView workbookViewId="0">
      <pane ySplit="1" topLeftCell="A2" activePane="bottomLeft" state="frozen"/>
      <selection pane="bottomLeft" activeCell="B4" sqref="B4"/>
    </sheetView>
  </sheetViews>
  <sheetFormatPr defaultColWidth="9" defaultRowHeight="15" x14ac:dyDescent="0.25"/>
  <cols>
    <col min="1" max="1" width="9.7109375" style="7" bestFit="1" customWidth="1"/>
    <col min="2" max="4" width="9.7109375" style="7" customWidth="1"/>
    <col min="5" max="5" width="115.140625" style="7" customWidth="1"/>
    <col min="6" max="6" width="18.140625" style="7" customWidth="1"/>
    <col min="7" max="7" width="31" style="7" customWidth="1"/>
    <col min="8" max="16384" width="9" style="7"/>
  </cols>
  <sheetData>
    <row r="1" spans="1:11" ht="30" x14ac:dyDescent="0.25">
      <c r="A1" s="13" t="s">
        <v>114</v>
      </c>
      <c r="B1" s="13" t="s">
        <v>84</v>
      </c>
      <c r="C1" s="13" t="s">
        <v>85</v>
      </c>
      <c r="D1" s="13" t="s">
        <v>438</v>
      </c>
      <c r="E1" s="13" t="s">
        <v>86</v>
      </c>
      <c r="F1" s="13" t="s">
        <v>87</v>
      </c>
      <c r="G1" s="13" t="s">
        <v>115</v>
      </c>
      <c r="H1" s="13" t="s">
        <v>74</v>
      </c>
      <c r="I1" s="13" t="s">
        <v>87</v>
      </c>
      <c r="J1" s="13" t="s">
        <v>115</v>
      </c>
      <c r="K1" s="13" t="s">
        <v>74</v>
      </c>
    </row>
    <row r="2" spans="1:11" ht="300" x14ac:dyDescent="0.25">
      <c r="A2" s="7" t="s">
        <v>82</v>
      </c>
      <c r="B2" s="7" t="s">
        <v>394</v>
      </c>
      <c r="C2" s="7" t="s">
        <v>394</v>
      </c>
      <c r="D2" s="7" t="s">
        <v>394</v>
      </c>
      <c r="E2" s="7" t="s">
        <v>126</v>
      </c>
      <c r="F2" s="7" t="s">
        <v>394</v>
      </c>
      <c r="G2" s="83" t="s">
        <v>475</v>
      </c>
      <c r="I2" s="7" t="s">
        <v>394</v>
      </c>
      <c r="J2" s="7" t="s">
        <v>394</v>
      </c>
      <c r="K2" s="7" t="s">
        <v>394</v>
      </c>
    </row>
    <row r="3" spans="1:11" ht="137.25" x14ac:dyDescent="0.25">
      <c r="A3" s="15" t="s">
        <v>83</v>
      </c>
      <c r="B3" s="7" t="s">
        <v>394</v>
      </c>
      <c r="C3" s="7" t="s">
        <v>394</v>
      </c>
      <c r="D3" s="7" t="s">
        <v>394</v>
      </c>
      <c r="E3" s="25" t="s">
        <v>127</v>
      </c>
      <c r="F3" s="7" t="s">
        <v>394</v>
      </c>
      <c r="I3" s="7" t="s">
        <v>394</v>
      </c>
      <c r="J3" s="7" t="s">
        <v>394</v>
      </c>
      <c r="K3" s="7" t="s">
        <v>394</v>
      </c>
    </row>
    <row r="4" spans="1:11" ht="152.25" x14ac:dyDescent="0.25">
      <c r="A4" s="26" t="s">
        <v>128</v>
      </c>
      <c r="B4" s="7" t="s">
        <v>394</v>
      </c>
      <c r="C4" s="7" t="s">
        <v>394</v>
      </c>
      <c r="D4" s="7" t="s">
        <v>394</v>
      </c>
      <c r="E4" s="7" t="s">
        <v>129</v>
      </c>
      <c r="F4" s="7" t="s">
        <v>394</v>
      </c>
      <c r="G4" s="83" t="s">
        <v>476</v>
      </c>
      <c r="I4" s="7" t="s">
        <v>394</v>
      </c>
      <c r="J4" s="7" t="s">
        <v>394</v>
      </c>
      <c r="K4" s="7" t="s">
        <v>394</v>
      </c>
    </row>
    <row r="5" spans="1:11" ht="152.25" x14ac:dyDescent="0.25">
      <c r="A5" s="26" t="s">
        <v>130</v>
      </c>
      <c r="B5" s="7" t="s">
        <v>394</v>
      </c>
      <c r="C5" s="7" t="s">
        <v>394</v>
      </c>
      <c r="D5" s="7" t="s">
        <v>394</v>
      </c>
      <c r="E5" s="7" t="s">
        <v>131</v>
      </c>
      <c r="F5" s="7" t="s">
        <v>394</v>
      </c>
      <c r="G5" s="83" t="s">
        <v>476</v>
      </c>
      <c r="I5" s="7" t="s">
        <v>394</v>
      </c>
      <c r="J5" s="7" t="s">
        <v>394</v>
      </c>
      <c r="K5" s="7" t="s">
        <v>394</v>
      </c>
    </row>
    <row r="6" spans="1:11" ht="152.25" x14ac:dyDescent="0.25">
      <c r="A6" s="26" t="s">
        <v>132</v>
      </c>
      <c r="B6" s="7" t="s">
        <v>394</v>
      </c>
      <c r="C6" s="7" t="s">
        <v>394</v>
      </c>
      <c r="D6" s="7" t="s">
        <v>394</v>
      </c>
      <c r="E6" s="7" t="s">
        <v>133</v>
      </c>
      <c r="F6" s="7" t="s">
        <v>394</v>
      </c>
      <c r="G6" s="83" t="s">
        <v>476</v>
      </c>
      <c r="I6" s="7" t="s">
        <v>394</v>
      </c>
      <c r="J6" s="7" t="s">
        <v>394</v>
      </c>
      <c r="K6" s="7" t="s">
        <v>394</v>
      </c>
    </row>
    <row r="7" spans="1:11" ht="167.25" x14ac:dyDescent="0.25">
      <c r="A7" s="26" t="s">
        <v>134</v>
      </c>
      <c r="B7" s="7" t="s">
        <v>394</v>
      </c>
      <c r="C7" s="7" t="s">
        <v>394</v>
      </c>
      <c r="D7" s="7" t="s">
        <v>394</v>
      </c>
      <c r="E7" s="7" t="s">
        <v>135</v>
      </c>
      <c r="F7" s="7" t="s">
        <v>394</v>
      </c>
      <c r="I7" s="7" t="s">
        <v>394</v>
      </c>
      <c r="J7" s="7" t="s">
        <v>394</v>
      </c>
      <c r="K7" s="7" t="s">
        <v>394</v>
      </c>
    </row>
  </sheetData>
  <hyperlinks>
    <hyperlink ref="G2" r:id="rId1"/>
    <hyperlink ref="G4" r:id="rId2"/>
    <hyperlink ref="G5" r:id="rId3"/>
    <hyperlink ref="G6" r:id="rId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Q16"/>
  <sheetViews>
    <sheetView workbookViewId="0">
      <selection activeCell="J27" sqref="J27"/>
    </sheetView>
  </sheetViews>
  <sheetFormatPr defaultRowHeight="15" x14ac:dyDescent="0.25"/>
  <cols>
    <col min="1" max="1" width="4.7109375" customWidth="1"/>
    <col min="2" max="2" width="40" customWidth="1"/>
    <col min="3" max="3" width="3.28515625" bestFit="1" customWidth="1"/>
    <col min="4" max="4" width="40" customWidth="1"/>
    <col min="5" max="5" width="3.28515625" bestFit="1" customWidth="1"/>
    <col min="6" max="6" width="35.85546875" customWidth="1"/>
    <col min="7" max="7" width="2.7109375" bestFit="1" customWidth="1"/>
    <col min="8" max="8" width="35.85546875" customWidth="1"/>
    <col min="9" max="9" width="2.7109375" bestFit="1" customWidth="1"/>
    <col min="10" max="10" width="35.85546875" customWidth="1"/>
    <col min="11" max="11" width="2.7109375" bestFit="1" customWidth="1"/>
    <col min="12" max="12" width="36.28515625" customWidth="1"/>
    <col min="13" max="13" width="2.7109375" bestFit="1" customWidth="1"/>
    <col min="14" max="14" width="35.85546875" customWidth="1"/>
    <col min="15" max="15" width="3.28515625" bestFit="1" customWidth="1"/>
    <col min="16" max="16" width="35.5703125" customWidth="1"/>
    <col min="17" max="17" width="2.7109375" bestFit="1" customWidth="1"/>
  </cols>
  <sheetData>
    <row r="1" spans="1:17" x14ac:dyDescent="0.25">
      <c r="A1" s="1" t="s">
        <v>125</v>
      </c>
    </row>
    <row r="3" spans="1:17" x14ac:dyDescent="0.25">
      <c r="A3" s="20"/>
      <c r="B3" s="20" t="s">
        <v>139</v>
      </c>
      <c r="C3" s="20"/>
      <c r="D3" s="20" t="s">
        <v>142</v>
      </c>
      <c r="E3" s="20"/>
      <c r="F3" s="20" t="s">
        <v>143</v>
      </c>
      <c r="G3" s="20"/>
      <c r="H3" s="20" t="s">
        <v>144</v>
      </c>
      <c r="I3" s="20"/>
      <c r="J3" s="20" t="s">
        <v>119</v>
      </c>
      <c r="K3" s="20"/>
      <c r="L3" s="20" t="s">
        <v>120</v>
      </c>
      <c r="M3" s="20"/>
      <c r="N3" s="20" t="s">
        <v>5</v>
      </c>
      <c r="O3" s="20"/>
      <c r="P3" s="20" t="s">
        <v>6</v>
      </c>
      <c r="Q3" s="20"/>
    </row>
    <row r="4" spans="1:17" x14ac:dyDescent="0.25">
      <c r="A4" s="7" t="s">
        <v>121</v>
      </c>
      <c r="B4" s="7" t="s">
        <v>136</v>
      </c>
      <c r="C4" s="7">
        <f>25-LEN(B4)</f>
        <v>1</v>
      </c>
      <c r="D4" s="7" t="s">
        <v>137</v>
      </c>
      <c r="E4" s="7">
        <f>25-LEN(D4)</f>
        <v>-6</v>
      </c>
      <c r="F4" s="7" t="s">
        <v>136</v>
      </c>
      <c r="G4" s="7">
        <f>25-LEN(F4)</f>
        <v>1</v>
      </c>
      <c r="H4" s="7"/>
      <c r="I4" s="7">
        <f>25-LEN(H4)</f>
        <v>25</v>
      </c>
      <c r="J4" s="7"/>
      <c r="K4" s="7">
        <f>25-LEN(J4)</f>
        <v>25</v>
      </c>
      <c r="L4" s="7"/>
      <c r="M4" s="7">
        <f>25-LEN(L4)</f>
        <v>25</v>
      </c>
      <c r="N4" s="7"/>
      <c r="O4" s="7">
        <f>25-LEN(N4)</f>
        <v>25</v>
      </c>
      <c r="P4" s="7"/>
      <c r="Q4" s="7">
        <f>25-LEN(P4)</f>
        <v>25</v>
      </c>
    </row>
    <row r="5" spans="1:17" x14ac:dyDescent="0.25">
      <c r="A5" s="7" t="s">
        <v>122</v>
      </c>
      <c r="B5" s="7" t="s">
        <v>137</v>
      </c>
      <c r="C5" s="7">
        <f>35-LEN(B5)</f>
        <v>4</v>
      </c>
      <c r="D5" s="7" t="s">
        <v>140</v>
      </c>
      <c r="E5" s="7">
        <f>35-LEN(D5)</f>
        <v>1</v>
      </c>
      <c r="F5" s="7" t="s">
        <v>137</v>
      </c>
      <c r="G5" s="7">
        <f>35-LEN(F5)</f>
        <v>4</v>
      </c>
      <c r="H5" s="7"/>
      <c r="I5" s="7">
        <f>35-LEN(H5)</f>
        <v>35</v>
      </c>
      <c r="J5" s="7"/>
      <c r="K5" s="7">
        <f>35-LEN(J5)</f>
        <v>35</v>
      </c>
      <c r="L5" s="7"/>
      <c r="M5" s="7">
        <f>35-LEN(L5)</f>
        <v>35</v>
      </c>
      <c r="N5" s="7"/>
      <c r="O5" s="7">
        <f>35-LEN(N5)</f>
        <v>35</v>
      </c>
      <c r="P5" s="7"/>
      <c r="Q5" s="7">
        <f>35-LEN(P5)</f>
        <v>35</v>
      </c>
    </row>
    <row r="6" spans="1:17" ht="30" x14ac:dyDescent="0.25">
      <c r="A6" s="7" t="s">
        <v>123</v>
      </c>
      <c r="B6" s="7" t="s">
        <v>138</v>
      </c>
      <c r="C6" s="7">
        <f>60-LEN(B6)</f>
        <v>5</v>
      </c>
      <c r="D6" s="7" t="s">
        <v>141</v>
      </c>
      <c r="E6" s="7">
        <f>60-LEN(D6)</f>
        <v>3</v>
      </c>
      <c r="F6" s="7" t="s">
        <v>124</v>
      </c>
      <c r="G6" s="7">
        <f>60-LEN(F6)</f>
        <v>3</v>
      </c>
      <c r="H6" s="7"/>
      <c r="I6" s="7">
        <f>60-LEN(H6)</f>
        <v>60</v>
      </c>
      <c r="J6" s="7"/>
      <c r="K6" s="7">
        <f>60-LEN(J6)</f>
        <v>60</v>
      </c>
      <c r="L6" s="7"/>
      <c r="M6" s="7">
        <f>60-LEN(L6)</f>
        <v>60</v>
      </c>
      <c r="N6" s="7"/>
      <c r="O6" s="7">
        <f>60-LEN(N6)</f>
        <v>60</v>
      </c>
      <c r="P6" s="7"/>
      <c r="Q6" s="7">
        <f>60-LEN(P6)</f>
        <v>60</v>
      </c>
    </row>
    <row r="7" spans="1:17" x14ac:dyDescent="0.25">
      <c r="A7" s="7" t="s">
        <v>87</v>
      </c>
      <c r="B7" s="7" t="s">
        <v>75</v>
      </c>
      <c r="C7" s="7"/>
      <c r="D7" s="7" t="s">
        <v>75</v>
      </c>
      <c r="E7" s="7"/>
      <c r="F7" s="7" t="s">
        <v>75</v>
      </c>
      <c r="G7" s="7"/>
      <c r="H7" s="7"/>
      <c r="I7" s="7"/>
      <c r="J7" s="7"/>
      <c r="K7" s="7"/>
      <c r="L7" s="7"/>
      <c r="M7" s="7"/>
      <c r="N7" s="7"/>
      <c r="O7" s="7"/>
      <c r="P7" s="7"/>
      <c r="Q7" s="7"/>
    </row>
    <row r="15" spans="1:17" x14ac:dyDescent="0.25">
      <c r="H15" s="7"/>
    </row>
    <row r="16" spans="1:17" x14ac:dyDescent="0.25">
      <c r="H16" s="7"/>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SL_PH</vt:lpstr>
      <vt:lpstr>DDOfferCopy</vt:lpstr>
      <vt:lpstr>CCModuleCopy</vt:lpstr>
      <vt:lpstr>DD Versions</vt:lpstr>
      <vt:lpstr>CC Versions</vt:lpstr>
      <vt:lpstr>MiscBanners</vt:lpstr>
      <vt:lpstr>urlsegment</vt:lpstr>
      <vt:lpstr>EMAILPage</vt:lpstr>
      <vt:lpstr>Dynamic Banners</vt:lpstr>
      <vt:lpstr>TOUCH 1 MI D+SL, PH-DEC3-1159P</vt:lpstr>
      <vt:lpstr>TOUCH 1 MI D+SL, PH-DEC6-1130P</vt:lpstr>
      <vt:lpstr>Guidelines</vt:lpstr>
      <vt:lpstr>CM Offers</vt:lpstr>
      <vt:lpstr>TC</vt:lpstr>
      <vt:lpstr>PN Copy - For Designers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Allyson Fields</dc:creator>
  <cp:lastModifiedBy>a.ferdous</cp:lastModifiedBy>
  <dcterms:created xsi:type="dcterms:W3CDTF">2020-11-10T18:38:26Z</dcterms:created>
  <dcterms:modified xsi:type="dcterms:W3CDTF">2020-11-26T05:57:33Z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C:\Users\SDSA\Desktop\In Progress\CW-742.xlsx</vt:lpwstr>
  </property>
</Properties>
</file>